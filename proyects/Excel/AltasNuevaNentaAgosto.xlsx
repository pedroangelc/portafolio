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Portafolio\"/>
    </mc:Choice>
  </mc:AlternateContent>
  <xr:revisionPtr revIDLastSave="0" documentId="13_ncr:1_{63F42123-A6DF-40BE-8DDA-CE617B583E2E}" xr6:coauthVersionLast="47" xr6:coauthVersionMax="47" xr10:uidLastSave="{00000000-0000-0000-0000-000000000000}"/>
  <bookViews>
    <workbookView xWindow="-120" yWindow="-120" windowWidth="19440" windowHeight="11640" xr2:uid="{D2224AA8-3D07-4702-888B-4BFE21E3DCD0}"/>
  </bookViews>
  <sheets>
    <sheet name="Portada" sheetId="4" r:id="rId1"/>
    <sheet name="Atlas y nueva venta" sheetId="2" r:id="rId2"/>
    <sheet name="Altas x ejecutivo" sheetId="3" r:id="rId3"/>
    <sheet name="Datos" sheetId="1" r:id="rId4"/>
  </sheets>
  <definedNames>
    <definedName name="_xlnm._FilterDatabase" localSheetId="3" hidden="1">Datos!$AQ$1:$AR$93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D2" i="1"/>
  <c r="H2" i="1"/>
  <c r="F2" i="1" s="1" a="1"/>
  <c r="F2" i="1" s="1"/>
  <c r="Q2" i="1"/>
  <c r="T2" i="1" s="1"/>
  <c r="W2" i="1" s="1"/>
  <c r="S2" i="1"/>
  <c r="U2" i="1"/>
  <c r="V2" i="1" a="1"/>
  <c r="V2" i="1" s="1"/>
  <c r="B3" i="1"/>
  <c r="D3" i="1"/>
  <c r="H3" i="1"/>
  <c r="F3" i="1" s="1" a="1"/>
  <c r="F3" i="1" s="1"/>
  <c r="Q3" i="1"/>
  <c r="S3" i="1"/>
  <c r="V3" i="1" a="1"/>
  <c r="V3" i="1" s="1"/>
  <c r="B4" i="1"/>
  <c r="D4" i="1"/>
  <c r="H4" i="1"/>
  <c r="F4" i="1" s="1" a="1"/>
  <c r="F4" i="1" s="1"/>
  <c r="Q4" i="1"/>
  <c r="T4" i="1" s="1"/>
  <c r="W4" i="1" s="1"/>
  <c r="S4" i="1"/>
  <c r="V4" i="1" a="1"/>
  <c r="V4" i="1" s="1"/>
  <c r="B5" i="1"/>
  <c r="D5" i="1"/>
  <c r="H5" i="1"/>
  <c r="F5" i="1" s="1" a="1"/>
  <c r="F5" i="1" s="1"/>
  <c r="Q5" i="1"/>
  <c r="T5" i="1" s="1"/>
  <c r="W5" i="1" s="1"/>
  <c r="S5" i="1"/>
  <c r="U5" i="1"/>
  <c r="V5" i="1" a="1"/>
  <c r="V5" i="1" s="1"/>
  <c r="B6" i="1"/>
  <c r="D6" i="1"/>
  <c r="H6" i="1"/>
  <c r="F6" i="1" s="1" a="1"/>
  <c r="F6" i="1" s="1"/>
  <c r="Q6" i="1"/>
  <c r="T6" i="1" s="1"/>
  <c r="W6" i="1" s="1"/>
  <c r="S6" i="1"/>
  <c r="V6" i="1" s="1" a="1"/>
  <c r="V6" i="1" s="1"/>
  <c r="U6" i="1"/>
  <c r="B7" i="1"/>
  <c r="D7" i="1"/>
  <c r="H7" i="1"/>
  <c r="F7" i="1" s="1" a="1"/>
  <c r="F7" i="1" s="1"/>
  <c r="Q7" i="1"/>
  <c r="S7" i="1"/>
  <c r="V7" i="1" a="1"/>
  <c r="V7" i="1" s="1"/>
  <c r="B8" i="1"/>
  <c r="D8" i="1"/>
  <c r="H8" i="1"/>
  <c r="F8" i="1" s="1" a="1"/>
  <c r="F8" i="1" s="1"/>
  <c r="Q8" i="1"/>
  <c r="T8" i="1" s="1"/>
  <c r="W8" i="1" s="1"/>
  <c r="S8" i="1"/>
  <c r="V8" i="1" a="1"/>
  <c r="V8" i="1" s="1"/>
  <c r="B9" i="1"/>
  <c r="D9" i="1"/>
  <c r="H9" i="1"/>
  <c r="F9" i="1" s="1" a="1"/>
  <c r="F9" i="1" s="1"/>
  <c r="Q9" i="1"/>
  <c r="T9" i="1" s="1"/>
  <c r="W9" i="1" s="1"/>
  <c r="S9" i="1"/>
  <c r="U9" i="1"/>
  <c r="V9" i="1" a="1"/>
  <c r="V9" i="1" s="1"/>
  <c r="B10" i="1"/>
  <c r="D10" i="1"/>
  <c r="H10" i="1"/>
  <c r="F10" i="1" s="1" a="1"/>
  <c r="F10" i="1" s="1"/>
  <c r="Q10" i="1"/>
  <c r="T10" i="1" s="1"/>
  <c r="W10" i="1" s="1"/>
  <c r="S10" i="1"/>
  <c r="V10" i="1" s="1" a="1"/>
  <c r="V10" i="1" s="1"/>
  <c r="U10" i="1"/>
  <c r="B11" i="1"/>
  <c r="D11" i="1"/>
  <c r="H11" i="1"/>
  <c r="F11" i="1" s="1" a="1"/>
  <c r="F11" i="1" s="1"/>
  <c r="Q11" i="1"/>
  <c r="S11" i="1"/>
  <c r="V11" i="1" a="1"/>
  <c r="V11" i="1" s="1"/>
  <c r="B12" i="1"/>
  <c r="D12" i="1"/>
  <c r="H12" i="1"/>
  <c r="F12" i="1" s="1" a="1"/>
  <c r="F12" i="1" s="1"/>
  <c r="Q12" i="1"/>
  <c r="T12" i="1" s="1"/>
  <c r="W12" i="1" s="1"/>
  <c r="S12" i="1"/>
  <c r="V12" i="1" a="1"/>
  <c r="V12" i="1" s="1"/>
  <c r="B13" i="1"/>
  <c r="D13" i="1"/>
  <c r="H13" i="1"/>
  <c r="F13" i="1" s="1" a="1"/>
  <c r="F13" i="1" s="1"/>
  <c r="Q13" i="1"/>
  <c r="T13" i="1" s="1"/>
  <c r="W13" i="1" s="1"/>
  <c r="S13" i="1"/>
  <c r="U13" i="1"/>
  <c r="V13" i="1" a="1"/>
  <c r="V13" i="1" s="1"/>
  <c r="B14" i="1"/>
  <c r="D14" i="1"/>
  <c r="H14" i="1"/>
  <c r="F14" i="1" s="1" a="1"/>
  <c r="F14" i="1" s="1"/>
  <c r="Q14" i="1"/>
  <c r="T14" i="1" s="1"/>
  <c r="W14" i="1" s="1"/>
  <c r="S14" i="1"/>
  <c r="V14" i="1" s="1" a="1"/>
  <c r="V14" i="1" s="1"/>
  <c r="U14" i="1"/>
  <c r="B15" i="1"/>
  <c r="D15" i="1"/>
  <c r="H15" i="1"/>
  <c r="F15" i="1" s="1" a="1"/>
  <c r="F15" i="1" s="1"/>
  <c r="Q15" i="1"/>
  <c r="S15" i="1"/>
  <c r="V15" i="1" a="1"/>
  <c r="V15" i="1" s="1"/>
  <c r="B16" i="1"/>
  <c r="D16" i="1"/>
  <c r="H16" i="1"/>
  <c r="F16" i="1" s="1" a="1"/>
  <c r="F16" i="1" s="1"/>
  <c r="Q16" i="1"/>
  <c r="T16" i="1" s="1"/>
  <c r="W16" i="1" s="1"/>
  <c r="S16" i="1"/>
  <c r="V16" i="1" a="1"/>
  <c r="V16" i="1" s="1"/>
  <c r="B17" i="1"/>
  <c r="D17" i="1"/>
  <c r="H17" i="1"/>
  <c r="F17" i="1" s="1" a="1"/>
  <c r="F17" i="1" s="1"/>
  <c r="Q17" i="1"/>
  <c r="T17" i="1" s="1"/>
  <c r="W17" i="1" s="1"/>
  <c r="S17" i="1"/>
  <c r="U17" i="1"/>
  <c r="V17" i="1" a="1"/>
  <c r="V17" i="1" s="1"/>
  <c r="B18" i="1"/>
  <c r="D18" i="1"/>
  <c r="H18" i="1"/>
  <c r="F18" i="1" s="1" a="1"/>
  <c r="F18" i="1" s="1"/>
  <c r="Q18" i="1"/>
  <c r="T18" i="1" s="1"/>
  <c r="W18" i="1" s="1"/>
  <c r="S18" i="1"/>
  <c r="V18" i="1" s="1" a="1"/>
  <c r="V18" i="1" s="1"/>
  <c r="U18" i="1"/>
  <c r="B19" i="1"/>
  <c r="D19" i="1"/>
  <c r="H19" i="1"/>
  <c r="F19" i="1" s="1" a="1"/>
  <c r="F19" i="1" s="1"/>
  <c r="Q19" i="1"/>
  <c r="S19" i="1"/>
  <c r="V19" i="1" a="1"/>
  <c r="V19" i="1" s="1"/>
  <c r="B20" i="1"/>
  <c r="D20" i="1"/>
  <c r="H20" i="1"/>
  <c r="F20" i="1" s="1" a="1"/>
  <c r="F20" i="1" s="1"/>
  <c r="Q20" i="1"/>
  <c r="T20" i="1" s="1"/>
  <c r="W20" i="1" s="1"/>
  <c r="S20" i="1"/>
  <c r="V20" i="1" a="1"/>
  <c r="V20" i="1" s="1"/>
  <c r="B21" i="1"/>
  <c r="D21" i="1"/>
  <c r="H21" i="1"/>
  <c r="F21" i="1" s="1" a="1"/>
  <c r="F21" i="1" s="1"/>
  <c r="Q21" i="1"/>
  <c r="T21" i="1" s="1"/>
  <c r="W21" i="1" s="1"/>
  <c r="S21" i="1"/>
  <c r="U21" i="1"/>
  <c r="V21" i="1" a="1"/>
  <c r="V21" i="1" s="1"/>
  <c r="B22" i="1"/>
  <c r="D22" i="1"/>
  <c r="H22" i="1"/>
  <c r="F22" i="1" s="1" a="1"/>
  <c r="F22" i="1" s="1"/>
  <c r="Q22" i="1"/>
  <c r="T22" i="1" s="1"/>
  <c r="W22" i="1" s="1"/>
  <c r="S22" i="1"/>
  <c r="V22" i="1" s="1" a="1"/>
  <c r="V22" i="1" s="1"/>
  <c r="U22" i="1"/>
  <c r="B23" i="1"/>
  <c r="D23" i="1"/>
  <c r="H23" i="1"/>
  <c r="F23" i="1" s="1" a="1"/>
  <c r="F23" i="1" s="1"/>
  <c r="Q23" i="1"/>
  <c r="S23" i="1"/>
  <c r="V23" i="1" a="1"/>
  <c r="V23" i="1" s="1"/>
  <c r="B24" i="1"/>
  <c r="D24" i="1"/>
  <c r="H24" i="1"/>
  <c r="F24" i="1" s="1" a="1"/>
  <c r="F24" i="1" s="1"/>
  <c r="Q24" i="1"/>
  <c r="T24" i="1" s="1"/>
  <c r="W24" i="1" s="1"/>
  <c r="S24" i="1"/>
  <c r="V24" i="1" a="1"/>
  <c r="V24" i="1" s="1"/>
  <c r="B25" i="1"/>
  <c r="D25" i="1"/>
  <c r="H25" i="1"/>
  <c r="F25" i="1" s="1" a="1"/>
  <c r="F25" i="1" s="1"/>
  <c r="Q25" i="1"/>
  <c r="T25" i="1" s="1"/>
  <c r="W25" i="1" s="1"/>
  <c r="S25" i="1"/>
  <c r="U25" i="1"/>
  <c r="V25" i="1" a="1"/>
  <c r="V25" i="1" s="1"/>
  <c r="B26" i="1"/>
  <c r="D26" i="1"/>
  <c r="H26" i="1"/>
  <c r="F26" i="1" s="1" a="1"/>
  <c r="F26" i="1" s="1"/>
  <c r="Q26" i="1"/>
  <c r="T26" i="1" s="1"/>
  <c r="W26" i="1" s="1"/>
  <c r="S26" i="1"/>
  <c r="V26" i="1" s="1" a="1"/>
  <c r="V26" i="1" s="1"/>
  <c r="U26" i="1"/>
  <c r="B27" i="1"/>
  <c r="D27" i="1"/>
  <c r="H27" i="1"/>
  <c r="F27" i="1" s="1" a="1"/>
  <c r="F27" i="1" s="1"/>
  <c r="Q27" i="1"/>
  <c r="S27" i="1"/>
  <c r="V27" i="1" a="1"/>
  <c r="V27" i="1" s="1"/>
  <c r="B28" i="1"/>
  <c r="D28" i="1"/>
  <c r="H28" i="1"/>
  <c r="F28" i="1" s="1" a="1"/>
  <c r="F28" i="1" s="1"/>
  <c r="Q28" i="1"/>
  <c r="T28" i="1" s="1"/>
  <c r="W28" i="1" s="1"/>
  <c r="S28" i="1"/>
  <c r="V28" i="1" a="1"/>
  <c r="V28" i="1" s="1"/>
  <c r="B29" i="1"/>
  <c r="D29" i="1"/>
  <c r="H29" i="1"/>
  <c r="F29" i="1" s="1" a="1"/>
  <c r="F29" i="1" s="1"/>
  <c r="Q29" i="1"/>
  <c r="T29" i="1" s="1"/>
  <c r="W29" i="1" s="1"/>
  <c r="S29" i="1"/>
  <c r="U29" i="1"/>
  <c r="V29" i="1" a="1"/>
  <c r="V29" i="1" s="1"/>
  <c r="B30" i="1"/>
  <c r="D30" i="1"/>
  <c r="H30" i="1"/>
  <c r="F30" i="1" s="1" a="1"/>
  <c r="F30" i="1" s="1"/>
  <c r="Q30" i="1"/>
  <c r="S30" i="1"/>
  <c r="V30" i="1" s="1" a="1"/>
  <c r="V30" i="1" s="1"/>
  <c r="T30" i="1"/>
  <c r="U30" i="1"/>
  <c r="W30" i="1"/>
  <c r="B31" i="1"/>
  <c r="D31" i="1"/>
  <c r="H31" i="1"/>
  <c r="F31" i="1" s="1" a="1"/>
  <c r="F31" i="1" s="1"/>
  <c r="Q31" i="1"/>
  <c r="S31" i="1"/>
  <c r="T31" i="1"/>
  <c r="U31" i="1"/>
  <c r="V31" i="1" a="1"/>
  <c r="V31" i="1" s="1"/>
  <c r="W31" i="1"/>
  <c r="B32" i="1"/>
  <c r="D32" i="1"/>
  <c r="H32" i="1"/>
  <c r="F32" i="1" s="1" a="1"/>
  <c r="F32" i="1" s="1"/>
  <c r="Q32" i="1"/>
  <c r="S32" i="1"/>
  <c r="V32" i="1" s="1" a="1"/>
  <c r="V32" i="1" s="1"/>
  <c r="T32" i="1"/>
  <c r="U32" i="1"/>
  <c r="W32" i="1"/>
  <c r="B33" i="1"/>
  <c r="D33" i="1"/>
  <c r="H33" i="1"/>
  <c r="F33" i="1" s="1" a="1"/>
  <c r="F33" i="1" s="1"/>
  <c r="Q33" i="1"/>
  <c r="S33" i="1"/>
  <c r="T33" i="1"/>
  <c r="U33" i="1"/>
  <c r="V33" i="1" a="1"/>
  <c r="V33" i="1" s="1"/>
  <c r="W33" i="1"/>
  <c r="B34" i="1"/>
  <c r="D34" i="1"/>
  <c r="H34" i="1"/>
  <c r="F34" i="1" s="1" a="1"/>
  <c r="F34" i="1" s="1"/>
  <c r="Q34" i="1"/>
  <c r="S34" i="1"/>
  <c r="V34" i="1" s="1" a="1"/>
  <c r="V34" i="1" s="1"/>
  <c r="T34" i="1"/>
  <c r="U34" i="1"/>
  <c r="W34" i="1"/>
  <c r="B35" i="1"/>
  <c r="D35" i="1"/>
  <c r="H35" i="1"/>
  <c r="F35" i="1" s="1" a="1"/>
  <c r="F35" i="1" s="1"/>
  <c r="Q35" i="1"/>
  <c r="S35" i="1"/>
  <c r="T35" i="1"/>
  <c r="U35" i="1"/>
  <c r="V35" i="1" a="1"/>
  <c r="V35" i="1" s="1"/>
  <c r="W35" i="1"/>
  <c r="B36" i="1"/>
  <c r="D36" i="1"/>
  <c r="H36" i="1"/>
  <c r="F36" i="1" s="1" a="1"/>
  <c r="F36" i="1" s="1"/>
  <c r="Q36" i="1"/>
  <c r="S36" i="1"/>
  <c r="V36" i="1" s="1" a="1"/>
  <c r="V36" i="1" s="1"/>
  <c r="T36" i="1"/>
  <c r="U36" i="1"/>
  <c r="W36" i="1"/>
  <c r="B37" i="1"/>
  <c r="D37" i="1"/>
  <c r="H37" i="1"/>
  <c r="F37" i="1" s="1" a="1"/>
  <c r="F37" i="1" s="1"/>
  <c r="Q37" i="1"/>
  <c r="S37" i="1"/>
  <c r="T37" i="1"/>
  <c r="U37" i="1"/>
  <c r="V37" i="1" a="1"/>
  <c r="V37" i="1" s="1"/>
  <c r="W37" i="1"/>
  <c r="B38" i="1"/>
  <c r="D38" i="1"/>
  <c r="H38" i="1"/>
  <c r="F38" i="1" s="1" a="1"/>
  <c r="F38" i="1" s="1"/>
  <c r="Q38" i="1"/>
  <c r="S38" i="1"/>
  <c r="V38" i="1" s="1" a="1"/>
  <c r="V38" i="1" s="1"/>
  <c r="T38" i="1"/>
  <c r="U38" i="1"/>
  <c r="W38" i="1"/>
  <c r="B39" i="1"/>
  <c r="D39" i="1"/>
  <c r="H39" i="1"/>
  <c r="F39" i="1" s="1" a="1"/>
  <c r="F39" i="1" s="1"/>
  <c r="Q39" i="1"/>
  <c r="S39" i="1"/>
  <c r="V39" i="1" s="1" a="1"/>
  <c r="V39" i="1" s="1"/>
  <c r="T39" i="1"/>
  <c r="U39" i="1"/>
  <c r="W39" i="1"/>
  <c r="B40" i="1"/>
  <c r="D40" i="1"/>
  <c r="H40" i="1"/>
  <c r="F40" i="1" s="1" a="1"/>
  <c r="F40" i="1" s="1"/>
  <c r="Q40" i="1"/>
  <c r="S40" i="1"/>
  <c r="V40" i="1" s="1" a="1"/>
  <c r="V40" i="1" s="1"/>
  <c r="T40" i="1"/>
  <c r="U40" i="1"/>
  <c r="W40" i="1"/>
  <c r="B41" i="1"/>
  <c r="D41" i="1"/>
  <c r="H41" i="1"/>
  <c r="F41" i="1" s="1" a="1"/>
  <c r="F41" i="1" s="1"/>
  <c r="Q41" i="1"/>
  <c r="S41" i="1"/>
  <c r="V41" i="1" s="1" a="1"/>
  <c r="V41" i="1" s="1"/>
  <c r="T41" i="1"/>
  <c r="U41" i="1"/>
  <c r="W41" i="1"/>
  <c r="B42" i="1"/>
  <c r="D42" i="1"/>
  <c r="H42" i="1"/>
  <c r="F42" i="1" s="1" a="1"/>
  <c r="F42" i="1" s="1"/>
  <c r="Q42" i="1"/>
  <c r="S42" i="1"/>
  <c r="V42" i="1" s="1" a="1"/>
  <c r="V42" i="1" s="1"/>
  <c r="T42" i="1"/>
  <c r="U42" i="1"/>
  <c r="W42" i="1"/>
  <c r="B43" i="1"/>
  <c r="D43" i="1"/>
  <c r="H43" i="1"/>
  <c r="F43" i="1" s="1" a="1"/>
  <c r="F43" i="1" s="1"/>
  <c r="Q43" i="1"/>
  <c r="S43" i="1"/>
  <c r="V43" i="1" s="1" a="1"/>
  <c r="V43" i="1" s="1"/>
  <c r="T43" i="1"/>
  <c r="U43" i="1"/>
  <c r="W43" i="1"/>
  <c r="B44" i="1"/>
  <c r="D44" i="1"/>
  <c r="H44" i="1"/>
  <c r="F44" i="1" s="1" a="1"/>
  <c r="F44" i="1" s="1"/>
  <c r="Q44" i="1"/>
  <c r="S44" i="1"/>
  <c r="V44" i="1" s="1" a="1"/>
  <c r="V44" i="1" s="1"/>
  <c r="T44" i="1"/>
  <c r="U44" i="1"/>
  <c r="W44" i="1"/>
  <c r="B45" i="1"/>
  <c r="D45" i="1"/>
  <c r="H45" i="1"/>
  <c r="F45" i="1" s="1" a="1"/>
  <c r="F45" i="1" s="1"/>
  <c r="Q45" i="1"/>
  <c r="T45" i="1" s="1"/>
  <c r="W45" i="1" s="1"/>
  <c r="S45" i="1"/>
  <c r="V45" i="1" s="1" a="1"/>
  <c r="V45" i="1" s="1"/>
  <c r="U45" i="1"/>
  <c r="B46" i="1"/>
  <c r="D46" i="1"/>
  <c r="H46" i="1"/>
  <c r="F46" i="1" s="1" a="1"/>
  <c r="F46" i="1" s="1"/>
  <c r="Q46" i="1"/>
  <c r="T46" i="1" s="1"/>
  <c r="W46" i="1" s="1"/>
  <c r="S46" i="1"/>
  <c r="V46" i="1" s="1" a="1"/>
  <c r="V46" i="1" s="1"/>
  <c r="U46" i="1"/>
  <c r="B47" i="1"/>
  <c r="D47" i="1"/>
  <c r="H47" i="1"/>
  <c r="F47" i="1" s="1" a="1"/>
  <c r="F47" i="1" s="1"/>
  <c r="Q47" i="1"/>
  <c r="T47" i="1" s="1"/>
  <c r="W47" i="1" s="1"/>
  <c r="S47" i="1"/>
  <c r="V47" i="1" s="1" a="1"/>
  <c r="V47" i="1" s="1"/>
  <c r="U47" i="1"/>
  <c r="B48" i="1"/>
  <c r="D48" i="1"/>
  <c r="H48" i="1"/>
  <c r="F48" i="1" s="1" a="1"/>
  <c r="F48" i="1" s="1"/>
  <c r="Q48" i="1"/>
  <c r="T48" i="1" s="1"/>
  <c r="W48" i="1" s="1"/>
  <c r="S48" i="1"/>
  <c r="V48" i="1" s="1" a="1"/>
  <c r="V48" i="1" s="1"/>
  <c r="U48" i="1"/>
  <c r="B49" i="1"/>
  <c r="D49" i="1"/>
  <c r="H49" i="1"/>
  <c r="F49" i="1" s="1" a="1"/>
  <c r="F49" i="1" s="1"/>
  <c r="Q49" i="1"/>
  <c r="T49" i="1" s="1"/>
  <c r="W49" i="1" s="1"/>
  <c r="S49" i="1"/>
  <c r="V49" i="1" s="1" a="1"/>
  <c r="V49" i="1" s="1"/>
  <c r="U49" i="1"/>
  <c r="B50" i="1"/>
  <c r="D50" i="1"/>
  <c r="H50" i="1"/>
  <c r="F50" i="1" s="1" a="1"/>
  <c r="F50" i="1" s="1"/>
  <c r="Q50" i="1"/>
  <c r="T50" i="1" s="1"/>
  <c r="W50" i="1" s="1"/>
  <c r="S50" i="1"/>
  <c r="V50" i="1" s="1" a="1"/>
  <c r="V50" i="1" s="1"/>
  <c r="U50" i="1"/>
  <c r="AH50" i="1"/>
  <c r="AI50" i="1"/>
  <c r="B51" i="1"/>
  <c r="D51" i="1"/>
  <c r="H51" i="1"/>
  <c r="F51" i="1" s="1" a="1"/>
  <c r="F51" i="1" s="1"/>
  <c r="Q51" i="1"/>
  <c r="S51" i="1"/>
  <c r="T51" i="1"/>
  <c r="U51" i="1"/>
  <c r="V51" i="1" a="1"/>
  <c r="V51" i="1" s="1"/>
  <c r="W51" i="1"/>
  <c r="AI51" i="1"/>
  <c r="B52" i="1"/>
  <c r="D52" i="1"/>
  <c r="H52" i="1"/>
  <c r="F52" i="1" s="1" a="1"/>
  <c r="F52" i="1" s="1"/>
  <c r="Q52" i="1"/>
  <c r="U52" i="1" s="1"/>
  <c r="S52" i="1"/>
  <c r="T52" i="1"/>
  <c r="V52" i="1" a="1"/>
  <c r="V52" i="1" s="1"/>
  <c r="W52" i="1"/>
  <c r="AI52" i="1"/>
  <c r="B53" i="1"/>
  <c r="D53" i="1"/>
  <c r="H53" i="1"/>
  <c r="F53" i="1" s="1" a="1"/>
  <c r="F53" i="1" s="1"/>
  <c r="Q53" i="1"/>
  <c r="T53" i="1" s="1"/>
  <c r="W53" i="1" s="1"/>
  <c r="S53" i="1"/>
  <c r="V53" i="1" s="1" a="1"/>
  <c r="V53" i="1" s="1"/>
  <c r="U53" i="1"/>
  <c r="AI53" i="1"/>
  <c r="AJ53" i="1"/>
  <c r="AK53" i="1"/>
  <c r="AL53" i="1"/>
  <c r="AM53" i="1"/>
  <c r="B54" i="1"/>
  <c r="D54" i="1"/>
  <c r="H54" i="1"/>
  <c r="F54" i="1" s="1" a="1"/>
  <c r="F54" i="1" s="1"/>
  <c r="Q54" i="1"/>
  <c r="S54" i="1"/>
  <c r="V54" i="1" a="1"/>
  <c r="V54" i="1" s="1"/>
  <c r="B55" i="1"/>
  <c r="D55" i="1"/>
  <c r="H55" i="1"/>
  <c r="F55" i="1" s="1" a="1"/>
  <c r="F55" i="1" s="1"/>
  <c r="Q55" i="1"/>
  <c r="S55" i="1"/>
  <c r="V55" i="1" a="1"/>
  <c r="V55" i="1" s="1"/>
  <c r="B56" i="1"/>
  <c r="D56" i="1"/>
  <c r="H56" i="1"/>
  <c r="F56" i="1" s="1" a="1"/>
  <c r="F56" i="1" s="1"/>
  <c r="Q56" i="1"/>
  <c r="S56" i="1"/>
  <c r="V56" i="1" a="1"/>
  <c r="V56" i="1" s="1"/>
  <c r="B57" i="1"/>
  <c r="D57" i="1"/>
  <c r="H57" i="1"/>
  <c r="F57" i="1" s="1" a="1"/>
  <c r="F57" i="1" s="1"/>
  <c r="Q57" i="1"/>
  <c r="S57" i="1"/>
  <c r="V57" i="1" a="1"/>
  <c r="V57" i="1" s="1"/>
  <c r="B58" i="1"/>
  <c r="D58" i="1"/>
  <c r="H58" i="1"/>
  <c r="F58" i="1" s="1" a="1"/>
  <c r="F58" i="1" s="1"/>
  <c r="Q58" i="1"/>
  <c r="S58" i="1"/>
  <c r="V58" i="1" a="1"/>
  <c r="V58" i="1" s="1"/>
  <c r="B59" i="1"/>
  <c r="D59" i="1"/>
  <c r="H59" i="1"/>
  <c r="F59" i="1" s="1" a="1"/>
  <c r="F59" i="1" s="1"/>
  <c r="Q59" i="1"/>
  <c r="S59" i="1"/>
  <c r="V59" i="1" a="1"/>
  <c r="V59" i="1" s="1"/>
  <c r="B60" i="1"/>
  <c r="D60" i="1"/>
  <c r="H60" i="1"/>
  <c r="F60" i="1" s="1" a="1"/>
  <c r="F60" i="1" s="1"/>
  <c r="Q60" i="1"/>
  <c r="S60" i="1"/>
  <c r="V60" i="1" a="1"/>
  <c r="V60" i="1" s="1"/>
  <c r="B61" i="1"/>
  <c r="D61" i="1"/>
  <c r="H61" i="1"/>
  <c r="F61" i="1" s="1" a="1"/>
  <c r="F61" i="1" s="1"/>
  <c r="Q61" i="1"/>
  <c r="S61" i="1"/>
  <c r="V61" i="1" a="1"/>
  <c r="V61" i="1" s="1"/>
  <c r="B62" i="1"/>
  <c r="D62" i="1"/>
  <c r="H62" i="1"/>
  <c r="F62" i="1" s="1" a="1"/>
  <c r="F62" i="1" s="1"/>
  <c r="Q62" i="1"/>
  <c r="S62" i="1"/>
  <c r="V62" i="1" a="1"/>
  <c r="V62" i="1" s="1"/>
  <c r="B63" i="1"/>
  <c r="D63" i="1"/>
  <c r="H63" i="1"/>
  <c r="F63" i="1" s="1" a="1"/>
  <c r="F63" i="1" s="1"/>
  <c r="Q63" i="1"/>
  <c r="S63" i="1"/>
  <c r="V63" i="1" a="1"/>
  <c r="V63" i="1" s="1"/>
  <c r="B64" i="1"/>
  <c r="D64" i="1"/>
  <c r="H64" i="1"/>
  <c r="F64" i="1" s="1" a="1"/>
  <c r="F64" i="1" s="1"/>
  <c r="Q64" i="1"/>
  <c r="S64" i="1"/>
  <c r="V64" i="1" a="1"/>
  <c r="V64" i="1" s="1"/>
  <c r="B65" i="1"/>
  <c r="D65" i="1"/>
  <c r="H65" i="1"/>
  <c r="F65" i="1" s="1" a="1"/>
  <c r="F65" i="1" s="1"/>
  <c r="Q65" i="1"/>
  <c r="S65" i="1"/>
  <c r="V65" i="1" a="1"/>
  <c r="V65" i="1" s="1"/>
  <c r="B66" i="1"/>
  <c r="D66" i="1"/>
  <c r="H66" i="1"/>
  <c r="F66" i="1" s="1" a="1"/>
  <c r="F66" i="1" s="1"/>
  <c r="Q66" i="1"/>
  <c r="S66" i="1"/>
  <c r="V66" i="1" a="1"/>
  <c r="V66" i="1" s="1"/>
  <c r="B67" i="1"/>
  <c r="D67" i="1"/>
  <c r="H67" i="1"/>
  <c r="F67" i="1" s="1" a="1"/>
  <c r="F67" i="1" s="1"/>
  <c r="Q67" i="1"/>
  <c r="S67" i="1"/>
  <c r="V67" i="1" a="1"/>
  <c r="V67" i="1" s="1"/>
  <c r="B68" i="1"/>
  <c r="D68" i="1"/>
  <c r="H68" i="1"/>
  <c r="F68" i="1" s="1" a="1"/>
  <c r="F68" i="1" s="1"/>
  <c r="Q68" i="1"/>
  <c r="S68" i="1"/>
  <c r="V68" i="1" a="1"/>
  <c r="V68" i="1" s="1"/>
  <c r="B69" i="1"/>
  <c r="D69" i="1"/>
  <c r="H69" i="1"/>
  <c r="F69" i="1" s="1" a="1"/>
  <c r="F69" i="1" s="1"/>
  <c r="Q69" i="1"/>
  <c r="S69" i="1"/>
  <c r="V69" i="1" a="1"/>
  <c r="V69" i="1" s="1"/>
  <c r="B70" i="1"/>
  <c r="D70" i="1"/>
  <c r="H70" i="1"/>
  <c r="F70" i="1" s="1" a="1"/>
  <c r="F70" i="1" s="1"/>
  <c r="Q70" i="1"/>
  <c r="S70" i="1"/>
  <c r="V70" i="1" a="1"/>
  <c r="V70" i="1" s="1"/>
  <c r="B71" i="1"/>
  <c r="D71" i="1"/>
  <c r="H71" i="1"/>
  <c r="F71" i="1" s="1" a="1"/>
  <c r="F71" i="1" s="1"/>
  <c r="Q71" i="1"/>
  <c r="S71" i="1"/>
  <c r="V71" i="1" a="1"/>
  <c r="V71" i="1" s="1"/>
  <c r="B72" i="1"/>
  <c r="D72" i="1"/>
  <c r="H72" i="1"/>
  <c r="F72" i="1" s="1" a="1"/>
  <c r="F72" i="1" s="1"/>
  <c r="Q72" i="1"/>
  <c r="S72" i="1"/>
  <c r="V72" i="1" a="1"/>
  <c r="V72" i="1" s="1"/>
  <c r="B73" i="1"/>
  <c r="D73" i="1"/>
  <c r="H73" i="1"/>
  <c r="F73" i="1" s="1" a="1"/>
  <c r="F73" i="1" s="1"/>
  <c r="Q73" i="1"/>
  <c r="S73" i="1"/>
  <c r="V73" i="1" a="1"/>
  <c r="V73" i="1" s="1"/>
  <c r="B74" i="1"/>
  <c r="D74" i="1"/>
  <c r="H74" i="1"/>
  <c r="F74" i="1" s="1" a="1"/>
  <c r="F74" i="1" s="1"/>
  <c r="Q74" i="1"/>
  <c r="S74" i="1"/>
  <c r="V74" i="1" a="1"/>
  <c r="V74" i="1" s="1"/>
  <c r="B75" i="1"/>
  <c r="D75" i="1"/>
  <c r="H75" i="1"/>
  <c r="F75" i="1" s="1" a="1"/>
  <c r="F75" i="1" s="1"/>
  <c r="Q75" i="1"/>
  <c r="S75" i="1"/>
  <c r="V75" i="1" a="1"/>
  <c r="V75" i="1" s="1"/>
  <c r="B76" i="1"/>
  <c r="D76" i="1"/>
  <c r="H76" i="1"/>
  <c r="F76" i="1" s="1" a="1"/>
  <c r="F76" i="1" s="1"/>
  <c r="Q76" i="1"/>
  <c r="S76" i="1"/>
  <c r="V76" i="1" a="1"/>
  <c r="V76" i="1" s="1"/>
  <c r="B77" i="1"/>
  <c r="D77" i="1"/>
  <c r="H77" i="1"/>
  <c r="F77" i="1" s="1" a="1"/>
  <c r="F77" i="1" s="1"/>
  <c r="Q77" i="1"/>
  <c r="S77" i="1"/>
  <c r="V77" i="1" a="1"/>
  <c r="V77" i="1" s="1"/>
  <c r="B78" i="1"/>
  <c r="D78" i="1"/>
  <c r="H78" i="1"/>
  <c r="F78" i="1" s="1" a="1"/>
  <c r="F78" i="1" s="1"/>
  <c r="Q78" i="1"/>
  <c r="T78" i="1" s="1"/>
  <c r="W78" i="1" s="1"/>
  <c r="S78" i="1"/>
  <c r="U78" i="1"/>
  <c r="V78" i="1" a="1"/>
  <c r="V78" i="1" s="1"/>
  <c r="B79" i="1"/>
  <c r="D79" i="1"/>
  <c r="H79" i="1"/>
  <c r="F79" i="1" s="1" a="1"/>
  <c r="F79" i="1" s="1"/>
  <c r="Q79" i="1"/>
  <c r="T79" i="1" s="1"/>
  <c r="W79" i="1" s="1"/>
  <c r="S79" i="1"/>
  <c r="U79" i="1"/>
  <c r="V79" i="1" a="1"/>
  <c r="V79" i="1" s="1"/>
  <c r="B80" i="1"/>
  <c r="D80" i="1"/>
  <c r="H80" i="1"/>
  <c r="F80" i="1" s="1" a="1"/>
  <c r="F80" i="1" s="1"/>
  <c r="Q80" i="1"/>
  <c r="T80" i="1" s="1"/>
  <c r="W80" i="1" s="1"/>
  <c r="S80" i="1"/>
  <c r="U80" i="1"/>
  <c r="V80" i="1" a="1"/>
  <c r="V80" i="1" s="1"/>
  <c r="B81" i="1"/>
  <c r="D81" i="1"/>
  <c r="H81" i="1"/>
  <c r="F81" i="1" s="1" a="1"/>
  <c r="F81" i="1" s="1"/>
  <c r="Q81" i="1"/>
  <c r="T81" i="1" s="1"/>
  <c r="W81" i="1" s="1"/>
  <c r="S81" i="1"/>
  <c r="U81" i="1"/>
  <c r="V81" i="1" a="1"/>
  <c r="V81" i="1" s="1"/>
  <c r="AN81" i="1"/>
  <c r="B82" i="1"/>
  <c r="D82" i="1"/>
  <c r="H82" i="1"/>
  <c r="F82" i="1" s="1" a="1"/>
  <c r="F82" i="1" s="1"/>
  <c r="Q82" i="1"/>
  <c r="S82" i="1"/>
  <c r="T82" i="1"/>
  <c r="W82" i="1" s="1"/>
  <c r="U82" i="1"/>
  <c r="V82" i="1" a="1"/>
  <c r="V82" i="1" s="1"/>
  <c r="AN82" i="1"/>
  <c r="AN83" i="1" s="1"/>
  <c r="B83" i="1"/>
  <c r="D83" i="1"/>
  <c r="H83" i="1"/>
  <c r="F83" i="1" s="1" a="1"/>
  <c r="F83" i="1" s="1"/>
  <c r="Q83" i="1"/>
  <c r="U83" i="1" s="1"/>
  <c r="S83" i="1"/>
  <c r="T83" i="1"/>
  <c r="V83" i="1" a="1"/>
  <c r="V83" i="1" s="1"/>
  <c r="W83" i="1"/>
  <c r="AH83" i="1"/>
  <c r="AI83" i="1"/>
  <c r="AJ83" i="1"/>
  <c r="AK83" i="1"/>
  <c r="AL83" i="1"/>
  <c r="AM83" i="1"/>
  <c r="B84" i="1"/>
  <c r="D84" i="1"/>
  <c r="H84" i="1"/>
  <c r="F84" i="1" s="1" a="1"/>
  <c r="F84" i="1" s="1"/>
  <c r="Q84" i="1"/>
  <c r="S84" i="1"/>
  <c r="T84" i="1"/>
  <c r="W84" i="1" s="1"/>
  <c r="U84" i="1"/>
  <c r="V84" i="1" a="1"/>
  <c r="V84" i="1" s="1"/>
  <c r="B85" i="1"/>
  <c r="D85" i="1"/>
  <c r="H85" i="1"/>
  <c r="F85" i="1" s="1" a="1"/>
  <c r="F85" i="1" s="1"/>
  <c r="Q85" i="1"/>
  <c r="S85" i="1"/>
  <c r="T85" i="1"/>
  <c r="W85" i="1" s="1"/>
  <c r="U85" i="1"/>
  <c r="V85" i="1" a="1"/>
  <c r="V85" i="1" s="1"/>
  <c r="B86" i="1"/>
  <c r="D86" i="1"/>
  <c r="H86" i="1"/>
  <c r="F86" i="1" s="1" a="1"/>
  <c r="F86" i="1" s="1"/>
  <c r="Q86" i="1"/>
  <c r="S86" i="1"/>
  <c r="T86" i="1"/>
  <c r="W86" i="1" s="1"/>
  <c r="U86" i="1"/>
  <c r="V86" i="1" a="1"/>
  <c r="V86" i="1" s="1"/>
  <c r="B87" i="1"/>
  <c r="D87" i="1"/>
  <c r="H87" i="1"/>
  <c r="F87" i="1" s="1" a="1"/>
  <c r="F87" i="1" s="1"/>
  <c r="Q87" i="1"/>
  <c r="S87" i="1"/>
  <c r="T87" i="1"/>
  <c r="W87" i="1" s="1"/>
  <c r="U87" i="1"/>
  <c r="V87" i="1" a="1"/>
  <c r="V87" i="1" s="1"/>
  <c r="B88" i="1"/>
  <c r="D88" i="1"/>
  <c r="H88" i="1"/>
  <c r="F88" i="1" s="1" a="1"/>
  <c r="F88" i="1" s="1"/>
  <c r="Q88" i="1"/>
  <c r="S88" i="1"/>
  <c r="V88" i="1" s="1" a="1"/>
  <c r="V88" i="1" s="1"/>
  <c r="T88" i="1"/>
  <c r="U88" i="1"/>
  <c r="W88" i="1"/>
  <c r="B89" i="1"/>
  <c r="D89" i="1"/>
  <c r="H89" i="1"/>
  <c r="F89" i="1" s="1" a="1"/>
  <c r="F89" i="1" s="1"/>
  <c r="Q89" i="1"/>
  <c r="S89" i="1"/>
  <c r="T89" i="1"/>
  <c r="W89" i="1" s="1"/>
  <c r="U89" i="1"/>
  <c r="V89" i="1" a="1"/>
  <c r="V89" i="1" s="1"/>
  <c r="B90" i="1"/>
  <c r="D90" i="1"/>
  <c r="H90" i="1"/>
  <c r="F90" i="1" s="1" a="1"/>
  <c r="F90" i="1" s="1"/>
  <c r="Q90" i="1"/>
  <c r="S90" i="1"/>
  <c r="V90" i="1" s="1" a="1"/>
  <c r="V90" i="1" s="1"/>
  <c r="T90" i="1"/>
  <c r="U90" i="1"/>
  <c r="W90" i="1"/>
  <c r="B91" i="1"/>
  <c r="D91" i="1"/>
  <c r="H91" i="1"/>
  <c r="F91" i="1" s="1" a="1"/>
  <c r="F91" i="1" s="1"/>
  <c r="Q91" i="1"/>
  <c r="S91" i="1"/>
  <c r="T91" i="1"/>
  <c r="W91" i="1" s="1"/>
  <c r="U91" i="1"/>
  <c r="V91" i="1" a="1"/>
  <c r="V91" i="1" s="1"/>
  <c r="B92" i="1"/>
  <c r="D92" i="1"/>
  <c r="H92" i="1"/>
  <c r="F92" i="1" s="1" a="1"/>
  <c r="F92" i="1" s="1"/>
  <c r="Q92" i="1"/>
  <c r="S92" i="1"/>
  <c r="V92" i="1" s="1" a="1"/>
  <c r="V92" i="1" s="1"/>
  <c r="T92" i="1"/>
  <c r="U92" i="1"/>
  <c r="W92" i="1"/>
  <c r="B93" i="1"/>
  <c r="D93" i="1"/>
  <c r="H93" i="1"/>
  <c r="F93" i="1" s="1" a="1"/>
  <c r="F93" i="1" s="1"/>
  <c r="Q93" i="1"/>
  <c r="S93" i="1"/>
  <c r="V93" i="1" a="1"/>
  <c r="V93" i="1" s="1"/>
  <c r="B94" i="1"/>
  <c r="D94" i="1"/>
  <c r="H94" i="1"/>
  <c r="F94" i="1" s="1" a="1"/>
  <c r="F94" i="1" s="1"/>
  <c r="Q94" i="1"/>
  <c r="S94" i="1"/>
  <c r="V94" i="1" a="1"/>
  <c r="V94" i="1" s="1"/>
  <c r="B95" i="1"/>
  <c r="D95" i="1"/>
  <c r="H95" i="1"/>
  <c r="F95" i="1" s="1" a="1"/>
  <c r="F95" i="1" s="1"/>
  <c r="Q95" i="1"/>
  <c r="S95" i="1"/>
  <c r="V95" i="1" a="1"/>
  <c r="V95" i="1" s="1"/>
  <c r="B96" i="1"/>
  <c r="D96" i="1"/>
  <c r="H96" i="1"/>
  <c r="F96" i="1" s="1" a="1"/>
  <c r="F96" i="1" s="1"/>
  <c r="Q96" i="1"/>
  <c r="S96" i="1"/>
  <c r="V96" i="1" a="1"/>
  <c r="V96" i="1" s="1"/>
  <c r="B97" i="1"/>
  <c r="D97" i="1"/>
  <c r="H97" i="1"/>
  <c r="F97" i="1" s="1" a="1"/>
  <c r="F97" i="1" s="1"/>
  <c r="Q97" i="1"/>
  <c r="S97" i="1"/>
  <c r="V97" i="1" a="1"/>
  <c r="V97" i="1" s="1"/>
  <c r="B98" i="1"/>
  <c r="D98" i="1"/>
  <c r="H98" i="1"/>
  <c r="F98" i="1" s="1" a="1"/>
  <c r="F98" i="1" s="1"/>
  <c r="Q98" i="1"/>
  <c r="S98" i="1"/>
  <c r="V98" i="1" a="1"/>
  <c r="V98" i="1" s="1"/>
  <c r="B99" i="1"/>
  <c r="D99" i="1"/>
  <c r="H99" i="1"/>
  <c r="F99" i="1" s="1" a="1"/>
  <c r="F99" i="1" s="1"/>
  <c r="Q99" i="1"/>
  <c r="S99" i="1"/>
  <c r="V99" i="1" a="1"/>
  <c r="V99" i="1" s="1"/>
  <c r="B100" i="1"/>
  <c r="D100" i="1"/>
  <c r="H100" i="1"/>
  <c r="F100" i="1" s="1" a="1"/>
  <c r="F100" i="1" s="1"/>
  <c r="Q100" i="1"/>
  <c r="S100" i="1"/>
  <c r="V100" i="1" a="1"/>
  <c r="V100" i="1" s="1"/>
  <c r="B101" i="1"/>
  <c r="D101" i="1"/>
  <c r="H101" i="1"/>
  <c r="F101" i="1" s="1" a="1"/>
  <c r="F101" i="1" s="1"/>
  <c r="Q101" i="1"/>
  <c r="S101" i="1"/>
  <c r="V101" i="1" a="1"/>
  <c r="V101" i="1" s="1"/>
  <c r="B102" i="1"/>
  <c r="D102" i="1"/>
  <c r="H102" i="1"/>
  <c r="F102" i="1" s="1" a="1"/>
  <c r="F102" i="1" s="1"/>
  <c r="Q102" i="1"/>
  <c r="S102" i="1"/>
  <c r="V102" i="1" a="1"/>
  <c r="V102" i="1" s="1"/>
  <c r="B103" i="1"/>
  <c r="D103" i="1"/>
  <c r="H103" i="1"/>
  <c r="F103" i="1" s="1" a="1"/>
  <c r="F103" i="1" s="1"/>
  <c r="Q103" i="1"/>
  <c r="S103" i="1"/>
  <c r="V103" i="1" a="1"/>
  <c r="V103" i="1" s="1"/>
  <c r="B104" i="1"/>
  <c r="D104" i="1"/>
  <c r="H104" i="1"/>
  <c r="F104" i="1" s="1" a="1"/>
  <c r="F104" i="1" s="1"/>
  <c r="Q104" i="1"/>
  <c r="S104" i="1"/>
  <c r="V104" i="1" a="1"/>
  <c r="V104" i="1" s="1"/>
  <c r="B105" i="1"/>
  <c r="D105" i="1"/>
  <c r="H105" i="1"/>
  <c r="F105" i="1" s="1" a="1"/>
  <c r="F105" i="1" s="1"/>
  <c r="Q105" i="1"/>
  <c r="S105" i="1"/>
  <c r="V105" i="1" a="1"/>
  <c r="V105" i="1" s="1"/>
  <c r="B106" i="1"/>
  <c r="D106" i="1"/>
  <c r="H106" i="1"/>
  <c r="F106" i="1" s="1" a="1"/>
  <c r="F106" i="1" s="1"/>
  <c r="Q106" i="1"/>
  <c r="S106" i="1"/>
  <c r="V106" i="1" a="1"/>
  <c r="V106" i="1" s="1"/>
  <c r="B107" i="1"/>
  <c r="D107" i="1"/>
  <c r="H107" i="1"/>
  <c r="F107" i="1" s="1" a="1"/>
  <c r="F107" i="1" s="1"/>
  <c r="Q107" i="1"/>
  <c r="S107" i="1"/>
  <c r="V107" i="1" a="1"/>
  <c r="V107" i="1" s="1"/>
  <c r="B108" i="1"/>
  <c r="D108" i="1"/>
  <c r="H108" i="1"/>
  <c r="F108" i="1" s="1" a="1"/>
  <c r="F108" i="1" s="1"/>
  <c r="Q108" i="1"/>
  <c r="S108" i="1"/>
  <c r="V108" i="1" a="1"/>
  <c r="V108" i="1" s="1"/>
  <c r="B109" i="1"/>
  <c r="D109" i="1"/>
  <c r="H109" i="1"/>
  <c r="F109" i="1" s="1" a="1"/>
  <c r="F109" i="1" s="1"/>
  <c r="Q109" i="1"/>
  <c r="S109" i="1"/>
  <c r="V109" i="1" a="1"/>
  <c r="V109" i="1" s="1"/>
  <c r="B110" i="1"/>
  <c r="D110" i="1"/>
  <c r="H110" i="1"/>
  <c r="F110" i="1" s="1" a="1"/>
  <c r="F110" i="1" s="1"/>
  <c r="Q110" i="1"/>
  <c r="T110" i="1" s="1"/>
  <c r="W110" i="1" s="1"/>
  <c r="S110" i="1"/>
  <c r="U110" i="1"/>
  <c r="V110" i="1" a="1"/>
  <c r="V110" i="1" s="1"/>
  <c r="B111" i="1"/>
  <c r="D111" i="1"/>
  <c r="H111" i="1"/>
  <c r="F111" i="1" s="1" a="1"/>
  <c r="F111" i="1" s="1"/>
  <c r="Q111" i="1"/>
  <c r="T111" i="1" s="1"/>
  <c r="W111" i="1" s="1"/>
  <c r="S111" i="1"/>
  <c r="U111" i="1"/>
  <c r="V111" i="1" a="1"/>
  <c r="V111" i="1" s="1"/>
  <c r="B112" i="1"/>
  <c r="D112" i="1"/>
  <c r="H112" i="1"/>
  <c r="F112" i="1" s="1" a="1"/>
  <c r="F112" i="1" s="1"/>
  <c r="Q112" i="1"/>
  <c r="T112" i="1" s="1"/>
  <c r="W112" i="1" s="1"/>
  <c r="S112" i="1"/>
  <c r="U112" i="1"/>
  <c r="V112" i="1" a="1"/>
  <c r="V112" i="1" s="1"/>
  <c r="B113" i="1"/>
  <c r="D113" i="1"/>
  <c r="H113" i="1"/>
  <c r="F113" i="1" s="1" a="1"/>
  <c r="F113" i="1" s="1"/>
  <c r="Q113" i="1"/>
  <c r="T113" i="1" s="1"/>
  <c r="W113" i="1" s="1"/>
  <c r="S113" i="1"/>
  <c r="U113" i="1"/>
  <c r="V113" i="1" a="1"/>
  <c r="V113" i="1" s="1"/>
  <c r="B114" i="1"/>
  <c r="D114" i="1"/>
  <c r="H114" i="1"/>
  <c r="F114" i="1" s="1" a="1"/>
  <c r="F114" i="1" s="1"/>
  <c r="Q114" i="1"/>
  <c r="T114" i="1" s="1"/>
  <c r="W114" i="1" s="1"/>
  <c r="S114" i="1"/>
  <c r="U114" i="1"/>
  <c r="V114" i="1" a="1"/>
  <c r="V114" i="1" s="1"/>
  <c r="B115" i="1"/>
  <c r="D115" i="1"/>
  <c r="H115" i="1"/>
  <c r="F115" i="1" s="1" a="1"/>
  <c r="F115" i="1" s="1"/>
  <c r="Q115" i="1"/>
  <c r="T115" i="1" s="1"/>
  <c r="W115" i="1" s="1"/>
  <c r="S115" i="1"/>
  <c r="U115" i="1"/>
  <c r="V115" i="1" a="1"/>
  <c r="V115" i="1" s="1"/>
  <c r="B116" i="1"/>
  <c r="D116" i="1"/>
  <c r="H116" i="1"/>
  <c r="F116" i="1" s="1" a="1"/>
  <c r="F116" i="1" s="1"/>
  <c r="Q116" i="1"/>
  <c r="T116" i="1" s="1"/>
  <c r="W116" i="1" s="1"/>
  <c r="S116" i="1"/>
  <c r="U116" i="1"/>
  <c r="V116" i="1" a="1"/>
  <c r="V116" i="1" s="1"/>
  <c r="B117" i="1"/>
  <c r="D117" i="1"/>
  <c r="H117" i="1"/>
  <c r="F117" i="1" s="1" a="1"/>
  <c r="F117" i="1" s="1"/>
  <c r="Q117" i="1"/>
  <c r="T117" i="1" s="1"/>
  <c r="W117" i="1" s="1"/>
  <c r="S117" i="1"/>
  <c r="U117" i="1"/>
  <c r="V117" i="1" a="1"/>
  <c r="V117" i="1" s="1"/>
  <c r="B118" i="1"/>
  <c r="D118" i="1"/>
  <c r="H118" i="1"/>
  <c r="F118" i="1" s="1" a="1"/>
  <c r="F118" i="1" s="1"/>
  <c r="Q118" i="1"/>
  <c r="T118" i="1" s="1"/>
  <c r="W118" i="1" s="1"/>
  <c r="S118" i="1"/>
  <c r="U118" i="1"/>
  <c r="V118" i="1" a="1"/>
  <c r="V118" i="1" s="1"/>
  <c r="B119" i="1"/>
  <c r="D119" i="1"/>
  <c r="H119" i="1"/>
  <c r="F119" i="1" s="1" a="1"/>
  <c r="F119" i="1" s="1"/>
  <c r="Q119" i="1"/>
  <c r="T119" i="1" s="1"/>
  <c r="W119" i="1" s="1"/>
  <c r="S119" i="1"/>
  <c r="U119" i="1"/>
  <c r="V119" i="1" a="1"/>
  <c r="V119" i="1" s="1"/>
  <c r="B120" i="1"/>
  <c r="D120" i="1"/>
  <c r="H120" i="1"/>
  <c r="F120" i="1" s="1" a="1"/>
  <c r="F120" i="1" s="1"/>
  <c r="Q120" i="1"/>
  <c r="T120" i="1" s="1"/>
  <c r="W120" i="1" s="1"/>
  <c r="S120" i="1"/>
  <c r="U120" i="1"/>
  <c r="V120" i="1" a="1"/>
  <c r="V120" i="1" s="1"/>
  <c r="B121" i="1"/>
  <c r="D121" i="1"/>
  <c r="H121" i="1"/>
  <c r="F121" i="1" s="1" a="1"/>
  <c r="F121" i="1" s="1"/>
  <c r="Q121" i="1"/>
  <c r="T121" i="1" s="1"/>
  <c r="W121" i="1" s="1"/>
  <c r="S121" i="1"/>
  <c r="U121" i="1"/>
  <c r="V121" i="1" a="1"/>
  <c r="V121" i="1" s="1"/>
  <c r="B122" i="1"/>
  <c r="D122" i="1"/>
  <c r="H122" i="1"/>
  <c r="F122" i="1" s="1" a="1"/>
  <c r="F122" i="1" s="1"/>
  <c r="Q122" i="1"/>
  <c r="T122" i="1" s="1"/>
  <c r="W122" i="1" s="1"/>
  <c r="S122" i="1"/>
  <c r="U122" i="1"/>
  <c r="V122" i="1" a="1"/>
  <c r="V122" i="1" s="1"/>
  <c r="B123" i="1"/>
  <c r="D123" i="1"/>
  <c r="H123" i="1"/>
  <c r="F123" i="1" s="1" a="1"/>
  <c r="F123" i="1" s="1"/>
  <c r="Q123" i="1"/>
  <c r="T123" i="1" s="1"/>
  <c r="W123" i="1" s="1"/>
  <c r="S123" i="1"/>
  <c r="U123" i="1"/>
  <c r="V123" i="1" a="1"/>
  <c r="V123" i="1" s="1"/>
  <c r="B124" i="1"/>
  <c r="D124" i="1"/>
  <c r="H124" i="1"/>
  <c r="F124" i="1" s="1" a="1"/>
  <c r="F124" i="1" s="1"/>
  <c r="Q124" i="1"/>
  <c r="T124" i="1" s="1"/>
  <c r="W124" i="1" s="1"/>
  <c r="S124" i="1"/>
  <c r="U124" i="1"/>
  <c r="V124" i="1" a="1"/>
  <c r="V124" i="1" s="1"/>
  <c r="B125" i="1"/>
  <c r="D125" i="1"/>
  <c r="H125" i="1"/>
  <c r="F125" i="1" s="1" a="1"/>
  <c r="F125" i="1" s="1"/>
  <c r="Q125" i="1"/>
  <c r="T125" i="1" s="1"/>
  <c r="W125" i="1" s="1"/>
  <c r="S125" i="1"/>
  <c r="U125" i="1"/>
  <c r="V125" i="1" a="1"/>
  <c r="V125" i="1" s="1"/>
  <c r="B126" i="1"/>
  <c r="D126" i="1"/>
  <c r="H126" i="1"/>
  <c r="F126" i="1" s="1" a="1"/>
  <c r="F126" i="1" s="1"/>
  <c r="Q126" i="1"/>
  <c r="T126" i="1" s="1"/>
  <c r="W126" i="1" s="1"/>
  <c r="S126" i="1"/>
  <c r="U126" i="1"/>
  <c r="V126" i="1" a="1"/>
  <c r="V126" i="1" s="1"/>
  <c r="B127" i="1"/>
  <c r="D127" i="1"/>
  <c r="H127" i="1"/>
  <c r="F127" i="1" s="1" a="1"/>
  <c r="F127" i="1" s="1"/>
  <c r="Q127" i="1"/>
  <c r="T127" i="1" s="1"/>
  <c r="W127" i="1" s="1"/>
  <c r="S127" i="1"/>
  <c r="U127" i="1"/>
  <c r="V127" i="1" a="1"/>
  <c r="V127" i="1" s="1"/>
  <c r="B128" i="1"/>
  <c r="D128" i="1"/>
  <c r="H128" i="1"/>
  <c r="F128" i="1" s="1" a="1"/>
  <c r="F128" i="1" s="1"/>
  <c r="Q128" i="1"/>
  <c r="T128" i="1" s="1"/>
  <c r="W128" i="1" s="1"/>
  <c r="S128" i="1"/>
  <c r="U128" i="1"/>
  <c r="V128" i="1" a="1"/>
  <c r="V128" i="1" s="1"/>
  <c r="B129" i="1"/>
  <c r="D129" i="1"/>
  <c r="H129" i="1"/>
  <c r="F129" i="1" s="1" a="1"/>
  <c r="F129" i="1" s="1"/>
  <c r="Q129" i="1"/>
  <c r="T129" i="1" s="1"/>
  <c r="W129" i="1" s="1"/>
  <c r="S129" i="1"/>
  <c r="U129" i="1"/>
  <c r="V129" i="1" a="1"/>
  <c r="V129" i="1" s="1"/>
  <c r="B130" i="1"/>
  <c r="D130" i="1"/>
  <c r="H130" i="1"/>
  <c r="F130" i="1" s="1" a="1"/>
  <c r="F130" i="1" s="1"/>
  <c r="Q130" i="1"/>
  <c r="T130" i="1" s="1"/>
  <c r="W130" i="1" s="1"/>
  <c r="S130" i="1"/>
  <c r="U130" i="1"/>
  <c r="V130" i="1" a="1"/>
  <c r="V130" i="1" s="1"/>
  <c r="B131" i="1"/>
  <c r="D131" i="1"/>
  <c r="H131" i="1"/>
  <c r="F131" i="1" s="1" a="1"/>
  <c r="F131" i="1" s="1"/>
  <c r="Q131" i="1"/>
  <c r="T131" i="1" s="1"/>
  <c r="W131" i="1" s="1"/>
  <c r="S131" i="1"/>
  <c r="U131" i="1"/>
  <c r="V131" i="1" a="1"/>
  <c r="V131" i="1" s="1"/>
  <c r="B132" i="1"/>
  <c r="D132" i="1"/>
  <c r="H132" i="1"/>
  <c r="F132" i="1" s="1" a="1"/>
  <c r="F132" i="1" s="1"/>
  <c r="Q132" i="1"/>
  <c r="T132" i="1" s="1"/>
  <c r="W132" i="1" s="1"/>
  <c r="S132" i="1"/>
  <c r="U132" i="1"/>
  <c r="V132" i="1" a="1"/>
  <c r="V132" i="1" s="1"/>
  <c r="B133" i="1"/>
  <c r="D133" i="1"/>
  <c r="H133" i="1"/>
  <c r="F133" i="1" s="1" a="1"/>
  <c r="F133" i="1" s="1"/>
  <c r="Q133" i="1"/>
  <c r="T133" i="1" s="1"/>
  <c r="W133" i="1" s="1"/>
  <c r="S133" i="1"/>
  <c r="U133" i="1"/>
  <c r="V133" i="1" a="1"/>
  <c r="V133" i="1" s="1"/>
  <c r="B134" i="1"/>
  <c r="D134" i="1"/>
  <c r="H134" i="1"/>
  <c r="F134" i="1" s="1" a="1"/>
  <c r="F134" i="1" s="1"/>
  <c r="Q134" i="1"/>
  <c r="T134" i="1" s="1"/>
  <c r="W134" i="1" s="1"/>
  <c r="S134" i="1"/>
  <c r="U134" i="1"/>
  <c r="V134" i="1" a="1"/>
  <c r="V134" i="1" s="1"/>
  <c r="B135" i="1"/>
  <c r="D135" i="1"/>
  <c r="H135" i="1"/>
  <c r="F135" i="1" s="1" a="1"/>
  <c r="F135" i="1" s="1"/>
  <c r="Q135" i="1"/>
  <c r="T135" i="1" s="1"/>
  <c r="W135" i="1" s="1"/>
  <c r="S135" i="1"/>
  <c r="U135" i="1"/>
  <c r="V135" i="1" a="1"/>
  <c r="V135" i="1" s="1"/>
  <c r="B136" i="1"/>
  <c r="D136" i="1"/>
  <c r="H136" i="1"/>
  <c r="F136" i="1" s="1" a="1"/>
  <c r="F136" i="1" s="1"/>
  <c r="Q136" i="1"/>
  <c r="T136" i="1" s="1"/>
  <c r="W136" i="1" s="1"/>
  <c r="S136" i="1"/>
  <c r="U136" i="1"/>
  <c r="V136" i="1" a="1"/>
  <c r="V136" i="1" s="1"/>
  <c r="B137" i="1"/>
  <c r="D137" i="1"/>
  <c r="H137" i="1"/>
  <c r="F137" i="1" s="1" a="1"/>
  <c r="F137" i="1" s="1"/>
  <c r="Q137" i="1"/>
  <c r="T137" i="1" s="1"/>
  <c r="W137" i="1" s="1"/>
  <c r="S137" i="1"/>
  <c r="U137" i="1"/>
  <c r="V137" i="1" a="1"/>
  <c r="V137" i="1" s="1"/>
  <c r="B138" i="1"/>
  <c r="D138" i="1"/>
  <c r="H138" i="1"/>
  <c r="F138" i="1" s="1" a="1"/>
  <c r="F138" i="1" s="1"/>
  <c r="Q138" i="1"/>
  <c r="T138" i="1" s="1"/>
  <c r="W138" i="1" s="1"/>
  <c r="S138" i="1"/>
  <c r="U138" i="1"/>
  <c r="V138" i="1" a="1"/>
  <c r="V138" i="1" s="1"/>
  <c r="B139" i="1"/>
  <c r="D139" i="1"/>
  <c r="H139" i="1"/>
  <c r="F139" i="1" s="1" a="1"/>
  <c r="F139" i="1" s="1"/>
  <c r="Q139" i="1"/>
  <c r="T139" i="1" s="1"/>
  <c r="W139" i="1" s="1"/>
  <c r="S139" i="1"/>
  <c r="U139" i="1"/>
  <c r="V139" i="1" a="1"/>
  <c r="V139" i="1" s="1"/>
  <c r="B140" i="1"/>
  <c r="D140" i="1"/>
  <c r="H140" i="1"/>
  <c r="F140" i="1" s="1" a="1"/>
  <c r="F140" i="1" s="1"/>
  <c r="Q140" i="1"/>
  <c r="T140" i="1" s="1"/>
  <c r="W140" i="1" s="1"/>
  <c r="S140" i="1"/>
  <c r="U140" i="1"/>
  <c r="V140" i="1" a="1"/>
  <c r="V140" i="1" s="1"/>
  <c r="B141" i="1"/>
  <c r="D141" i="1"/>
  <c r="H141" i="1"/>
  <c r="F141" i="1" s="1" a="1"/>
  <c r="F141" i="1" s="1"/>
  <c r="Q141" i="1"/>
  <c r="T141" i="1" s="1"/>
  <c r="W141" i="1" s="1"/>
  <c r="S141" i="1"/>
  <c r="V141" i="1" s="1" a="1"/>
  <c r="V141" i="1" s="1"/>
  <c r="U141" i="1"/>
  <c r="B142" i="1"/>
  <c r="D142" i="1"/>
  <c r="H142" i="1"/>
  <c r="F142" i="1" s="1" a="1"/>
  <c r="F142" i="1" s="1"/>
  <c r="Q142" i="1"/>
  <c r="S142" i="1"/>
  <c r="V142" i="1" s="1" a="1"/>
  <c r="V142" i="1" s="1"/>
  <c r="B143" i="1"/>
  <c r="D143" i="1"/>
  <c r="H143" i="1"/>
  <c r="F143" i="1" s="1" a="1"/>
  <c r="F143" i="1" s="1"/>
  <c r="Q143" i="1"/>
  <c r="S143" i="1"/>
  <c r="V143" i="1" a="1"/>
  <c r="V143" i="1" s="1"/>
  <c r="B144" i="1"/>
  <c r="D144" i="1"/>
  <c r="H144" i="1"/>
  <c r="F144" i="1" s="1" a="1"/>
  <c r="F144" i="1" s="1"/>
  <c r="Q144" i="1"/>
  <c r="T144" i="1" s="1"/>
  <c r="W144" i="1" s="1"/>
  <c r="S144" i="1"/>
  <c r="V144" i="1" s="1" a="1"/>
  <c r="U144" i="1"/>
  <c r="V144" i="1"/>
  <c r="B145" i="1"/>
  <c r="D145" i="1"/>
  <c r="H145" i="1"/>
  <c r="F145" i="1" s="1" a="1"/>
  <c r="F145" i="1" s="1"/>
  <c r="Q145" i="1"/>
  <c r="T145" i="1" s="1"/>
  <c r="W145" i="1" s="1"/>
  <c r="S145" i="1"/>
  <c r="V145" i="1" s="1" a="1"/>
  <c r="V145" i="1" s="1"/>
  <c r="U145" i="1"/>
  <c r="B146" i="1"/>
  <c r="D146" i="1"/>
  <c r="H146" i="1"/>
  <c r="F146" i="1" s="1" a="1"/>
  <c r="F146" i="1" s="1"/>
  <c r="Q146" i="1"/>
  <c r="S146" i="1"/>
  <c r="V146" i="1" s="1" a="1"/>
  <c r="V146" i="1" s="1"/>
  <c r="B147" i="1"/>
  <c r="D147" i="1"/>
  <c r="H147" i="1"/>
  <c r="F147" i="1" s="1" a="1"/>
  <c r="F147" i="1" s="1"/>
  <c r="Q147" i="1"/>
  <c r="S147" i="1"/>
  <c r="V147" i="1" a="1"/>
  <c r="V147" i="1" s="1"/>
  <c r="B148" i="1"/>
  <c r="D148" i="1"/>
  <c r="H148" i="1"/>
  <c r="F148" i="1" s="1" a="1"/>
  <c r="F148" i="1" s="1"/>
  <c r="Q148" i="1"/>
  <c r="T148" i="1" s="1"/>
  <c r="W148" i="1" s="1"/>
  <c r="S148" i="1"/>
  <c r="V148" i="1" s="1" a="1"/>
  <c r="U148" i="1"/>
  <c r="V148" i="1"/>
  <c r="B149" i="1"/>
  <c r="D149" i="1"/>
  <c r="H149" i="1"/>
  <c r="F149" i="1" s="1" a="1"/>
  <c r="F149" i="1" s="1"/>
  <c r="Q149" i="1"/>
  <c r="T149" i="1" s="1"/>
  <c r="W149" i="1" s="1"/>
  <c r="S149" i="1"/>
  <c r="V149" i="1" s="1" a="1"/>
  <c r="V149" i="1" s="1"/>
  <c r="U149" i="1"/>
  <c r="B150" i="1"/>
  <c r="D150" i="1"/>
  <c r="H150" i="1"/>
  <c r="F150" i="1" s="1" a="1"/>
  <c r="F150" i="1" s="1"/>
  <c r="Q150" i="1"/>
  <c r="S150" i="1"/>
  <c r="V150" i="1" s="1" a="1"/>
  <c r="V150" i="1" s="1"/>
  <c r="B151" i="1"/>
  <c r="D151" i="1"/>
  <c r="H151" i="1"/>
  <c r="F151" i="1" s="1" a="1"/>
  <c r="F151" i="1" s="1"/>
  <c r="Q151" i="1"/>
  <c r="S151" i="1"/>
  <c r="V151" i="1" a="1"/>
  <c r="V151" i="1" s="1"/>
  <c r="B152" i="1"/>
  <c r="D152" i="1"/>
  <c r="H152" i="1"/>
  <c r="F152" i="1" s="1" a="1"/>
  <c r="F152" i="1" s="1"/>
  <c r="Q152" i="1"/>
  <c r="S152" i="1"/>
  <c r="T152" i="1"/>
  <c r="W152" i="1" s="1"/>
  <c r="U152" i="1"/>
  <c r="V152" i="1" a="1"/>
  <c r="V152" i="1" s="1"/>
  <c r="B153" i="1"/>
  <c r="D153" i="1"/>
  <c r="H153" i="1"/>
  <c r="F153" i="1" s="1" a="1"/>
  <c r="F153" i="1" s="1"/>
  <c r="Q153" i="1"/>
  <c r="S153" i="1"/>
  <c r="T153" i="1"/>
  <c r="U153" i="1"/>
  <c r="V153" i="1" a="1"/>
  <c r="V153" i="1" s="1"/>
  <c r="W153" i="1"/>
  <c r="B154" i="1"/>
  <c r="D154" i="1"/>
  <c r="H154" i="1"/>
  <c r="F154" i="1" s="1" a="1"/>
  <c r="F154" i="1" s="1"/>
  <c r="Q154" i="1"/>
  <c r="S154" i="1"/>
  <c r="T154" i="1"/>
  <c r="W154" i="1" s="1"/>
  <c r="U154" i="1"/>
  <c r="V154" i="1" a="1"/>
  <c r="V154" i="1" s="1"/>
  <c r="B155" i="1"/>
  <c r="D155" i="1"/>
  <c r="H155" i="1"/>
  <c r="F155" i="1" s="1" a="1"/>
  <c r="F155" i="1" s="1"/>
  <c r="Q155" i="1"/>
  <c r="S155" i="1"/>
  <c r="T155" i="1"/>
  <c r="U155" i="1"/>
  <c r="V155" i="1" a="1"/>
  <c r="V155" i="1" s="1"/>
  <c r="W155" i="1"/>
  <c r="B156" i="1"/>
  <c r="D156" i="1"/>
  <c r="H156" i="1"/>
  <c r="F156" i="1" s="1" a="1"/>
  <c r="F156" i="1" s="1"/>
  <c r="Q156" i="1"/>
  <c r="S156" i="1"/>
  <c r="T156" i="1"/>
  <c r="W156" i="1" s="1"/>
  <c r="U156" i="1"/>
  <c r="V156" i="1" a="1"/>
  <c r="V156" i="1" s="1"/>
  <c r="B157" i="1"/>
  <c r="D157" i="1"/>
  <c r="H157" i="1"/>
  <c r="F157" i="1" s="1" a="1"/>
  <c r="F157" i="1" s="1"/>
  <c r="Q157" i="1"/>
  <c r="S157" i="1"/>
  <c r="T157" i="1"/>
  <c r="U157" i="1"/>
  <c r="V157" i="1" a="1"/>
  <c r="V157" i="1" s="1"/>
  <c r="W157" i="1"/>
  <c r="B158" i="1"/>
  <c r="D158" i="1"/>
  <c r="H158" i="1"/>
  <c r="F158" i="1" s="1" a="1"/>
  <c r="F158" i="1" s="1"/>
  <c r="Q158" i="1"/>
  <c r="S158" i="1"/>
  <c r="T158" i="1"/>
  <c r="W158" i="1" s="1"/>
  <c r="U158" i="1"/>
  <c r="V158" i="1" a="1"/>
  <c r="V158" i="1" s="1"/>
  <c r="B159" i="1"/>
  <c r="D159" i="1"/>
  <c r="H159" i="1"/>
  <c r="F159" i="1" s="1" a="1"/>
  <c r="F159" i="1" s="1"/>
  <c r="Q159" i="1"/>
  <c r="S159" i="1"/>
  <c r="T159" i="1"/>
  <c r="U159" i="1"/>
  <c r="V159" i="1" a="1"/>
  <c r="V159" i="1" s="1"/>
  <c r="W159" i="1"/>
  <c r="B160" i="1"/>
  <c r="D160" i="1"/>
  <c r="H160" i="1"/>
  <c r="F160" i="1" s="1" a="1"/>
  <c r="F160" i="1" s="1"/>
  <c r="Q160" i="1"/>
  <c r="S160" i="1"/>
  <c r="T160" i="1"/>
  <c r="W160" i="1" s="1"/>
  <c r="U160" i="1"/>
  <c r="V160" i="1" a="1"/>
  <c r="V160" i="1" s="1"/>
  <c r="B161" i="1"/>
  <c r="D161" i="1"/>
  <c r="H161" i="1"/>
  <c r="F161" i="1" s="1" a="1"/>
  <c r="F161" i="1" s="1"/>
  <c r="Q161" i="1"/>
  <c r="S161" i="1"/>
  <c r="T161" i="1"/>
  <c r="U161" i="1"/>
  <c r="V161" i="1" a="1"/>
  <c r="V161" i="1" s="1"/>
  <c r="W161" i="1"/>
  <c r="B162" i="1"/>
  <c r="D162" i="1"/>
  <c r="H162" i="1"/>
  <c r="F162" i="1" s="1" a="1"/>
  <c r="F162" i="1" s="1"/>
  <c r="Q162" i="1"/>
  <c r="S162" i="1"/>
  <c r="T162" i="1"/>
  <c r="W162" i="1" s="1"/>
  <c r="U162" i="1"/>
  <c r="V162" i="1" a="1"/>
  <c r="V162" i="1" s="1"/>
  <c r="B163" i="1"/>
  <c r="D163" i="1"/>
  <c r="H163" i="1"/>
  <c r="F163" i="1" s="1" a="1"/>
  <c r="F163" i="1" s="1"/>
  <c r="Q163" i="1"/>
  <c r="S163" i="1"/>
  <c r="T163" i="1"/>
  <c r="U163" i="1"/>
  <c r="V163" i="1" a="1"/>
  <c r="V163" i="1" s="1"/>
  <c r="W163" i="1"/>
  <c r="B164" i="1"/>
  <c r="D164" i="1"/>
  <c r="H164" i="1"/>
  <c r="F164" i="1" s="1" a="1"/>
  <c r="F164" i="1" s="1"/>
  <c r="Q164" i="1"/>
  <c r="S164" i="1"/>
  <c r="T164" i="1"/>
  <c r="W164" i="1" s="1"/>
  <c r="U164" i="1"/>
  <c r="V164" i="1" a="1"/>
  <c r="V164" i="1" s="1"/>
  <c r="B165" i="1"/>
  <c r="D165" i="1"/>
  <c r="H165" i="1"/>
  <c r="F165" i="1" s="1" a="1"/>
  <c r="F165" i="1" s="1"/>
  <c r="Q165" i="1"/>
  <c r="S165" i="1"/>
  <c r="T165" i="1"/>
  <c r="U165" i="1"/>
  <c r="V165" i="1" a="1"/>
  <c r="V165" i="1" s="1"/>
  <c r="W165" i="1"/>
  <c r="B166" i="1"/>
  <c r="D166" i="1"/>
  <c r="H166" i="1"/>
  <c r="F166" i="1" s="1" a="1"/>
  <c r="F166" i="1" s="1"/>
  <c r="Q166" i="1"/>
  <c r="S166" i="1"/>
  <c r="T166" i="1"/>
  <c r="W166" i="1" s="1"/>
  <c r="U166" i="1"/>
  <c r="V166" i="1" a="1"/>
  <c r="V166" i="1" s="1"/>
  <c r="B167" i="1"/>
  <c r="D167" i="1"/>
  <c r="H167" i="1"/>
  <c r="F167" i="1" s="1" a="1"/>
  <c r="F167" i="1" s="1"/>
  <c r="Q167" i="1"/>
  <c r="S167" i="1"/>
  <c r="T167" i="1"/>
  <c r="U167" i="1"/>
  <c r="V167" i="1" a="1"/>
  <c r="V167" i="1" s="1"/>
  <c r="W167" i="1"/>
  <c r="B168" i="1"/>
  <c r="D168" i="1"/>
  <c r="H168" i="1"/>
  <c r="F168" i="1" s="1" a="1"/>
  <c r="F168" i="1" s="1"/>
  <c r="Q168" i="1"/>
  <c r="S168" i="1"/>
  <c r="T168" i="1"/>
  <c r="W168" i="1" s="1"/>
  <c r="U168" i="1"/>
  <c r="V168" i="1" a="1"/>
  <c r="V168" i="1" s="1"/>
  <c r="B169" i="1"/>
  <c r="D169" i="1"/>
  <c r="H169" i="1"/>
  <c r="F169" i="1" s="1" a="1"/>
  <c r="F169" i="1" s="1"/>
  <c r="Q169" i="1"/>
  <c r="S169" i="1"/>
  <c r="T169" i="1"/>
  <c r="U169" i="1"/>
  <c r="V169" i="1" a="1"/>
  <c r="V169" i="1" s="1"/>
  <c r="W169" i="1"/>
  <c r="B170" i="1"/>
  <c r="D170" i="1"/>
  <c r="H170" i="1"/>
  <c r="F170" i="1" s="1" a="1"/>
  <c r="F170" i="1" s="1"/>
  <c r="Q170" i="1"/>
  <c r="S170" i="1"/>
  <c r="T170" i="1"/>
  <c r="W170" i="1" s="1"/>
  <c r="U170" i="1"/>
  <c r="V170" i="1" a="1"/>
  <c r="V170" i="1" s="1"/>
  <c r="B171" i="1"/>
  <c r="D171" i="1"/>
  <c r="H171" i="1"/>
  <c r="F171" i="1" s="1" a="1"/>
  <c r="F171" i="1" s="1"/>
  <c r="Q171" i="1"/>
  <c r="S171" i="1"/>
  <c r="T171" i="1"/>
  <c r="U171" i="1"/>
  <c r="V171" i="1" a="1"/>
  <c r="V171" i="1" s="1"/>
  <c r="W171" i="1"/>
  <c r="B172" i="1"/>
  <c r="D172" i="1"/>
  <c r="H172" i="1"/>
  <c r="F172" i="1" s="1" a="1"/>
  <c r="F172" i="1" s="1"/>
  <c r="Q172" i="1"/>
  <c r="S172" i="1"/>
  <c r="T172" i="1"/>
  <c r="W172" i="1" s="1"/>
  <c r="U172" i="1"/>
  <c r="V172" i="1" a="1"/>
  <c r="V172" i="1" s="1"/>
  <c r="B173" i="1"/>
  <c r="D173" i="1"/>
  <c r="H173" i="1"/>
  <c r="F173" i="1" s="1" a="1"/>
  <c r="F173" i="1" s="1"/>
  <c r="Q173" i="1"/>
  <c r="S173" i="1"/>
  <c r="T173" i="1"/>
  <c r="U173" i="1"/>
  <c r="V173" i="1" a="1"/>
  <c r="V173" i="1" s="1"/>
  <c r="W173" i="1"/>
  <c r="B174" i="1"/>
  <c r="D174" i="1"/>
  <c r="H174" i="1"/>
  <c r="F174" i="1" s="1" a="1"/>
  <c r="F174" i="1" s="1"/>
  <c r="Q174" i="1"/>
  <c r="S174" i="1"/>
  <c r="T174" i="1"/>
  <c r="W174" i="1" s="1"/>
  <c r="U174" i="1"/>
  <c r="V174" i="1" a="1"/>
  <c r="V174" i="1" s="1"/>
  <c r="B175" i="1"/>
  <c r="D175" i="1"/>
  <c r="H175" i="1"/>
  <c r="F175" i="1" s="1" a="1"/>
  <c r="F175" i="1" s="1"/>
  <c r="Q175" i="1"/>
  <c r="S175" i="1"/>
  <c r="T175" i="1"/>
  <c r="U175" i="1"/>
  <c r="V175" i="1" a="1"/>
  <c r="V175" i="1" s="1"/>
  <c r="W175" i="1"/>
  <c r="B176" i="1"/>
  <c r="D176" i="1"/>
  <c r="H176" i="1"/>
  <c r="F176" i="1" s="1" a="1"/>
  <c r="F176" i="1" s="1"/>
  <c r="Q176" i="1"/>
  <c r="S176" i="1"/>
  <c r="T176" i="1"/>
  <c r="W176" i="1" s="1"/>
  <c r="U176" i="1"/>
  <c r="V176" i="1" a="1"/>
  <c r="V176" i="1" s="1"/>
  <c r="B177" i="1"/>
  <c r="D177" i="1"/>
  <c r="H177" i="1"/>
  <c r="F177" i="1" s="1" a="1"/>
  <c r="F177" i="1" s="1"/>
  <c r="Q177" i="1"/>
  <c r="S177" i="1"/>
  <c r="T177" i="1"/>
  <c r="U177" i="1"/>
  <c r="V177" i="1" a="1"/>
  <c r="V177" i="1" s="1"/>
  <c r="W177" i="1"/>
  <c r="B178" i="1"/>
  <c r="D178" i="1"/>
  <c r="H178" i="1"/>
  <c r="F178" i="1" s="1" a="1"/>
  <c r="F178" i="1" s="1"/>
  <c r="Q178" i="1"/>
  <c r="S178" i="1"/>
  <c r="T178" i="1"/>
  <c r="W178" i="1" s="1"/>
  <c r="U178" i="1"/>
  <c r="V178" i="1" a="1"/>
  <c r="V178" i="1" s="1"/>
  <c r="B179" i="1"/>
  <c r="D179" i="1"/>
  <c r="H179" i="1"/>
  <c r="F179" i="1" s="1" a="1"/>
  <c r="F179" i="1" s="1"/>
  <c r="Q179" i="1"/>
  <c r="S179" i="1"/>
  <c r="T179" i="1"/>
  <c r="U179" i="1"/>
  <c r="V179" i="1" a="1"/>
  <c r="V179" i="1" s="1"/>
  <c r="W179" i="1"/>
  <c r="B180" i="1"/>
  <c r="D180" i="1"/>
  <c r="H180" i="1"/>
  <c r="F180" i="1" s="1" a="1"/>
  <c r="F180" i="1" s="1"/>
  <c r="Q180" i="1"/>
  <c r="S180" i="1"/>
  <c r="T180" i="1"/>
  <c r="W180" i="1" s="1"/>
  <c r="U180" i="1"/>
  <c r="V180" i="1" a="1"/>
  <c r="V180" i="1" s="1"/>
  <c r="B181" i="1"/>
  <c r="D181" i="1"/>
  <c r="H181" i="1"/>
  <c r="F181" i="1" s="1" a="1"/>
  <c r="F181" i="1" s="1"/>
  <c r="Q181" i="1"/>
  <c r="S181" i="1"/>
  <c r="T181" i="1"/>
  <c r="U181" i="1"/>
  <c r="V181" i="1" a="1"/>
  <c r="V181" i="1" s="1"/>
  <c r="W181" i="1"/>
  <c r="B182" i="1"/>
  <c r="D182" i="1"/>
  <c r="H182" i="1"/>
  <c r="F182" i="1" s="1" a="1"/>
  <c r="F182" i="1" s="1"/>
  <c r="Q182" i="1"/>
  <c r="S182" i="1"/>
  <c r="T182" i="1"/>
  <c r="W182" i="1" s="1"/>
  <c r="U182" i="1"/>
  <c r="V182" i="1" a="1"/>
  <c r="V182" i="1" s="1"/>
  <c r="B183" i="1"/>
  <c r="D183" i="1"/>
  <c r="H183" i="1"/>
  <c r="F183" i="1" s="1" a="1"/>
  <c r="F183" i="1" s="1"/>
  <c r="Q183" i="1"/>
  <c r="S183" i="1"/>
  <c r="T183" i="1"/>
  <c r="U183" i="1"/>
  <c r="V183" i="1" a="1"/>
  <c r="V183" i="1" s="1"/>
  <c r="W183" i="1"/>
  <c r="B184" i="1"/>
  <c r="D184" i="1"/>
  <c r="H184" i="1"/>
  <c r="F184" i="1" s="1" a="1"/>
  <c r="F184" i="1" s="1"/>
  <c r="Q184" i="1"/>
  <c r="S184" i="1"/>
  <c r="T184" i="1"/>
  <c r="W184" i="1" s="1"/>
  <c r="U184" i="1"/>
  <c r="V184" i="1" a="1"/>
  <c r="V184" i="1" s="1"/>
  <c r="B185" i="1"/>
  <c r="D185" i="1"/>
  <c r="H185" i="1"/>
  <c r="F185" i="1" s="1" a="1"/>
  <c r="F185" i="1" s="1"/>
  <c r="Q185" i="1"/>
  <c r="S185" i="1"/>
  <c r="T185" i="1"/>
  <c r="U185" i="1"/>
  <c r="V185" i="1" a="1"/>
  <c r="V185" i="1" s="1"/>
  <c r="W185" i="1"/>
  <c r="B186" i="1"/>
  <c r="D186" i="1"/>
  <c r="H186" i="1"/>
  <c r="F186" i="1" s="1" a="1"/>
  <c r="F186" i="1" s="1"/>
  <c r="Q186" i="1"/>
  <c r="S186" i="1"/>
  <c r="T186" i="1"/>
  <c r="W186" i="1" s="1"/>
  <c r="U186" i="1"/>
  <c r="V186" i="1" a="1"/>
  <c r="V186" i="1" s="1"/>
  <c r="B187" i="1"/>
  <c r="D187" i="1"/>
  <c r="H187" i="1"/>
  <c r="F187" i="1" s="1" a="1"/>
  <c r="F187" i="1" s="1"/>
  <c r="Q187" i="1"/>
  <c r="S187" i="1"/>
  <c r="T187" i="1"/>
  <c r="U187" i="1"/>
  <c r="V187" i="1" a="1"/>
  <c r="V187" i="1" s="1"/>
  <c r="W187" i="1"/>
  <c r="B188" i="1"/>
  <c r="D188" i="1"/>
  <c r="H188" i="1"/>
  <c r="F188" i="1" s="1" a="1"/>
  <c r="F188" i="1" s="1"/>
  <c r="Q188" i="1"/>
  <c r="S188" i="1"/>
  <c r="T188" i="1"/>
  <c r="W188" i="1" s="1"/>
  <c r="U188" i="1"/>
  <c r="V188" i="1" a="1"/>
  <c r="V188" i="1" s="1"/>
  <c r="B189" i="1"/>
  <c r="D189" i="1"/>
  <c r="H189" i="1"/>
  <c r="F189" i="1" s="1" a="1"/>
  <c r="F189" i="1" s="1"/>
  <c r="Q189" i="1"/>
  <c r="S189" i="1"/>
  <c r="T189" i="1"/>
  <c r="U189" i="1"/>
  <c r="V189" i="1" a="1"/>
  <c r="V189" i="1" s="1"/>
  <c r="W189" i="1"/>
  <c r="B190" i="1"/>
  <c r="D190" i="1"/>
  <c r="H190" i="1"/>
  <c r="F190" i="1" s="1" a="1"/>
  <c r="F190" i="1" s="1"/>
  <c r="Q190" i="1"/>
  <c r="S190" i="1"/>
  <c r="T190" i="1"/>
  <c r="W190" i="1" s="1"/>
  <c r="U190" i="1"/>
  <c r="V190" i="1" a="1"/>
  <c r="V190" i="1" s="1"/>
  <c r="B191" i="1"/>
  <c r="D191" i="1"/>
  <c r="H191" i="1"/>
  <c r="F191" i="1" s="1" a="1"/>
  <c r="F191" i="1" s="1"/>
  <c r="Q191" i="1"/>
  <c r="S191" i="1"/>
  <c r="T191" i="1"/>
  <c r="U191" i="1"/>
  <c r="V191" i="1" a="1"/>
  <c r="V191" i="1" s="1"/>
  <c r="W191" i="1"/>
  <c r="B192" i="1"/>
  <c r="D192" i="1"/>
  <c r="H192" i="1"/>
  <c r="F192" i="1" s="1" a="1"/>
  <c r="F192" i="1" s="1"/>
  <c r="Q192" i="1"/>
  <c r="S192" i="1"/>
  <c r="T192" i="1"/>
  <c r="W192" i="1" s="1"/>
  <c r="U192" i="1"/>
  <c r="V192" i="1" a="1"/>
  <c r="V192" i="1" s="1"/>
  <c r="B193" i="1"/>
  <c r="D193" i="1"/>
  <c r="H193" i="1"/>
  <c r="F193" i="1" s="1" a="1"/>
  <c r="F193" i="1" s="1"/>
  <c r="Q193" i="1"/>
  <c r="S193" i="1"/>
  <c r="T193" i="1"/>
  <c r="U193" i="1"/>
  <c r="V193" i="1" a="1"/>
  <c r="V193" i="1" s="1"/>
  <c r="W193" i="1"/>
  <c r="B194" i="1"/>
  <c r="D194" i="1"/>
  <c r="H194" i="1"/>
  <c r="F194" i="1" s="1" a="1"/>
  <c r="F194" i="1" s="1"/>
  <c r="Q194" i="1"/>
  <c r="S194" i="1"/>
  <c r="V194" i="1" s="1" a="1"/>
  <c r="V194" i="1" s="1"/>
  <c r="T194" i="1"/>
  <c r="W194" i="1" s="1"/>
  <c r="U194" i="1"/>
  <c r="B195" i="1"/>
  <c r="D195" i="1"/>
  <c r="H195" i="1"/>
  <c r="F195" i="1" s="1" a="1"/>
  <c r="F195" i="1" s="1"/>
  <c r="Q195" i="1"/>
  <c r="S195" i="1"/>
  <c r="V195" i="1" s="1" a="1"/>
  <c r="V195" i="1" s="1"/>
  <c r="T195" i="1"/>
  <c r="W195" i="1" s="1"/>
  <c r="U195" i="1"/>
  <c r="B196" i="1"/>
  <c r="D196" i="1"/>
  <c r="H196" i="1"/>
  <c r="F196" i="1" s="1" a="1"/>
  <c r="F196" i="1" s="1"/>
  <c r="Q196" i="1"/>
  <c r="S196" i="1"/>
  <c r="T196" i="1"/>
  <c r="W196" i="1" s="1"/>
  <c r="U196" i="1"/>
  <c r="V196" i="1" a="1"/>
  <c r="V196" i="1" s="1"/>
  <c r="B197" i="1"/>
  <c r="D197" i="1"/>
  <c r="H197" i="1"/>
  <c r="F197" i="1" s="1" a="1"/>
  <c r="F197" i="1" s="1"/>
  <c r="Q197" i="1"/>
  <c r="S197" i="1"/>
  <c r="V197" i="1" s="1" a="1"/>
  <c r="V197" i="1" s="1"/>
  <c r="T197" i="1"/>
  <c r="U197" i="1"/>
  <c r="W197" i="1"/>
  <c r="B198" i="1"/>
  <c r="D198" i="1"/>
  <c r="H198" i="1"/>
  <c r="F198" i="1" s="1" a="1"/>
  <c r="F198" i="1" s="1"/>
  <c r="Q198" i="1"/>
  <c r="S198" i="1"/>
  <c r="V198" i="1" s="1" a="1"/>
  <c r="V198" i="1" s="1"/>
  <c r="T198" i="1"/>
  <c r="W198" i="1" s="1"/>
  <c r="U198" i="1"/>
  <c r="B199" i="1"/>
  <c r="D199" i="1"/>
  <c r="H199" i="1"/>
  <c r="F199" i="1" s="1" a="1"/>
  <c r="F199" i="1" s="1"/>
  <c r="Q199" i="1"/>
  <c r="S199" i="1"/>
  <c r="V199" i="1" s="1" a="1"/>
  <c r="V199" i="1" s="1"/>
  <c r="T199" i="1"/>
  <c r="W199" i="1" s="1"/>
  <c r="U199" i="1"/>
  <c r="B200" i="1"/>
  <c r="D200" i="1"/>
  <c r="H200" i="1"/>
  <c r="F200" i="1" s="1" a="1"/>
  <c r="F200" i="1" s="1"/>
  <c r="Q200" i="1"/>
  <c r="S200" i="1"/>
  <c r="T200" i="1"/>
  <c r="W200" i="1" s="1"/>
  <c r="U200" i="1"/>
  <c r="V200" i="1" a="1"/>
  <c r="V200" i="1" s="1"/>
  <c r="B201" i="1"/>
  <c r="D201" i="1"/>
  <c r="H201" i="1"/>
  <c r="F201" i="1" s="1" a="1"/>
  <c r="F201" i="1" s="1"/>
  <c r="Q201" i="1"/>
  <c r="S201" i="1"/>
  <c r="V201" i="1" s="1" a="1"/>
  <c r="V201" i="1" s="1"/>
  <c r="T201" i="1"/>
  <c r="U201" i="1"/>
  <c r="W201" i="1"/>
  <c r="B202" i="1"/>
  <c r="D202" i="1"/>
  <c r="H202" i="1"/>
  <c r="F202" i="1" s="1" a="1"/>
  <c r="F202" i="1" s="1"/>
  <c r="Q202" i="1"/>
  <c r="S202" i="1"/>
  <c r="V202" i="1" s="1" a="1"/>
  <c r="V202" i="1" s="1"/>
  <c r="T202" i="1"/>
  <c r="W202" i="1" s="1"/>
  <c r="U202" i="1"/>
  <c r="B203" i="1"/>
  <c r="D203" i="1"/>
  <c r="H203" i="1"/>
  <c r="F203" i="1" s="1" a="1"/>
  <c r="F203" i="1" s="1"/>
  <c r="Q203" i="1"/>
  <c r="S203" i="1"/>
  <c r="V203" i="1" s="1" a="1"/>
  <c r="V203" i="1" s="1"/>
  <c r="T203" i="1"/>
  <c r="W203" i="1" s="1"/>
  <c r="U203" i="1"/>
  <c r="B204" i="1"/>
  <c r="D204" i="1"/>
  <c r="H204" i="1"/>
  <c r="F204" i="1" s="1" a="1"/>
  <c r="F204" i="1" s="1"/>
  <c r="Q204" i="1"/>
  <c r="S204" i="1"/>
  <c r="T204" i="1"/>
  <c r="W204" i="1" s="1"/>
  <c r="U204" i="1"/>
  <c r="V204" i="1" a="1"/>
  <c r="V204" i="1" s="1"/>
  <c r="B205" i="1"/>
  <c r="D205" i="1"/>
  <c r="H205" i="1"/>
  <c r="F205" i="1" s="1" a="1"/>
  <c r="F205" i="1" s="1"/>
  <c r="Q205" i="1"/>
  <c r="S205" i="1"/>
  <c r="V205" i="1" s="1" a="1"/>
  <c r="V205" i="1" s="1"/>
  <c r="T205" i="1"/>
  <c r="U205" i="1"/>
  <c r="W205" i="1"/>
  <c r="B206" i="1"/>
  <c r="D206" i="1"/>
  <c r="H206" i="1"/>
  <c r="F206" i="1" s="1" a="1"/>
  <c r="F206" i="1" s="1"/>
  <c r="Q206" i="1"/>
  <c r="S206" i="1"/>
  <c r="V206" i="1" s="1" a="1"/>
  <c r="V206" i="1" s="1"/>
  <c r="T206" i="1"/>
  <c r="W206" i="1" s="1"/>
  <c r="U206" i="1"/>
  <c r="B207" i="1"/>
  <c r="D207" i="1"/>
  <c r="H207" i="1"/>
  <c r="F207" i="1" s="1" a="1"/>
  <c r="F207" i="1" s="1"/>
  <c r="Q207" i="1"/>
  <c r="S207" i="1"/>
  <c r="V207" i="1" s="1" a="1"/>
  <c r="V207" i="1" s="1"/>
  <c r="T207" i="1"/>
  <c r="W207" i="1" s="1"/>
  <c r="U207" i="1"/>
  <c r="B208" i="1"/>
  <c r="D208" i="1"/>
  <c r="H208" i="1"/>
  <c r="F208" i="1" s="1" a="1"/>
  <c r="F208" i="1" s="1"/>
  <c r="Q208" i="1"/>
  <c r="S208" i="1"/>
  <c r="T208" i="1"/>
  <c r="W208" i="1" s="1"/>
  <c r="U208" i="1"/>
  <c r="V208" i="1" a="1"/>
  <c r="V208" i="1" s="1"/>
  <c r="B209" i="1"/>
  <c r="D209" i="1"/>
  <c r="H209" i="1"/>
  <c r="F209" i="1" s="1" a="1"/>
  <c r="F209" i="1" s="1"/>
  <c r="Q209" i="1"/>
  <c r="S209" i="1"/>
  <c r="V209" i="1" s="1" a="1"/>
  <c r="V209" i="1" s="1"/>
  <c r="T209" i="1"/>
  <c r="U209" i="1"/>
  <c r="W209" i="1"/>
  <c r="B210" i="1"/>
  <c r="D210" i="1"/>
  <c r="H210" i="1"/>
  <c r="F210" i="1" s="1" a="1"/>
  <c r="F210" i="1" s="1"/>
  <c r="Q210" i="1"/>
  <c r="S210" i="1"/>
  <c r="V210" i="1" s="1" a="1"/>
  <c r="V210" i="1" s="1"/>
  <c r="T210" i="1"/>
  <c r="W210" i="1" s="1"/>
  <c r="U210" i="1"/>
  <c r="B211" i="1"/>
  <c r="D211" i="1"/>
  <c r="H211" i="1"/>
  <c r="F211" i="1" s="1" a="1"/>
  <c r="F211" i="1" s="1"/>
  <c r="Q211" i="1"/>
  <c r="S211" i="1"/>
  <c r="V211" i="1" s="1" a="1"/>
  <c r="V211" i="1" s="1"/>
  <c r="T211" i="1"/>
  <c r="W211" i="1" s="1"/>
  <c r="U211" i="1"/>
  <c r="B212" i="1"/>
  <c r="D212" i="1"/>
  <c r="H212" i="1"/>
  <c r="F212" i="1" s="1" a="1"/>
  <c r="F212" i="1" s="1"/>
  <c r="Q212" i="1"/>
  <c r="S212" i="1"/>
  <c r="T212" i="1"/>
  <c r="W212" i="1" s="1"/>
  <c r="U212" i="1"/>
  <c r="V212" i="1" a="1"/>
  <c r="V212" i="1" s="1"/>
  <c r="B213" i="1"/>
  <c r="D213" i="1"/>
  <c r="H213" i="1"/>
  <c r="F213" i="1" s="1" a="1"/>
  <c r="F213" i="1" s="1"/>
  <c r="Q213" i="1"/>
  <c r="S213" i="1"/>
  <c r="V213" i="1" s="1" a="1"/>
  <c r="V213" i="1" s="1"/>
  <c r="T213" i="1"/>
  <c r="U213" i="1"/>
  <c r="W213" i="1"/>
  <c r="B214" i="1"/>
  <c r="D214" i="1"/>
  <c r="H214" i="1"/>
  <c r="F214" i="1" s="1" a="1"/>
  <c r="F214" i="1" s="1"/>
  <c r="Q214" i="1"/>
  <c r="S214" i="1"/>
  <c r="V214" i="1" s="1" a="1"/>
  <c r="V214" i="1" s="1"/>
  <c r="T214" i="1"/>
  <c r="W214" i="1" s="1"/>
  <c r="U214" i="1"/>
  <c r="B215" i="1"/>
  <c r="D215" i="1"/>
  <c r="H215" i="1"/>
  <c r="F215" i="1" s="1" a="1"/>
  <c r="F215" i="1" s="1"/>
  <c r="Q215" i="1"/>
  <c r="S215" i="1"/>
  <c r="V215" i="1" s="1" a="1"/>
  <c r="V215" i="1" s="1"/>
  <c r="T215" i="1"/>
  <c r="W215" i="1" s="1"/>
  <c r="U215" i="1"/>
  <c r="B216" i="1"/>
  <c r="D216" i="1"/>
  <c r="H216" i="1"/>
  <c r="F216" i="1" s="1" a="1"/>
  <c r="F216" i="1" s="1"/>
  <c r="Q216" i="1"/>
  <c r="S216" i="1"/>
  <c r="T216" i="1"/>
  <c r="W216" i="1" s="1"/>
  <c r="U216" i="1"/>
  <c r="V216" i="1" a="1"/>
  <c r="V216" i="1" s="1"/>
  <c r="B217" i="1"/>
  <c r="D217" i="1"/>
  <c r="H217" i="1"/>
  <c r="F217" i="1" s="1" a="1"/>
  <c r="F217" i="1" s="1"/>
  <c r="Q217" i="1"/>
  <c r="S217" i="1"/>
  <c r="V217" i="1" s="1" a="1"/>
  <c r="V217" i="1" s="1"/>
  <c r="T217" i="1"/>
  <c r="U217" i="1"/>
  <c r="W217" i="1"/>
  <c r="B218" i="1"/>
  <c r="D218" i="1"/>
  <c r="H218" i="1"/>
  <c r="F218" i="1" s="1" a="1"/>
  <c r="F218" i="1" s="1"/>
  <c r="Q218" i="1"/>
  <c r="S218" i="1"/>
  <c r="V218" i="1" s="1" a="1"/>
  <c r="V218" i="1" s="1"/>
  <c r="T218" i="1"/>
  <c r="W218" i="1" s="1"/>
  <c r="U218" i="1"/>
  <c r="B219" i="1"/>
  <c r="D219" i="1"/>
  <c r="H219" i="1"/>
  <c r="F219" i="1" s="1" a="1"/>
  <c r="F219" i="1" s="1"/>
  <c r="Q219" i="1"/>
  <c r="S219" i="1"/>
  <c r="V219" i="1" s="1" a="1"/>
  <c r="V219" i="1" s="1"/>
  <c r="T219" i="1"/>
  <c r="W219" i="1" s="1"/>
  <c r="U219" i="1"/>
  <c r="B220" i="1"/>
  <c r="D220" i="1"/>
  <c r="H220" i="1"/>
  <c r="F220" i="1" s="1" a="1"/>
  <c r="F220" i="1" s="1"/>
  <c r="Q220" i="1"/>
  <c r="S220" i="1"/>
  <c r="T220" i="1"/>
  <c r="W220" i="1" s="1"/>
  <c r="U220" i="1"/>
  <c r="V220" i="1" a="1"/>
  <c r="V220" i="1" s="1"/>
  <c r="B221" i="1"/>
  <c r="D221" i="1"/>
  <c r="H221" i="1"/>
  <c r="F221" i="1" s="1" a="1"/>
  <c r="F221" i="1" s="1"/>
  <c r="Q221" i="1"/>
  <c r="S221" i="1"/>
  <c r="V221" i="1" s="1" a="1"/>
  <c r="V221" i="1" s="1"/>
  <c r="T221" i="1"/>
  <c r="U221" i="1"/>
  <c r="W221" i="1"/>
  <c r="B222" i="1"/>
  <c r="D222" i="1"/>
  <c r="H222" i="1"/>
  <c r="F222" i="1" s="1" a="1"/>
  <c r="F222" i="1" s="1"/>
  <c r="Q222" i="1"/>
  <c r="S222" i="1"/>
  <c r="V222" i="1" s="1" a="1"/>
  <c r="V222" i="1" s="1"/>
  <c r="T222" i="1"/>
  <c r="W222" i="1" s="1"/>
  <c r="U222" i="1"/>
  <c r="B223" i="1"/>
  <c r="D223" i="1"/>
  <c r="H223" i="1"/>
  <c r="F223" i="1" s="1" a="1"/>
  <c r="F223" i="1" s="1"/>
  <c r="Q223" i="1"/>
  <c r="S223" i="1"/>
  <c r="V223" i="1" s="1" a="1"/>
  <c r="V223" i="1" s="1"/>
  <c r="T223" i="1"/>
  <c r="W223" i="1" s="1"/>
  <c r="U223" i="1"/>
  <c r="B224" i="1"/>
  <c r="D224" i="1"/>
  <c r="H224" i="1"/>
  <c r="F224" i="1" s="1" a="1"/>
  <c r="F224" i="1" s="1"/>
  <c r="Q224" i="1"/>
  <c r="S224" i="1"/>
  <c r="T224" i="1"/>
  <c r="W224" i="1" s="1"/>
  <c r="U224" i="1"/>
  <c r="V224" i="1" a="1"/>
  <c r="V224" i="1" s="1"/>
  <c r="B225" i="1"/>
  <c r="D225" i="1"/>
  <c r="H225" i="1"/>
  <c r="F225" i="1" s="1" a="1"/>
  <c r="F225" i="1" s="1"/>
  <c r="Q225" i="1"/>
  <c r="S225" i="1"/>
  <c r="V225" i="1" s="1" a="1"/>
  <c r="V225" i="1" s="1"/>
  <c r="T225" i="1"/>
  <c r="U225" i="1"/>
  <c r="W225" i="1"/>
  <c r="B226" i="1"/>
  <c r="D226" i="1"/>
  <c r="H226" i="1"/>
  <c r="F226" i="1" s="1" a="1"/>
  <c r="F226" i="1" s="1"/>
  <c r="Q226" i="1"/>
  <c r="U226" i="1" s="1"/>
  <c r="S226" i="1"/>
  <c r="T226" i="1"/>
  <c r="W226" i="1" s="1"/>
  <c r="V226" i="1" a="1"/>
  <c r="V226" i="1" s="1"/>
  <c r="B227" i="1"/>
  <c r="D227" i="1"/>
  <c r="H227" i="1"/>
  <c r="F227" i="1" s="1" a="1"/>
  <c r="F227" i="1" s="1"/>
  <c r="Q227" i="1"/>
  <c r="U227" i="1" s="1"/>
  <c r="S227" i="1"/>
  <c r="T227" i="1"/>
  <c r="V227" i="1" a="1"/>
  <c r="V227" i="1" s="1"/>
  <c r="W227" i="1"/>
  <c r="B228" i="1"/>
  <c r="D228" i="1"/>
  <c r="H228" i="1"/>
  <c r="F228" i="1" s="1" a="1"/>
  <c r="F228" i="1" s="1"/>
  <c r="Q228" i="1"/>
  <c r="U228" i="1" s="1"/>
  <c r="S228" i="1"/>
  <c r="T228" i="1"/>
  <c r="V228" i="1" a="1"/>
  <c r="V228" i="1" s="1"/>
  <c r="W228" i="1"/>
  <c r="B229" i="1"/>
  <c r="D229" i="1"/>
  <c r="H229" i="1"/>
  <c r="F229" i="1" s="1" a="1"/>
  <c r="F229" i="1" s="1"/>
  <c r="Q229" i="1"/>
  <c r="U229" i="1" s="1"/>
  <c r="S229" i="1"/>
  <c r="T229" i="1"/>
  <c r="W229" i="1" s="1"/>
  <c r="V229" i="1" a="1"/>
  <c r="V229" i="1" s="1"/>
  <c r="B230" i="1"/>
  <c r="D230" i="1"/>
  <c r="H230" i="1"/>
  <c r="F230" i="1" s="1" a="1"/>
  <c r="F230" i="1" s="1"/>
  <c r="Q230" i="1"/>
  <c r="U230" i="1" s="1"/>
  <c r="S230" i="1"/>
  <c r="T230" i="1"/>
  <c r="W230" i="1" s="1"/>
  <c r="V230" i="1" a="1"/>
  <c r="V230" i="1" s="1"/>
  <c r="B231" i="1"/>
  <c r="D231" i="1"/>
  <c r="H231" i="1"/>
  <c r="F231" i="1" s="1" a="1"/>
  <c r="F231" i="1" s="1"/>
  <c r="Q231" i="1"/>
  <c r="U231" i="1" s="1"/>
  <c r="S231" i="1"/>
  <c r="T231" i="1"/>
  <c r="V231" i="1" a="1"/>
  <c r="V231" i="1" s="1"/>
  <c r="W231" i="1"/>
  <c r="B232" i="1"/>
  <c r="D232" i="1"/>
  <c r="H232" i="1"/>
  <c r="F232" i="1" s="1" a="1"/>
  <c r="F232" i="1" s="1"/>
  <c r="Q232" i="1"/>
  <c r="U232" i="1" s="1"/>
  <c r="S232" i="1"/>
  <c r="T232" i="1"/>
  <c r="V232" i="1" a="1"/>
  <c r="V232" i="1" s="1"/>
  <c r="W232" i="1"/>
  <c r="B233" i="1"/>
  <c r="D233" i="1"/>
  <c r="H233" i="1"/>
  <c r="F233" i="1" s="1" a="1"/>
  <c r="F233" i="1" s="1"/>
  <c r="Q233" i="1"/>
  <c r="U233" i="1" s="1"/>
  <c r="S233" i="1"/>
  <c r="T233" i="1"/>
  <c r="W233" i="1" s="1"/>
  <c r="V233" i="1" a="1"/>
  <c r="V233" i="1" s="1"/>
  <c r="B234" i="1"/>
  <c r="D234" i="1"/>
  <c r="H234" i="1"/>
  <c r="F234" i="1" s="1" a="1"/>
  <c r="F234" i="1" s="1"/>
  <c r="Q234" i="1"/>
  <c r="U234" i="1" s="1"/>
  <c r="S234" i="1"/>
  <c r="T234" i="1"/>
  <c r="W234" i="1" s="1"/>
  <c r="V234" i="1" a="1"/>
  <c r="V234" i="1" s="1"/>
  <c r="B235" i="1"/>
  <c r="D235" i="1"/>
  <c r="H235" i="1"/>
  <c r="F235" i="1" s="1" a="1"/>
  <c r="F235" i="1" s="1"/>
  <c r="Q235" i="1"/>
  <c r="U235" i="1" s="1"/>
  <c r="S235" i="1"/>
  <c r="T235" i="1"/>
  <c r="V235" i="1" a="1"/>
  <c r="V235" i="1" s="1"/>
  <c r="W235" i="1"/>
  <c r="B236" i="1"/>
  <c r="D236" i="1"/>
  <c r="H236" i="1"/>
  <c r="F236" i="1" s="1" a="1"/>
  <c r="F236" i="1" s="1"/>
  <c r="Q236" i="1"/>
  <c r="U236" i="1" s="1"/>
  <c r="S236" i="1"/>
  <c r="T236" i="1"/>
  <c r="V236" i="1" a="1"/>
  <c r="V236" i="1" s="1"/>
  <c r="W236" i="1"/>
  <c r="B237" i="1"/>
  <c r="D237" i="1"/>
  <c r="H237" i="1"/>
  <c r="F237" i="1" s="1" a="1"/>
  <c r="F237" i="1" s="1"/>
  <c r="Q237" i="1"/>
  <c r="U237" i="1" s="1"/>
  <c r="S237" i="1"/>
  <c r="T237" i="1"/>
  <c r="W237" i="1" s="1"/>
  <c r="V237" i="1" a="1"/>
  <c r="V237" i="1" s="1"/>
  <c r="B238" i="1"/>
  <c r="D238" i="1"/>
  <c r="H238" i="1"/>
  <c r="F238" i="1" s="1" a="1"/>
  <c r="F238" i="1" s="1"/>
  <c r="Q238" i="1"/>
  <c r="U238" i="1" s="1"/>
  <c r="S238" i="1"/>
  <c r="T238" i="1"/>
  <c r="W238" i="1" s="1"/>
  <c r="V238" i="1" a="1"/>
  <c r="V238" i="1" s="1"/>
  <c r="B239" i="1"/>
  <c r="D239" i="1"/>
  <c r="H239" i="1"/>
  <c r="F239" i="1" s="1" a="1"/>
  <c r="F239" i="1" s="1"/>
  <c r="Q239" i="1"/>
  <c r="U239" i="1" s="1"/>
  <c r="S239" i="1"/>
  <c r="T239" i="1"/>
  <c r="V239" i="1" a="1"/>
  <c r="V239" i="1" s="1"/>
  <c r="W239" i="1"/>
  <c r="B240" i="1"/>
  <c r="D240" i="1"/>
  <c r="H240" i="1"/>
  <c r="F240" i="1" s="1" a="1"/>
  <c r="F240" i="1" s="1"/>
  <c r="Q240" i="1"/>
  <c r="U240" i="1" s="1"/>
  <c r="S240" i="1"/>
  <c r="T240" i="1"/>
  <c r="V240" i="1" a="1"/>
  <c r="V240" i="1" s="1"/>
  <c r="W240" i="1"/>
  <c r="B241" i="1"/>
  <c r="D241" i="1"/>
  <c r="H241" i="1"/>
  <c r="F241" i="1" s="1" a="1"/>
  <c r="F241" i="1" s="1"/>
  <c r="Q241" i="1"/>
  <c r="U241" i="1" s="1"/>
  <c r="S241" i="1"/>
  <c r="T241" i="1"/>
  <c r="W241" i="1" s="1"/>
  <c r="V241" i="1" a="1"/>
  <c r="V241" i="1" s="1"/>
  <c r="B242" i="1"/>
  <c r="D242" i="1"/>
  <c r="H242" i="1"/>
  <c r="F242" i="1" s="1" a="1"/>
  <c r="F242" i="1" s="1"/>
  <c r="Q242" i="1"/>
  <c r="U242" i="1" s="1"/>
  <c r="S242" i="1"/>
  <c r="T242" i="1"/>
  <c r="W242" i="1" s="1"/>
  <c r="V242" i="1" a="1"/>
  <c r="V242" i="1" s="1"/>
  <c r="B243" i="1"/>
  <c r="D243" i="1"/>
  <c r="H243" i="1"/>
  <c r="F243" i="1" s="1" a="1"/>
  <c r="F243" i="1" s="1"/>
  <c r="Q243" i="1"/>
  <c r="U243" i="1" s="1"/>
  <c r="S243" i="1"/>
  <c r="T243" i="1"/>
  <c r="V243" i="1" a="1"/>
  <c r="V243" i="1" s="1"/>
  <c r="W243" i="1"/>
  <c r="B244" i="1"/>
  <c r="D244" i="1"/>
  <c r="H244" i="1"/>
  <c r="F244" i="1" s="1" a="1"/>
  <c r="F244" i="1" s="1"/>
  <c r="Q244" i="1"/>
  <c r="U244" i="1" s="1"/>
  <c r="S244" i="1"/>
  <c r="T244" i="1"/>
  <c r="V244" i="1" a="1"/>
  <c r="V244" i="1" s="1"/>
  <c r="W244" i="1"/>
  <c r="B245" i="1"/>
  <c r="D245" i="1"/>
  <c r="H245" i="1"/>
  <c r="F245" i="1" s="1" a="1"/>
  <c r="F245" i="1" s="1"/>
  <c r="Q245" i="1"/>
  <c r="U245" i="1" s="1"/>
  <c r="S245" i="1"/>
  <c r="T245" i="1"/>
  <c r="W245" i="1" s="1"/>
  <c r="V245" i="1" a="1"/>
  <c r="V245" i="1" s="1"/>
  <c r="B246" i="1"/>
  <c r="D246" i="1"/>
  <c r="H246" i="1"/>
  <c r="F246" i="1" s="1" a="1"/>
  <c r="F246" i="1" s="1"/>
  <c r="Q246" i="1"/>
  <c r="U246" i="1" s="1"/>
  <c r="S246" i="1"/>
  <c r="T246" i="1"/>
  <c r="W246" i="1" s="1"/>
  <c r="V246" i="1" a="1"/>
  <c r="V246" i="1" s="1"/>
  <c r="B247" i="1"/>
  <c r="D247" i="1"/>
  <c r="H247" i="1"/>
  <c r="F247" i="1" s="1" a="1"/>
  <c r="F247" i="1" s="1"/>
  <c r="Q247" i="1"/>
  <c r="U247" i="1" s="1"/>
  <c r="S247" i="1"/>
  <c r="T247" i="1"/>
  <c r="V247" i="1" a="1"/>
  <c r="V247" i="1" s="1"/>
  <c r="W247" i="1"/>
  <c r="B248" i="1"/>
  <c r="D248" i="1"/>
  <c r="H248" i="1"/>
  <c r="F248" i="1" s="1" a="1"/>
  <c r="F248" i="1" s="1"/>
  <c r="Q248" i="1"/>
  <c r="U248" i="1" s="1"/>
  <c r="S248" i="1"/>
  <c r="T248" i="1"/>
  <c r="V248" i="1" a="1"/>
  <c r="V248" i="1" s="1"/>
  <c r="W248" i="1"/>
  <c r="B249" i="1"/>
  <c r="D249" i="1"/>
  <c r="H249" i="1"/>
  <c r="F249" i="1" s="1" a="1"/>
  <c r="F249" i="1" s="1"/>
  <c r="Q249" i="1"/>
  <c r="U249" i="1" s="1"/>
  <c r="S249" i="1"/>
  <c r="T249" i="1"/>
  <c r="W249" i="1" s="1"/>
  <c r="V249" i="1" a="1"/>
  <c r="V249" i="1" s="1"/>
  <c r="B250" i="1"/>
  <c r="D250" i="1"/>
  <c r="H250" i="1"/>
  <c r="F250" i="1" s="1" a="1"/>
  <c r="F250" i="1" s="1"/>
  <c r="Q250" i="1"/>
  <c r="U250" i="1" s="1"/>
  <c r="S250" i="1"/>
  <c r="T250" i="1"/>
  <c r="W250" i="1" s="1"/>
  <c r="V250" i="1" a="1"/>
  <c r="V250" i="1" s="1"/>
  <c r="B251" i="1"/>
  <c r="D251" i="1"/>
  <c r="H251" i="1"/>
  <c r="F251" i="1" s="1" a="1"/>
  <c r="F251" i="1" s="1"/>
  <c r="Q251" i="1"/>
  <c r="U251" i="1" s="1"/>
  <c r="S251" i="1"/>
  <c r="V251" i="1" s="1" a="1"/>
  <c r="V251" i="1" s="1"/>
  <c r="T251" i="1"/>
  <c r="W251" i="1"/>
  <c r="B252" i="1"/>
  <c r="D252" i="1"/>
  <c r="H252" i="1"/>
  <c r="F252" i="1" s="1" a="1"/>
  <c r="F252" i="1" s="1"/>
  <c r="Q252" i="1"/>
  <c r="U252" i="1" s="1"/>
  <c r="S252" i="1"/>
  <c r="T252" i="1"/>
  <c r="W252" i="1" s="1"/>
  <c r="V252" i="1" a="1"/>
  <c r="V252" i="1" s="1"/>
  <c r="B253" i="1"/>
  <c r="D253" i="1"/>
  <c r="H253" i="1"/>
  <c r="F253" i="1" s="1" a="1"/>
  <c r="F253" i="1" s="1"/>
  <c r="Q253" i="1"/>
  <c r="U253" i="1" s="1"/>
  <c r="S253" i="1"/>
  <c r="V253" i="1" s="1" a="1"/>
  <c r="V253" i="1" s="1"/>
  <c r="T253" i="1"/>
  <c r="W253" i="1"/>
  <c r="B254" i="1"/>
  <c r="D254" i="1"/>
  <c r="H254" i="1"/>
  <c r="F254" i="1" s="1" a="1"/>
  <c r="F254" i="1" s="1"/>
  <c r="Q254" i="1"/>
  <c r="U254" i="1" s="1"/>
  <c r="S254" i="1"/>
  <c r="V254" i="1" s="1" a="1"/>
  <c r="T254" i="1"/>
  <c r="V254" i="1"/>
  <c r="W254" i="1"/>
  <c r="B255" i="1"/>
  <c r="D255" i="1"/>
  <c r="H255" i="1"/>
  <c r="F255" i="1" s="1" a="1"/>
  <c r="F255" i="1" s="1"/>
  <c r="Q255" i="1"/>
  <c r="S255" i="1"/>
  <c r="V255" i="1" a="1"/>
  <c r="V255" i="1" s="1"/>
  <c r="B256" i="1"/>
  <c r="D256" i="1"/>
  <c r="H256" i="1"/>
  <c r="F256" i="1" s="1" a="1"/>
  <c r="F256" i="1" s="1"/>
  <c r="Q256" i="1"/>
  <c r="U256" i="1" s="1"/>
  <c r="S256" i="1"/>
  <c r="V256" i="1" s="1" a="1"/>
  <c r="V256" i="1" s="1"/>
  <c r="B257" i="1"/>
  <c r="D257" i="1"/>
  <c r="H257" i="1"/>
  <c r="F257" i="1" s="1" a="1"/>
  <c r="F257" i="1" s="1"/>
  <c r="Q257" i="1"/>
  <c r="U257" i="1" s="1"/>
  <c r="S257" i="1"/>
  <c r="T257" i="1"/>
  <c r="W257" i="1" s="1"/>
  <c r="V257" i="1" a="1"/>
  <c r="V257" i="1" s="1"/>
  <c r="B258" i="1"/>
  <c r="D258" i="1"/>
  <c r="H258" i="1"/>
  <c r="F258" i="1" s="1" a="1"/>
  <c r="F258" i="1" s="1"/>
  <c r="Q258" i="1"/>
  <c r="U258" i="1" s="1"/>
  <c r="S258" i="1"/>
  <c r="V258" i="1" s="1" a="1"/>
  <c r="V258" i="1" s="1"/>
  <c r="T258" i="1"/>
  <c r="W258" i="1"/>
  <c r="B259" i="1"/>
  <c r="D259" i="1"/>
  <c r="H259" i="1"/>
  <c r="F259" i="1" s="1" a="1"/>
  <c r="F259" i="1" s="1"/>
  <c r="Q259" i="1"/>
  <c r="S259" i="1"/>
  <c r="V259" i="1" a="1"/>
  <c r="V259" i="1" s="1"/>
  <c r="B260" i="1"/>
  <c r="D260" i="1"/>
  <c r="H260" i="1"/>
  <c r="F260" i="1" s="1" a="1"/>
  <c r="F260" i="1" s="1"/>
  <c r="Q260" i="1"/>
  <c r="U260" i="1" s="1"/>
  <c r="S260" i="1"/>
  <c r="V260" i="1" s="1" a="1"/>
  <c r="V260" i="1" s="1"/>
  <c r="B261" i="1"/>
  <c r="D261" i="1"/>
  <c r="H261" i="1"/>
  <c r="F261" i="1" s="1" a="1"/>
  <c r="F261" i="1" s="1"/>
  <c r="Q261" i="1"/>
  <c r="U261" i="1" s="1"/>
  <c r="S261" i="1"/>
  <c r="T261" i="1"/>
  <c r="W261" i="1" s="1"/>
  <c r="V261" i="1" a="1"/>
  <c r="V261" i="1" s="1"/>
  <c r="B262" i="1"/>
  <c r="D262" i="1"/>
  <c r="H262" i="1"/>
  <c r="F262" i="1" s="1" a="1"/>
  <c r="F262" i="1" s="1"/>
  <c r="Q262" i="1"/>
  <c r="U262" i="1" s="1"/>
  <c r="S262" i="1"/>
  <c r="V262" i="1" s="1" a="1"/>
  <c r="V262" i="1" s="1"/>
  <c r="T262" i="1"/>
  <c r="W262" i="1"/>
  <c r="B263" i="1"/>
  <c r="D263" i="1"/>
  <c r="H263" i="1"/>
  <c r="F263" i="1" s="1" a="1"/>
  <c r="F263" i="1" s="1"/>
  <c r="Q263" i="1"/>
  <c r="S263" i="1"/>
  <c r="V263" i="1" a="1"/>
  <c r="V263" i="1" s="1"/>
  <c r="B264" i="1"/>
  <c r="D264" i="1"/>
  <c r="H264" i="1"/>
  <c r="F264" i="1" s="1" a="1"/>
  <c r="F264" i="1" s="1"/>
  <c r="Q264" i="1"/>
  <c r="U264" i="1" s="1"/>
  <c r="S264" i="1"/>
  <c r="V264" i="1" s="1" a="1"/>
  <c r="V264" i="1" s="1"/>
  <c r="B265" i="1"/>
  <c r="D265" i="1"/>
  <c r="H265" i="1"/>
  <c r="F265" i="1" s="1" a="1"/>
  <c r="F265" i="1" s="1"/>
  <c r="Q265" i="1"/>
  <c r="U265" i="1" s="1"/>
  <c r="S265" i="1"/>
  <c r="T265" i="1"/>
  <c r="W265" i="1" s="1"/>
  <c r="V265" i="1" a="1"/>
  <c r="V265" i="1" s="1"/>
  <c r="B266" i="1"/>
  <c r="D266" i="1"/>
  <c r="H266" i="1"/>
  <c r="F266" i="1" s="1" a="1"/>
  <c r="F266" i="1" s="1"/>
  <c r="Q266" i="1"/>
  <c r="U266" i="1" s="1"/>
  <c r="S266" i="1"/>
  <c r="V266" i="1" s="1" a="1"/>
  <c r="T266" i="1"/>
  <c r="V266" i="1"/>
  <c r="W266" i="1"/>
  <c r="B267" i="1"/>
  <c r="D267" i="1"/>
  <c r="H267" i="1"/>
  <c r="F267" i="1" s="1" a="1"/>
  <c r="F267" i="1" s="1"/>
  <c r="Q267" i="1"/>
  <c r="S267" i="1"/>
  <c r="V267" i="1" a="1"/>
  <c r="V267" i="1" s="1"/>
  <c r="B268" i="1"/>
  <c r="D268" i="1"/>
  <c r="H268" i="1"/>
  <c r="F268" i="1" s="1" a="1"/>
  <c r="F268" i="1" s="1"/>
  <c r="Q268" i="1"/>
  <c r="U268" i="1" s="1"/>
  <c r="S268" i="1"/>
  <c r="V268" i="1" s="1" a="1"/>
  <c r="V268" i="1" s="1"/>
  <c r="B269" i="1"/>
  <c r="D269" i="1"/>
  <c r="H269" i="1"/>
  <c r="F269" i="1" s="1" a="1"/>
  <c r="F269" i="1" s="1"/>
  <c r="Q269" i="1"/>
  <c r="U269" i="1" s="1"/>
  <c r="S269" i="1"/>
  <c r="T269" i="1"/>
  <c r="W269" i="1" s="1"/>
  <c r="V269" i="1" a="1"/>
  <c r="V269" i="1" s="1"/>
  <c r="B270" i="1"/>
  <c r="D270" i="1"/>
  <c r="H270" i="1"/>
  <c r="F270" i="1" s="1" a="1"/>
  <c r="F270" i="1" s="1"/>
  <c r="Q270" i="1"/>
  <c r="U270" i="1" s="1"/>
  <c r="S270" i="1"/>
  <c r="V270" i="1" s="1" a="1"/>
  <c r="T270" i="1"/>
  <c r="V270" i="1"/>
  <c r="W270" i="1"/>
  <c r="B271" i="1"/>
  <c r="D271" i="1"/>
  <c r="H271" i="1"/>
  <c r="F271" i="1" s="1" a="1"/>
  <c r="F271" i="1" s="1"/>
  <c r="Q271" i="1"/>
  <c r="S271" i="1"/>
  <c r="V271" i="1" a="1"/>
  <c r="V271" i="1" s="1"/>
  <c r="B272" i="1"/>
  <c r="D272" i="1"/>
  <c r="H272" i="1"/>
  <c r="F272" i="1" s="1" a="1"/>
  <c r="F272" i="1" s="1"/>
  <c r="Q272" i="1"/>
  <c r="U272" i="1" s="1"/>
  <c r="S272" i="1"/>
  <c r="V272" i="1" s="1" a="1"/>
  <c r="V272" i="1" s="1"/>
  <c r="B273" i="1"/>
  <c r="D273" i="1"/>
  <c r="H273" i="1"/>
  <c r="F273" i="1" s="1" a="1"/>
  <c r="F273" i="1" s="1"/>
  <c r="Q273" i="1"/>
  <c r="U273" i="1" s="1"/>
  <c r="S273" i="1"/>
  <c r="T273" i="1"/>
  <c r="W273" i="1" s="1"/>
  <c r="V273" i="1" a="1"/>
  <c r="V273" i="1" s="1"/>
  <c r="B274" i="1"/>
  <c r="D274" i="1"/>
  <c r="H274" i="1"/>
  <c r="F274" i="1" s="1" a="1"/>
  <c r="F274" i="1" s="1"/>
  <c r="Q274" i="1"/>
  <c r="U274" i="1" s="1"/>
  <c r="S274" i="1"/>
  <c r="V274" i="1" s="1" a="1"/>
  <c r="V274" i="1" s="1"/>
  <c r="T274" i="1"/>
  <c r="W274" i="1"/>
  <c r="B275" i="1"/>
  <c r="D275" i="1"/>
  <c r="H275" i="1"/>
  <c r="F275" i="1" s="1" a="1"/>
  <c r="F275" i="1" s="1"/>
  <c r="Q275" i="1"/>
  <c r="S275" i="1"/>
  <c r="V275" i="1" a="1"/>
  <c r="V275" i="1" s="1"/>
  <c r="B276" i="1"/>
  <c r="D276" i="1"/>
  <c r="H276" i="1"/>
  <c r="F276" i="1" s="1" a="1"/>
  <c r="F276" i="1" s="1"/>
  <c r="Q276" i="1"/>
  <c r="U276" i="1" s="1"/>
  <c r="S276" i="1"/>
  <c r="V276" i="1" s="1" a="1"/>
  <c r="V276" i="1" s="1"/>
  <c r="B277" i="1"/>
  <c r="D277" i="1"/>
  <c r="H277" i="1"/>
  <c r="F277" i="1" s="1" a="1"/>
  <c r="F277" i="1" s="1"/>
  <c r="Q277" i="1"/>
  <c r="U277" i="1" s="1"/>
  <c r="S277" i="1"/>
  <c r="T277" i="1"/>
  <c r="W277" i="1" s="1"/>
  <c r="V277" i="1" a="1"/>
  <c r="V277" i="1" s="1"/>
  <c r="B278" i="1"/>
  <c r="D278" i="1"/>
  <c r="H278" i="1"/>
  <c r="F278" i="1" s="1" a="1"/>
  <c r="F278" i="1" s="1"/>
  <c r="Q278" i="1"/>
  <c r="U278" i="1" s="1"/>
  <c r="S278" i="1"/>
  <c r="V278" i="1" s="1" a="1"/>
  <c r="V278" i="1" s="1"/>
  <c r="T278" i="1"/>
  <c r="W278" i="1"/>
  <c r="B279" i="1"/>
  <c r="D279" i="1"/>
  <c r="H279" i="1"/>
  <c r="F279" i="1" s="1" a="1"/>
  <c r="F279" i="1" s="1"/>
  <c r="Q279" i="1"/>
  <c r="S279" i="1"/>
  <c r="V279" i="1" a="1"/>
  <c r="V279" i="1" s="1"/>
  <c r="B280" i="1"/>
  <c r="D280" i="1"/>
  <c r="H280" i="1"/>
  <c r="F280" i="1" s="1" a="1"/>
  <c r="F280" i="1" s="1"/>
  <c r="Q280" i="1"/>
  <c r="U280" i="1" s="1"/>
  <c r="S280" i="1"/>
  <c r="V280" i="1" s="1" a="1"/>
  <c r="V280" i="1" s="1"/>
  <c r="B281" i="1"/>
  <c r="D281" i="1"/>
  <c r="H281" i="1"/>
  <c r="F281" i="1" s="1" a="1"/>
  <c r="F281" i="1" s="1"/>
  <c r="Q281" i="1"/>
  <c r="U281" i="1" s="1"/>
  <c r="S281" i="1"/>
  <c r="T281" i="1"/>
  <c r="W281" i="1" s="1"/>
  <c r="V281" i="1" a="1"/>
  <c r="V281" i="1" s="1"/>
  <c r="B282" i="1"/>
  <c r="D282" i="1"/>
  <c r="H282" i="1"/>
  <c r="F282" i="1" s="1" a="1"/>
  <c r="F282" i="1" s="1"/>
  <c r="Q282" i="1"/>
  <c r="U282" i="1" s="1"/>
  <c r="S282" i="1"/>
  <c r="V282" i="1" s="1" a="1"/>
  <c r="T282" i="1"/>
  <c r="V282" i="1"/>
  <c r="W282" i="1"/>
  <c r="B283" i="1"/>
  <c r="D283" i="1"/>
  <c r="H283" i="1"/>
  <c r="F283" i="1" s="1" a="1"/>
  <c r="F283" i="1" s="1"/>
  <c r="Q283" i="1"/>
  <c r="S283" i="1"/>
  <c r="V283" i="1" a="1"/>
  <c r="V283" i="1" s="1"/>
  <c r="B284" i="1"/>
  <c r="D284" i="1"/>
  <c r="H284" i="1"/>
  <c r="F284" i="1" s="1" a="1"/>
  <c r="F284" i="1" s="1"/>
  <c r="Q284" i="1"/>
  <c r="U284" i="1" s="1"/>
  <c r="S284" i="1"/>
  <c r="V284" i="1" s="1" a="1"/>
  <c r="V284" i="1" s="1"/>
  <c r="B285" i="1"/>
  <c r="D285" i="1"/>
  <c r="H285" i="1"/>
  <c r="F285" i="1" s="1" a="1"/>
  <c r="F285" i="1" s="1"/>
  <c r="Q285" i="1"/>
  <c r="U285" i="1" s="1"/>
  <c r="S285" i="1"/>
  <c r="T285" i="1"/>
  <c r="W285" i="1" s="1"/>
  <c r="V285" i="1" a="1"/>
  <c r="V285" i="1" s="1"/>
  <c r="B286" i="1"/>
  <c r="D286" i="1"/>
  <c r="H286" i="1"/>
  <c r="F286" i="1" s="1" a="1"/>
  <c r="F286" i="1" s="1"/>
  <c r="Q286" i="1"/>
  <c r="S286" i="1"/>
  <c r="T286" i="1"/>
  <c r="U286" i="1"/>
  <c r="V286" i="1" a="1"/>
  <c r="V286" i="1" s="1"/>
  <c r="W286" i="1"/>
  <c r="B287" i="1"/>
  <c r="D287" i="1"/>
  <c r="H287" i="1"/>
  <c r="F287" i="1" s="1" a="1"/>
  <c r="F287" i="1" s="1"/>
  <c r="Q287" i="1"/>
  <c r="S287" i="1"/>
  <c r="T287" i="1"/>
  <c r="U287" i="1"/>
  <c r="V287" i="1" a="1"/>
  <c r="V287" i="1" s="1"/>
  <c r="W287" i="1"/>
  <c r="B288" i="1"/>
  <c r="D288" i="1"/>
  <c r="H288" i="1"/>
  <c r="F288" i="1" s="1" a="1"/>
  <c r="F288" i="1" s="1"/>
  <c r="Q288" i="1"/>
  <c r="S288" i="1"/>
  <c r="T288" i="1"/>
  <c r="U288" i="1"/>
  <c r="V288" i="1" a="1"/>
  <c r="V288" i="1" s="1"/>
  <c r="W288" i="1"/>
  <c r="B289" i="1"/>
  <c r="D289" i="1"/>
  <c r="H289" i="1"/>
  <c r="F289" i="1" s="1" a="1"/>
  <c r="F289" i="1" s="1"/>
  <c r="Q289" i="1"/>
  <c r="S289" i="1"/>
  <c r="T289" i="1"/>
  <c r="U289" i="1"/>
  <c r="V289" i="1" a="1"/>
  <c r="V289" i="1" s="1"/>
  <c r="W289" i="1"/>
  <c r="B290" i="1"/>
  <c r="D290" i="1"/>
  <c r="H290" i="1"/>
  <c r="F290" i="1" s="1" a="1"/>
  <c r="F290" i="1" s="1"/>
  <c r="Q290" i="1"/>
  <c r="S290" i="1"/>
  <c r="V290" i="1" s="1" a="1"/>
  <c r="V290" i="1" s="1"/>
  <c r="T290" i="1"/>
  <c r="U290" i="1"/>
  <c r="W290" i="1"/>
  <c r="B291" i="1"/>
  <c r="D291" i="1"/>
  <c r="H291" i="1"/>
  <c r="F291" i="1" s="1" a="1"/>
  <c r="F291" i="1" s="1"/>
  <c r="Q291" i="1"/>
  <c r="S291" i="1"/>
  <c r="V291" i="1" s="1" a="1"/>
  <c r="V291" i="1" s="1"/>
  <c r="T291" i="1"/>
  <c r="U291" i="1"/>
  <c r="W291" i="1"/>
  <c r="B292" i="1"/>
  <c r="D292" i="1"/>
  <c r="H292" i="1"/>
  <c r="F292" i="1" s="1" a="1"/>
  <c r="F292" i="1" s="1"/>
  <c r="Q292" i="1"/>
  <c r="S292" i="1"/>
  <c r="V292" i="1" s="1" a="1"/>
  <c r="V292" i="1" s="1"/>
  <c r="T292" i="1"/>
  <c r="U292" i="1"/>
  <c r="W292" i="1"/>
  <c r="B293" i="1"/>
  <c r="D293" i="1"/>
  <c r="H293" i="1"/>
  <c r="F293" i="1" s="1" a="1"/>
  <c r="F293" i="1" s="1"/>
  <c r="Q293" i="1"/>
  <c r="S293" i="1"/>
  <c r="V293" i="1" s="1" a="1"/>
  <c r="V293" i="1" s="1"/>
  <c r="T293" i="1"/>
  <c r="U293" i="1"/>
  <c r="W293" i="1"/>
  <c r="B294" i="1"/>
  <c r="D294" i="1"/>
  <c r="H294" i="1"/>
  <c r="F294" i="1" s="1" a="1"/>
  <c r="F294" i="1" s="1"/>
  <c r="Q294" i="1"/>
  <c r="S294" i="1"/>
  <c r="V294" i="1" s="1" a="1"/>
  <c r="V294" i="1" s="1"/>
  <c r="T294" i="1"/>
  <c r="U294" i="1"/>
  <c r="W294" i="1"/>
  <c r="B295" i="1"/>
  <c r="D295" i="1"/>
  <c r="H295" i="1"/>
  <c r="F295" i="1" s="1" a="1"/>
  <c r="F295" i="1" s="1"/>
  <c r="Q295" i="1"/>
  <c r="S295" i="1"/>
  <c r="V295" i="1" s="1" a="1"/>
  <c r="V295" i="1" s="1"/>
  <c r="T295" i="1"/>
  <c r="U295" i="1"/>
  <c r="W295" i="1"/>
  <c r="B296" i="1"/>
  <c r="D296" i="1"/>
  <c r="H296" i="1"/>
  <c r="F296" i="1" s="1" a="1"/>
  <c r="F296" i="1" s="1"/>
  <c r="Q296" i="1"/>
  <c r="S296" i="1"/>
  <c r="V296" i="1" s="1" a="1"/>
  <c r="V296" i="1" s="1"/>
  <c r="T296" i="1"/>
  <c r="U296" i="1"/>
  <c r="W296" i="1"/>
  <c r="B297" i="1"/>
  <c r="D297" i="1"/>
  <c r="H297" i="1"/>
  <c r="F297" i="1" s="1" a="1"/>
  <c r="F297" i="1" s="1"/>
  <c r="Q297" i="1"/>
  <c r="S297" i="1"/>
  <c r="V297" i="1" s="1" a="1"/>
  <c r="V297" i="1" s="1"/>
  <c r="T297" i="1"/>
  <c r="U297" i="1"/>
  <c r="W297" i="1"/>
  <c r="B298" i="1"/>
  <c r="D298" i="1"/>
  <c r="H298" i="1"/>
  <c r="F298" i="1" s="1" a="1"/>
  <c r="F298" i="1" s="1"/>
  <c r="Q298" i="1"/>
  <c r="S298" i="1"/>
  <c r="V298" i="1" s="1" a="1"/>
  <c r="V298" i="1" s="1"/>
  <c r="T298" i="1"/>
  <c r="U298" i="1"/>
  <c r="W298" i="1"/>
  <c r="B299" i="1"/>
  <c r="D299" i="1"/>
  <c r="H299" i="1"/>
  <c r="F299" i="1" s="1" a="1"/>
  <c r="F299" i="1" s="1"/>
  <c r="Q299" i="1"/>
  <c r="S299" i="1"/>
  <c r="V299" i="1" s="1" a="1"/>
  <c r="V299" i="1" s="1"/>
  <c r="T299" i="1"/>
  <c r="U299" i="1"/>
  <c r="W299" i="1"/>
  <c r="B300" i="1"/>
  <c r="D300" i="1"/>
  <c r="H300" i="1"/>
  <c r="F300" i="1" s="1" a="1"/>
  <c r="F300" i="1" s="1"/>
  <c r="Q300" i="1"/>
  <c r="S300" i="1"/>
  <c r="V300" i="1" s="1" a="1"/>
  <c r="V300" i="1" s="1"/>
  <c r="T300" i="1"/>
  <c r="U300" i="1"/>
  <c r="W300" i="1"/>
  <c r="B301" i="1"/>
  <c r="D301" i="1"/>
  <c r="H301" i="1"/>
  <c r="F301" i="1" s="1" a="1"/>
  <c r="F301" i="1" s="1"/>
  <c r="Q301" i="1"/>
  <c r="T301" i="1" s="1"/>
  <c r="W301" i="1" s="1"/>
  <c r="S301" i="1"/>
  <c r="U301" i="1"/>
  <c r="V301" i="1" a="1"/>
  <c r="V301" i="1" s="1"/>
  <c r="B302" i="1"/>
  <c r="D302" i="1"/>
  <c r="H302" i="1"/>
  <c r="F302" i="1" s="1" a="1"/>
  <c r="F302" i="1" s="1"/>
  <c r="Q302" i="1"/>
  <c r="T302" i="1" s="1"/>
  <c r="W302" i="1" s="1"/>
  <c r="S302" i="1"/>
  <c r="U302" i="1"/>
  <c r="V302" i="1" a="1"/>
  <c r="V302" i="1" s="1"/>
  <c r="B303" i="1"/>
  <c r="D303" i="1"/>
  <c r="H303" i="1"/>
  <c r="F303" i="1" s="1" a="1"/>
  <c r="F303" i="1" s="1"/>
  <c r="Q303" i="1"/>
  <c r="T303" i="1" s="1"/>
  <c r="W303" i="1" s="1"/>
  <c r="S303" i="1"/>
  <c r="U303" i="1"/>
  <c r="V303" i="1" a="1"/>
  <c r="V303" i="1" s="1"/>
  <c r="B304" i="1"/>
  <c r="D304" i="1"/>
  <c r="H304" i="1"/>
  <c r="F304" i="1" s="1" a="1"/>
  <c r="F304" i="1" s="1"/>
  <c r="Q304" i="1"/>
  <c r="T304" i="1" s="1"/>
  <c r="W304" i="1" s="1"/>
  <c r="S304" i="1"/>
  <c r="U304" i="1"/>
  <c r="V304" i="1" a="1"/>
  <c r="V304" i="1" s="1"/>
  <c r="B305" i="1"/>
  <c r="D305" i="1"/>
  <c r="H305" i="1"/>
  <c r="F305" i="1" s="1" a="1"/>
  <c r="F305" i="1" s="1"/>
  <c r="Q305" i="1"/>
  <c r="T305" i="1" s="1"/>
  <c r="W305" i="1" s="1"/>
  <c r="S305" i="1"/>
  <c r="U305" i="1"/>
  <c r="V305" i="1" a="1"/>
  <c r="V305" i="1" s="1"/>
  <c r="B306" i="1"/>
  <c r="D306" i="1"/>
  <c r="H306" i="1"/>
  <c r="F306" i="1" s="1" a="1"/>
  <c r="F306" i="1" s="1"/>
  <c r="Q306" i="1"/>
  <c r="T306" i="1" s="1"/>
  <c r="W306" i="1" s="1"/>
  <c r="S306" i="1"/>
  <c r="U306" i="1"/>
  <c r="V306" i="1" a="1"/>
  <c r="V306" i="1" s="1"/>
  <c r="B307" i="1"/>
  <c r="D307" i="1"/>
  <c r="H307" i="1"/>
  <c r="F307" i="1" s="1" a="1"/>
  <c r="F307" i="1" s="1"/>
  <c r="Q307" i="1"/>
  <c r="T307" i="1" s="1"/>
  <c r="W307" i="1" s="1"/>
  <c r="S307" i="1"/>
  <c r="V307" i="1" s="1" a="1"/>
  <c r="V307" i="1" s="1"/>
  <c r="U307" i="1"/>
  <c r="B308" i="1"/>
  <c r="D308" i="1"/>
  <c r="H308" i="1"/>
  <c r="F308" i="1" s="1" a="1"/>
  <c r="F308" i="1" s="1"/>
  <c r="Q308" i="1"/>
  <c r="T308" i="1" s="1"/>
  <c r="W308" i="1" s="1"/>
  <c r="S308" i="1"/>
  <c r="V308" i="1" s="1" a="1"/>
  <c r="V308" i="1" s="1"/>
  <c r="B309" i="1"/>
  <c r="D309" i="1"/>
  <c r="H309" i="1"/>
  <c r="F309" i="1" s="1" a="1"/>
  <c r="F309" i="1" s="1"/>
  <c r="Q309" i="1"/>
  <c r="S309" i="1"/>
  <c r="V309" i="1" a="1"/>
  <c r="V309" i="1" s="1"/>
  <c r="B310" i="1"/>
  <c r="D310" i="1"/>
  <c r="H310" i="1"/>
  <c r="F310" i="1" s="1" a="1"/>
  <c r="F310" i="1" s="1"/>
  <c r="Q310" i="1"/>
  <c r="T310" i="1" s="1"/>
  <c r="W310" i="1" s="1"/>
  <c r="S310" i="1"/>
  <c r="U310" i="1"/>
  <c r="V310" i="1" a="1"/>
  <c r="V310" i="1" s="1"/>
  <c r="B311" i="1"/>
  <c r="D311" i="1"/>
  <c r="H311" i="1"/>
  <c r="F311" i="1" s="1" a="1"/>
  <c r="F311" i="1" s="1"/>
  <c r="Q311" i="1"/>
  <c r="T311" i="1" s="1"/>
  <c r="W311" i="1" s="1"/>
  <c r="S311" i="1"/>
  <c r="V311" i="1" s="1" a="1"/>
  <c r="V311" i="1" s="1"/>
  <c r="U311" i="1"/>
  <c r="B312" i="1"/>
  <c r="D312" i="1"/>
  <c r="H312" i="1"/>
  <c r="F312" i="1" s="1" a="1"/>
  <c r="F312" i="1" s="1"/>
  <c r="Q312" i="1"/>
  <c r="T312" i="1" s="1"/>
  <c r="W312" i="1" s="1"/>
  <c r="S312" i="1"/>
  <c r="V312" i="1" s="1" a="1"/>
  <c r="V312" i="1" s="1"/>
  <c r="B313" i="1"/>
  <c r="D313" i="1"/>
  <c r="H313" i="1"/>
  <c r="F313" i="1" s="1" a="1"/>
  <c r="F313" i="1" s="1"/>
  <c r="Q313" i="1"/>
  <c r="S313" i="1"/>
  <c r="V313" i="1" a="1"/>
  <c r="V313" i="1" s="1"/>
  <c r="B314" i="1"/>
  <c r="D314" i="1"/>
  <c r="H314" i="1"/>
  <c r="F314" i="1" s="1" a="1"/>
  <c r="F314" i="1" s="1"/>
  <c r="Q314" i="1"/>
  <c r="T314" i="1" s="1"/>
  <c r="W314" i="1" s="1"/>
  <c r="S314" i="1"/>
  <c r="U314" i="1"/>
  <c r="V314" i="1" a="1"/>
  <c r="V314" i="1" s="1"/>
  <c r="B315" i="1"/>
  <c r="D315" i="1"/>
  <c r="H315" i="1"/>
  <c r="F315" i="1" s="1" a="1"/>
  <c r="F315" i="1" s="1"/>
  <c r="Q315" i="1"/>
  <c r="T315" i="1" s="1"/>
  <c r="W315" i="1" s="1"/>
  <c r="S315" i="1"/>
  <c r="V315" i="1" s="1" a="1"/>
  <c r="V315" i="1" s="1"/>
  <c r="U315" i="1"/>
  <c r="B316" i="1"/>
  <c r="D316" i="1"/>
  <c r="H316" i="1"/>
  <c r="F316" i="1" s="1" a="1"/>
  <c r="F316" i="1" s="1"/>
  <c r="Q316" i="1"/>
  <c r="T316" i="1" s="1"/>
  <c r="W316" i="1" s="1"/>
  <c r="S316" i="1"/>
  <c r="V316" i="1" s="1" a="1"/>
  <c r="V316" i="1" s="1"/>
  <c r="B317" i="1"/>
  <c r="D317" i="1"/>
  <c r="H317" i="1"/>
  <c r="F317" i="1" s="1" a="1"/>
  <c r="F317" i="1" s="1"/>
  <c r="Q317" i="1"/>
  <c r="S317" i="1"/>
  <c r="V317" i="1" a="1"/>
  <c r="V317" i="1" s="1"/>
  <c r="B318" i="1"/>
  <c r="D318" i="1"/>
  <c r="H318" i="1"/>
  <c r="F318" i="1" s="1" a="1"/>
  <c r="F318" i="1" s="1"/>
  <c r="Q318" i="1"/>
  <c r="T318" i="1" s="1"/>
  <c r="W318" i="1" s="1"/>
  <c r="S318" i="1"/>
  <c r="U318" i="1"/>
  <c r="V318" i="1" a="1"/>
  <c r="V318" i="1" s="1"/>
  <c r="B319" i="1"/>
  <c r="D319" i="1"/>
  <c r="H319" i="1"/>
  <c r="F319" i="1" s="1" a="1"/>
  <c r="F319" i="1" s="1"/>
  <c r="Q319" i="1"/>
  <c r="T319" i="1" s="1"/>
  <c r="W319" i="1" s="1"/>
  <c r="S319" i="1"/>
  <c r="V319" i="1" s="1" a="1"/>
  <c r="V319" i="1" s="1"/>
  <c r="U319" i="1"/>
  <c r="B320" i="1"/>
  <c r="D320" i="1"/>
  <c r="H320" i="1"/>
  <c r="F320" i="1" s="1" a="1"/>
  <c r="F320" i="1" s="1"/>
  <c r="Q320" i="1"/>
  <c r="T320" i="1" s="1"/>
  <c r="W320" i="1" s="1"/>
  <c r="S320" i="1"/>
  <c r="V320" i="1" s="1" a="1"/>
  <c r="V320" i="1" s="1"/>
  <c r="B321" i="1"/>
  <c r="D321" i="1"/>
  <c r="H321" i="1"/>
  <c r="F321" i="1" s="1" a="1"/>
  <c r="F321" i="1" s="1"/>
  <c r="Q321" i="1"/>
  <c r="S321" i="1"/>
  <c r="V321" i="1" a="1"/>
  <c r="V321" i="1" s="1"/>
  <c r="B322" i="1"/>
  <c r="D322" i="1"/>
  <c r="H322" i="1"/>
  <c r="F322" i="1" s="1" a="1"/>
  <c r="F322" i="1" s="1"/>
  <c r="Q322" i="1"/>
  <c r="T322" i="1" s="1"/>
  <c r="W322" i="1" s="1"/>
  <c r="S322" i="1"/>
  <c r="U322" i="1"/>
  <c r="V322" i="1" a="1"/>
  <c r="V322" i="1" s="1"/>
  <c r="B323" i="1"/>
  <c r="D323" i="1"/>
  <c r="H323" i="1"/>
  <c r="F323" i="1" s="1" a="1"/>
  <c r="F323" i="1" s="1"/>
  <c r="Q323" i="1"/>
  <c r="T323" i="1" s="1"/>
  <c r="W323" i="1" s="1"/>
  <c r="S323" i="1"/>
  <c r="V323" i="1" s="1" a="1"/>
  <c r="V323" i="1" s="1"/>
  <c r="U323" i="1"/>
  <c r="B324" i="1"/>
  <c r="D324" i="1"/>
  <c r="H324" i="1"/>
  <c r="F324" i="1" s="1" a="1"/>
  <c r="F324" i="1" s="1"/>
  <c r="Q324" i="1"/>
  <c r="T324" i="1" s="1"/>
  <c r="W324" i="1" s="1"/>
  <c r="S324" i="1"/>
  <c r="V324" i="1" s="1" a="1"/>
  <c r="V324" i="1" s="1"/>
  <c r="B325" i="1"/>
  <c r="D325" i="1"/>
  <c r="H325" i="1"/>
  <c r="F325" i="1" s="1" a="1"/>
  <c r="F325" i="1" s="1"/>
  <c r="Q325" i="1"/>
  <c r="S325" i="1"/>
  <c r="V325" i="1" a="1"/>
  <c r="V325" i="1" s="1"/>
  <c r="B326" i="1"/>
  <c r="D326" i="1"/>
  <c r="H326" i="1"/>
  <c r="F326" i="1" s="1" a="1"/>
  <c r="F326" i="1" s="1"/>
  <c r="Q326" i="1"/>
  <c r="T326" i="1" s="1"/>
  <c r="W326" i="1" s="1"/>
  <c r="S326" i="1"/>
  <c r="U326" i="1"/>
  <c r="V326" i="1" a="1"/>
  <c r="V326" i="1" s="1"/>
  <c r="B327" i="1"/>
  <c r="D327" i="1"/>
  <c r="H327" i="1"/>
  <c r="F327" i="1" s="1" a="1"/>
  <c r="F327" i="1" s="1"/>
  <c r="Q327" i="1"/>
  <c r="T327" i="1" s="1"/>
  <c r="W327" i="1" s="1"/>
  <c r="S327" i="1"/>
  <c r="V327" i="1" s="1" a="1"/>
  <c r="V327" i="1" s="1"/>
  <c r="U327" i="1"/>
  <c r="B328" i="1"/>
  <c r="D328" i="1"/>
  <c r="H328" i="1"/>
  <c r="F328" i="1" s="1" a="1"/>
  <c r="F328" i="1" s="1"/>
  <c r="Q328" i="1"/>
  <c r="T328" i="1" s="1"/>
  <c r="W328" i="1" s="1"/>
  <c r="S328" i="1"/>
  <c r="V328" i="1" s="1" a="1"/>
  <c r="V328" i="1" s="1"/>
  <c r="B329" i="1"/>
  <c r="D329" i="1"/>
  <c r="H329" i="1"/>
  <c r="F329" i="1" s="1" a="1"/>
  <c r="F329" i="1" s="1"/>
  <c r="Q329" i="1"/>
  <c r="S329" i="1"/>
  <c r="V329" i="1" a="1"/>
  <c r="V329" i="1" s="1"/>
  <c r="B330" i="1"/>
  <c r="D330" i="1"/>
  <c r="H330" i="1"/>
  <c r="F330" i="1" s="1" a="1"/>
  <c r="F330" i="1" s="1"/>
  <c r="Q330" i="1"/>
  <c r="T330" i="1" s="1"/>
  <c r="W330" i="1" s="1"/>
  <c r="S330" i="1"/>
  <c r="U330" i="1"/>
  <c r="V330" i="1" a="1"/>
  <c r="V330" i="1" s="1"/>
  <c r="B331" i="1"/>
  <c r="D331" i="1"/>
  <c r="H331" i="1"/>
  <c r="F331" i="1" s="1" a="1"/>
  <c r="F331" i="1" s="1"/>
  <c r="Q331" i="1"/>
  <c r="T331" i="1" s="1"/>
  <c r="W331" i="1" s="1"/>
  <c r="S331" i="1"/>
  <c r="V331" i="1" s="1" a="1"/>
  <c r="V331" i="1" s="1"/>
  <c r="U331" i="1"/>
  <c r="B332" i="1"/>
  <c r="D332" i="1"/>
  <c r="H332" i="1"/>
  <c r="F332" i="1" s="1" a="1"/>
  <c r="F332" i="1" s="1"/>
  <c r="Q332" i="1"/>
  <c r="T332" i="1" s="1"/>
  <c r="W332" i="1" s="1"/>
  <c r="S332" i="1"/>
  <c r="V332" i="1" s="1" a="1"/>
  <c r="V332" i="1" s="1"/>
  <c r="B333" i="1"/>
  <c r="D333" i="1"/>
  <c r="H333" i="1"/>
  <c r="F333" i="1" s="1" a="1"/>
  <c r="F333" i="1" s="1"/>
  <c r="Q333" i="1"/>
  <c r="S333" i="1"/>
  <c r="V333" i="1" a="1"/>
  <c r="V333" i="1" s="1"/>
  <c r="B334" i="1"/>
  <c r="D334" i="1"/>
  <c r="H334" i="1"/>
  <c r="F334" i="1" s="1" a="1"/>
  <c r="F334" i="1" s="1"/>
  <c r="Q334" i="1"/>
  <c r="T334" i="1" s="1"/>
  <c r="W334" i="1" s="1"/>
  <c r="S334" i="1"/>
  <c r="U334" i="1"/>
  <c r="V334" i="1" a="1"/>
  <c r="V334" i="1" s="1"/>
  <c r="B335" i="1"/>
  <c r="D335" i="1"/>
  <c r="H335" i="1"/>
  <c r="F335" i="1" s="1" a="1"/>
  <c r="F335" i="1" s="1"/>
  <c r="Q335" i="1"/>
  <c r="T335" i="1" s="1"/>
  <c r="W335" i="1" s="1"/>
  <c r="S335" i="1"/>
  <c r="V335" i="1" s="1" a="1"/>
  <c r="V335" i="1" s="1"/>
  <c r="U335" i="1"/>
  <c r="B336" i="1"/>
  <c r="D336" i="1"/>
  <c r="H336" i="1"/>
  <c r="F336" i="1" s="1" a="1"/>
  <c r="F336" i="1" s="1"/>
  <c r="Q336" i="1"/>
  <c r="T336" i="1" s="1"/>
  <c r="W336" i="1" s="1"/>
  <c r="S336" i="1"/>
  <c r="V336" i="1" s="1" a="1"/>
  <c r="V336" i="1" s="1"/>
  <c r="B337" i="1"/>
  <c r="D337" i="1"/>
  <c r="H337" i="1"/>
  <c r="F337" i="1" s="1" a="1"/>
  <c r="F337" i="1" s="1"/>
  <c r="Q337" i="1"/>
  <c r="S337" i="1"/>
  <c r="V337" i="1" a="1"/>
  <c r="V337" i="1" s="1"/>
  <c r="B338" i="1"/>
  <c r="D338" i="1"/>
  <c r="H338" i="1"/>
  <c r="F338" i="1" s="1" a="1"/>
  <c r="F338" i="1" s="1"/>
  <c r="Q338" i="1"/>
  <c r="T338" i="1" s="1"/>
  <c r="W338" i="1" s="1"/>
  <c r="S338" i="1"/>
  <c r="U338" i="1"/>
  <c r="V338" i="1" a="1"/>
  <c r="V338" i="1" s="1"/>
  <c r="B339" i="1"/>
  <c r="D339" i="1"/>
  <c r="H339" i="1"/>
  <c r="F339" i="1" s="1" a="1"/>
  <c r="F339" i="1" s="1"/>
  <c r="Q339" i="1"/>
  <c r="S339" i="1"/>
  <c r="T339" i="1"/>
  <c r="W339" i="1" s="1"/>
  <c r="U339" i="1"/>
  <c r="V339" i="1" a="1"/>
  <c r="V339" i="1" s="1"/>
  <c r="B340" i="1"/>
  <c r="D340" i="1"/>
  <c r="H340" i="1"/>
  <c r="F340" i="1" s="1" a="1"/>
  <c r="F340" i="1" s="1"/>
  <c r="Q340" i="1"/>
  <c r="S340" i="1"/>
  <c r="T340" i="1"/>
  <c r="U340" i="1"/>
  <c r="V340" i="1" a="1"/>
  <c r="V340" i="1" s="1"/>
  <c r="W340" i="1"/>
  <c r="B341" i="1"/>
  <c r="D341" i="1"/>
  <c r="H341" i="1"/>
  <c r="F341" i="1" s="1" a="1"/>
  <c r="F341" i="1" s="1"/>
  <c r="Q341" i="1"/>
  <c r="S341" i="1"/>
  <c r="T341" i="1"/>
  <c r="W341" i="1" s="1"/>
  <c r="U341" i="1"/>
  <c r="V341" i="1" a="1"/>
  <c r="V341" i="1" s="1"/>
  <c r="B342" i="1"/>
  <c r="D342" i="1"/>
  <c r="H342" i="1"/>
  <c r="F342" i="1" s="1" a="1"/>
  <c r="F342" i="1" s="1"/>
  <c r="Q342" i="1"/>
  <c r="S342" i="1"/>
  <c r="T342" i="1"/>
  <c r="U342" i="1"/>
  <c r="V342" i="1" a="1"/>
  <c r="V342" i="1" s="1"/>
  <c r="W342" i="1"/>
  <c r="B343" i="1"/>
  <c r="D343" i="1"/>
  <c r="H343" i="1"/>
  <c r="F343" i="1" s="1" a="1"/>
  <c r="F343" i="1" s="1"/>
  <c r="Q343" i="1"/>
  <c r="S343" i="1"/>
  <c r="T343" i="1"/>
  <c r="W343" i="1" s="1"/>
  <c r="U343" i="1"/>
  <c r="V343" i="1" a="1"/>
  <c r="V343" i="1" s="1"/>
  <c r="B344" i="1"/>
  <c r="D344" i="1"/>
  <c r="H344" i="1"/>
  <c r="F344" i="1" s="1" a="1"/>
  <c r="F344" i="1" s="1"/>
  <c r="Q344" i="1"/>
  <c r="S344" i="1"/>
  <c r="T344" i="1"/>
  <c r="U344" i="1"/>
  <c r="V344" i="1" a="1"/>
  <c r="V344" i="1" s="1"/>
  <c r="W344" i="1"/>
  <c r="B345" i="1"/>
  <c r="D345" i="1"/>
  <c r="H345" i="1"/>
  <c r="F345" i="1" s="1" a="1"/>
  <c r="F345" i="1" s="1"/>
  <c r="Q345" i="1"/>
  <c r="S345" i="1"/>
  <c r="T345" i="1"/>
  <c r="W345" i="1" s="1"/>
  <c r="U345" i="1"/>
  <c r="V345" i="1" a="1"/>
  <c r="V345" i="1" s="1"/>
  <c r="B346" i="1"/>
  <c r="D346" i="1"/>
  <c r="H346" i="1"/>
  <c r="F346" i="1" s="1" a="1"/>
  <c r="F346" i="1" s="1"/>
  <c r="Q346" i="1"/>
  <c r="S346" i="1"/>
  <c r="T346" i="1"/>
  <c r="U346" i="1"/>
  <c r="V346" i="1" a="1"/>
  <c r="V346" i="1" s="1"/>
  <c r="W346" i="1"/>
  <c r="B347" i="1"/>
  <c r="D347" i="1"/>
  <c r="H347" i="1"/>
  <c r="F347" i="1" s="1" a="1"/>
  <c r="F347" i="1" s="1"/>
  <c r="Q347" i="1"/>
  <c r="S347" i="1"/>
  <c r="T347" i="1"/>
  <c r="W347" i="1" s="1"/>
  <c r="U347" i="1"/>
  <c r="V347" i="1" a="1"/>
  <c r="V347" i="1" s="1"/>
  <c r="B348" i="1"/>
  <c r="D348" i="1"/>
  <c r="H348" i="1"/>
  <c r="F348" i="1" s="1" a="1"/>
  <c r="F348" i="1" s="1"/>
  <c r="Q348" i="1"/>
  <c r="S348" i="1"/>
  <c r="T348" i="1"/>
  <c r="U348" i="1"/>
  <c r="V348" i="1" a="1"/>
  <c r="V348" i="1" s="1"/>
  <c r="W348" i="1"/>
  <c r="B349" i="1"/>
  <c r="D349" i="1"/>
  <c r="H349" i="1"/>
  <c r="F349" i="1" s="1" a="1"/>
  <c r="F349" i="1" s="1"/>
  <c r="Q349" i="1"/>
  <c r="S349" i="1"/>
  <c r="T349" i="1"/>
  <c r="W349" i="1" s="1"/>
  <c r="U349" i="1"/>
  <c r="V349" i="1" a="1"/>
  <c r="V349" i="1" s="1"/>
  <c r="B350" i="1"/>
  <c r="D350" i="1"/>
  <c r="H350" i="1"/>
  <c r="F350" i="1" s="1" a="1"/>
  <c r="F350" i="1" s="1"/>
  <c r="Q350" i="1"/>
  <c r="S350" i="1"/>
  <c r="T350" i="1"/>
  <c r="U350" i="1"/>
  <c r="V350" i="1" a="1"/>
  <c r="V350" i="1" s="1"/>
  <c r="W350" i="1"/>
  <c r="B351" i="1"/>
  <c r="D351" i="1"/>
  <c r="H351" i="1"/>
  <c r="F351" i="1" s="1" a="1"/>
  <c r="F351" i="1" s="1"/>
  <c r="Q351" i="1"/>
  <c r="S351" i="1"/>
  <c r="T351" i="1"/>
  <c r="W351" i="1" s="1"/>
  <c r="U351" i="1"/>
  <c r="V351" i="1" a="1"/>
  <c r="V351" i="1" s="1"/>
  <c r="B352" i="1"/>
  <c r="D352" i="1"/>
  <c r="H352" i="1"/>
  <c r="F352" i="1" s="1" a="1"/>
  <c r="F352" i="1" s="1"/>
  <c r="Q352" i="1"/>
  <c r="S352" i="1"/>
  <c r="T352" i="1"/>
  <c r="U352" i="1"/>
  <c r="V352" i="1" a="1"/>
  <c r="V352" i="1" s="1"/>
  <c r="W352" i="1"/>
  <c r="B353" i="1"/>
  <c r="D353" i="1"/>
  <c r="H353" i="1"/>
  <c r="F353" i="1" s="1" a="1"/>
  <c r="F353" i="1" s="1"/>
  <c r="Q353" i="1"/>
  <c r="S353" i="1"/>
  <c r="T353" i="1"/>
  <c r="W353" i="1" s="1"/>
  <c r="U353" i="1"/>
  <c r="V353" i="1" a="1"/>
  <c r="V353" i="1" s="1"/>
  <c r="B354" i="1"/>
  <c r="D354" i="1"/>
  <c r="H354" i="1"/>
  <c r="F354" i="1" s="1" a="1"/>
  <c r="F354" i="1" s="1"/>
  <c r="Q354" i="1"/>
  <c r="S354" i="1"/>
  <c r="T354" i="1"/>
  <c r="U354" i="1"/>
  <c r="V354" i="1" a="1"/>
  <c r="V354" i="1" s="1"/>
  <c r="W354" i="1"/>
  <c r="B355" i="1"/>
  <c r="D355" i="1"/>
  <c r="H355" i="1"/>
  <c r="F355" i="1" s="1" a="1"/>
  <c r="F355" i="1" s="1"/>
  <c r="Q355" i="1"/>
  <c r="S355" i="1"/>
  <c r="T355" i="1"/>
  <c r="W355" i="1" s="1"/>
  <c r="U355" i="1"/>
  <c r="V355" i="1" a="1"/>
  <c r="V355" i="1" s="1"/>
  <c r="B356" i="1"/>
  <c r="D356" i="1"/>
  <c r="H356" i="1"/>
  <c r="F356" i="1" s="1" a="1"/>
  <c r="F356" i="1" s="1"/>
  <c r="Q356" i="1"/>
  <c r="S356" i="1"/>
  <c r="T356" i="1"/>
  <c r="U356" i="1"/>
  <c r="V356" i="1" a="1"/>
  <c r="V356" i="1" s="1"/>
  <c r="W356" i="1"/>
  <c r="B357" i="1"/>
  <c r="D357" i="1"/>
  <c r="H357" i="1"/>
  <c r="F357" i="1" s="1" a="1"/>
  <c r="F357" i="1" s="1"/>
  <c r="Q357" i="1"/>
  <c r="S357" i="1"/>
  <c r="T357" i="1"/>
  <c r="W357" i="1" s="1"/>
  <c r="U357" i="1"/>
  <c r="V357" i="1" a="1"/>
  <c r="V357" i="1" s="1"/>
  <c r="B358" i="1"/>
  <c r="D358" i="1"/>
  <c r="H358" i="1"/>
  <c r="F358" i="1" s="1" a="1"/>
  <c r="F358" i="1" s="1"/>
  <c r="Q358" i="1"/>
  <c r="S358" i="1"/>
  <c r="T358" i="1"/>
  <c r="U358" i="1"/>
  <c r="V358" i="1" a="1"/>
  <c r="V358" i="1" s="1"/>
  <c r="W358" i="1"/>
  <c r="B359" i="1"/>
  <c r="D359" i="1"/>
  <c r="H359" i="1"/>
  <c r="F359" i="1" s="1" a="1"/>
  <c r="F359" i="1" s="1"/>
  <c r="Q359" i="1"/>
  <c r="S359" i="1"/>
  <c r="T359" i="1"/>
  <c r="W359" i="1" s="1"/>
  <c r="U359" i="1"/>
  <c r="V359" i="1" a="1"/>
  <c r="V359" i="1" s="1"/>
  <c r="B360" i="1"/>
  <c r="D360" i="1"/>
  <c r="H360" i="1"/>
  <c r="F360" i="1" s="1" a="1"/>
  <c r="F360" i="1" s="1"/>
  <c r="Q360" i="1"/>
  <c r="S360" i="1"/>
  <c r="T360" i="1"/>
  <c r="U360" i="1"/>
  <c r="V360" i="1" a="1"/>
  <c r="V360" i="1" s="1"/>
  <c r="W360" i="1"/>
  <c r="B361" i="1"/>
  <c r="D361" i="1"/>
  <c r="H361" i="1"/>
  <c r="F361" i="1" s="1" a="1"/>
  <c r="F361" i="1" s="1"/>
  <c r="Q361" i="1"/>
  <c r="S361" i="1"/>
  <c r="T361" i="1"/>
  <c r="W361" i="1" s="1"/>
  <c r="U361" i="1"/>
  <c r="V361" i="1" a="1"/>
  <c r="V361" i="1" s="1"/>
  <c r="B362" i="1"/>
  <c r="D362" i="1"/>
  <c r="H362" i="1"/>
  <c r="F362" i="1" s="1" a="1"/>
  <c r="F362" i="1" s="1"/>
  <c r="Q362" i="1"/>
  <c r="S362" i="1"/>
  <c r="T362" i="1"/>
  <c r="U362" i="1"/>
  <c r="V362" i="1" a="1"/>
  <c r="V362" i="1" s="1"/>
  <c r="W362" i="1"/>
  <c r="B363" i="1"/>
  <c r="D363" i="1"/>
  <c r="H363" i="1"/>
  <c r="F363" i="1" s="1" a="1"/>
  <c r="F363" i="1" s="1"/>
  <c r="Q363" i="1"/>
  <c r="S363" i="1"/>
  <c r="T363" i="1"/>
  <c r="W363" i="1" s="1"/>
  <c r="U363" i="1"/>
  <c r="V363" i="1" a="1"/>
  <c r="V363" i="1" s="1"/>
  <c r="B364" i="1"/>
  <c r="D364" i="1"/>
  <c r="H364" i="1"/>
  <c r="F364" i="1" s="1" a="1"/>
  <c r="F364" i="1" s="1"/>
  <c r="Q364" i="1"/>
  <c r="S364" i="1"/>
  <c r="T364" i="1"/>
  <c r="U364" i="1"/>
  <c r="V364" i="1" a="1"/>
  <c r="V364" i="1" s="1"/>
  <c r="W364" i="1"/>
  <c r="B365" i="1"/>
  <c r="D365" i="1"/>
  <c r="H365" i="1"/>
  <c r="F365" i="1" s="1" a="1"/>
  <c r="F365" i="1" s="1"/>
  <c r="Q365" i="1"/>
  <c r="S365" i="1"/>
  <c r="T365" i="1"/>
  <c r="U365" i="1"/>
  <c r="V365" i="1" a="1"/>
  <c r="V365" i="1" s="1"/>
  <c r="W365" i="1"/>
  <c r="B366" i="1"/>
  <c r="D366" i="1"/>
  <c r="H366" i="1"/>
  <c r="F366" i="1" s="1" a="1"/>
  <c r="F366" i="1" s="1"/>
  <c r="Q366" i="1"/>
  <c r="S366" i="1"/>
  <c r="T366" i="1"/>
  <c r="U366" i="1"/>
  <c r="V366" i="1" a="1"/>
  <c r="V366" i="1" s="1"/>
  <c r="W366" i="1"/>
  <c r="B367" i="1"/>
  <c r="D367" i="1"/>
  <c r="H367" i="1"/>
  <c r="F367" i="1" s="1" a="1"/>
  <c r="F367" i="1" s="1"/>
  <c r="Q367" i="1"/>
  <c r="S367" i="1"/>
  <c r="T367" i="1"/>
  <c r="U367" i="1"/>
  <c r="V367" i="1" a="1"/>
  <c r="V367" i="1" s="1"/>
  <c r="W367" i="1"/>
  <c r="B368" i="1"/>
  <c r="D368" i="1"/>
  <c r="H368" i="1"/>
  <c r="F368" i="1" s="1" a="1"/>
  <c r="F368" i="1" s="1"/>
  <c r="Q368" i="1"/>
  <c r="S368" i="1"/>
  <c r="T368" i="1"/>
  <c r="U368" i="1"/>
  <c r="V368" i="1" a="1"/>
  <c r="V368" i="1" s="1"/>
  <c r="W368" i="1"/>
  <c r="B369" i="1"/>
  <c r="D369" i="1"/>
  <c r="H369" i="1"/>
  <c r="F369" i="1" s="1" a="1"/>
  <c r="F369" i="1" s="1"/>
  <c r="Q369" i="1"/>
  <c r="S369" i="1"/>
  <c r="T369" i="1"/>
  <c r="U369" i="1"/>
  <c r="V369" i="1" a="1"/>
  <c r="V369" i="1" s="1"/>
  <c r="W369" i="1"/>
  <c r="B370" i="1"/>
  <c r="D370" i="1"/>
  <c r="H370" i="1"/>
  <c r="F370" i="1" s="1" a="1"/>
  <c r="F370" i="1" s="1"/>
  <c r="Q370" i="1"/>
  <c r="S370" i="1"/>
  <c r="T370" i="1"/>
  <c r="U370" i="1"/>
  <c r="V370" i="1" a="1"/>
  <c r="V370" i="1" s="1"/>
  <c r="W370" i="1"/>
  <c r="B371" i="1"/>
  <c r="D371" i="1"/>
  <c r="H371" i="1"/>
  <c r="F371" i="1" s="1" a="1"/>
  <c r="F371" i="1" s="1"/>
  <c r="Q371" i="1"/>
  <c r="S371" i="1"/>
  <c r="T371" i="1"/>
  <c r="U371" i="1"/>
  <c r="V371" i="1" a="1"/>
  <c r="V371" i="1" s="1"/>
  <c r="W371" i="1"/>
  <c r="B372" i="1"/>
  <c r="D372" i="1"/>
  <c r="H372" i="1"/>
  <c r="F372" i="1" s="1" a="1"/>
  <c r="F372" i="1" s="1"/>
  <c r="Q372" i="1"/>
  <c r="S372" i="1"/>
  <c r="T372" i="1"/>
  <c r="U372" i="1"/>
  <c r="V372" i="1" a="1"/>
  <c r="V372" i="1" s="1"/>
  <c r="W372" i="1"/>
  <c r="B373" i="1"/>
  <c r="D373" i="1"/>
  <c r="H373" i="1"/>
  <c r="F373" i="1" s="1" a="1"/>
  <c r="F373" i="1" s="1"/>
  <c r="Q373" i="1"/>
  <c r="S373" i="1"/>
  <c r="T373" i="1"/>
  <c r="U373" i="1"/>
  <c r="V373" i="1" a="1"/>
  <c r="V373" i="1" s="1"/>
  <c r="W373" i="1"/>
  <c r="B374" i="1"/>
  <c r="D374" i="1"/>
  <c r="H374" i="1"/>
  <c r="F374" i="1" s="1" a="1"/>
  <c r="F374" i="1" s="1"/>
  <c r="Q374" i="1"/>
  <c r="S374" i="1"/>
  <c r="T374" i="1"/>
  <c r="U374" i="1"/>
  <c r="V374" i="1" a="1"/>
  <c r="V374" i="1" s="1"/>
  <c r="W374" i="1"/>
  <c r="B375" i="1"/>
  <c r="D375" i="1"/>
  <c r="H375" i="1"/>
  <c r="F375" i="1" s="1" a="1"/>
  <c r="F375" i="1" s="1"/>
  <c r="Q375" i="1"/>
  <c r="S375" i="1"/>
  <c r="T375" i="1"/>
  <c r="U375" i="1"/>
  <c r="V375" i="1" a="1"/>
  <c r="V375" i="1" s="1"/>
  <c r="W375" i="1"/>
  <c r="B376" i="1"/>
  <c r="D376" i="1"/>
  <c r="H376" i="1"/>
  <c r="F376" i="1" s="1" a="1"/>
  <c r="F376" i="1" s="1"/>
  <c r="Q376" i="1"/>
  <c r="S376" i="1"/>
  <c r="T376" i="1"/>
  <c r="U376" i="1"/>
  <c r="V376" i="1" a="1"/>
  <c r="V376" i="1" s="1"/>
  <c r="W376" i="1"/>
  <c r="B377" i="1"/>
  <c r="D377" i="1"/>
  <c r="H377" i="1"/>
  <c r="F377" i="1" s="1" a="1"/>
  <c r="F377" i="1" s="1"/>
  <c r="Q377" i="1"/>
  <c r="S377" i="1"/>
  <c r="T377" i="1"/>
  <c r="U377" i="1"/>
  <c r="V377" i="1" a="1"/>
  <c r="V377" i="1" s="1"/>
  <c r="W377" i="1"/>
  <c r="B378" i="1"/>
  <c r="D378" i="1"/>
  <c r="H378" i="1"/>
  <c r="F378" i="1" s="1" a="1"/>
  <c r="F378" i="1" s="1"/>
  <c r="Q378" i="1"/>
  <c r="S378" i="1"/>
  <c r="T378" i="1"/>
  <c r="U378" i="1"/>
  <c r="V378" i="1" a="1"/>
  <c r="V378" i="1" s="1"/>
  <c r="W378" i="1"/>
  <c r="B379" i="1"/>
  <c r="D379" i="1"/>
  <c r="H379" i="1"/>
  <c r="F379" i="1" s="1" a="1"/>
  <c r="F379" i="1" s="1"/>
  <c r="Q379" i="1"/>
  <c r="S379" i="1"/>
  <c r="T379" i="1"/>
  <c r="U379" i="1"/>
  <c r="V379" i="1" a="1"/>
  <c r="V379" i="1" s="1"/>
  <c r="W379" i="1"/>
  <c r="B380" i="1"/>
  <c r="D380" i="1"/>
  <c r="H380" i="1"/>
  <c r="F380" i="1" s="1" a="1"/>
  <c r="F380" i="1" s="1"/>
  <c r="Q380" i="1"/>
  <c r="S380" i="1"/>
  <c r="T380" i="1"/>
  <c r="U380" i="1"/>
  <c r="V380" i="1" a="1"/>
  <c r="V380" i="1" s="1"/>
  <c r="W380" i="1"/>
  <c r="B381" i="1"/>
  <c r="D381" i="1"/>
  <c r="H381" i="1"/>
  <c r="F381" i="1" s="1" a="1"/>
  <c r="F381" i="1" s="1"/>
  <c r="Q381" i="1"/>
  <c r="S381" i="1"/>
  <c r="T381" i="1"/>
  <c r="U381" i="1"/>
  <c r="V381" i="1" a="1"/>
  <c r="V381" i="1" s="1"/>
  <c r="W381" i="1"/>
  <c r="B382" i="1"/>
  <c r="D382" i="1"/>
  <c r="H382" i="1"/>
  <c r="F382" i="1" s="1" a="1"/>
  <c r="F382" i="1" s="1"/>
  <c r="Q382" i="1"/>
  <c r="S382" i="1"/>
  <c r="T382" i="1"/>
  <c r="U382" i="1"/>
  <c r="V382" i="1" a="1"/>
  <c r="V382" i="1" s="1"/>
  <c r="W382" i="1"/>
  <c r="B383" i="1"/>
  <c r="D383" i="1"/>
  <c r="H383" i="1"/>
  <c r="F383" i="1" s="1" a="1"/>
  <c r="F383" i="1" s="1"/>
  <c r="Q383" i="1"/>
  <c r="S383" i="1"/>
  <c r="T383" i="1"/>
  <c r="U383" i="1"/>
  <c r="V383" i="1" a="1"/>
  <c r="V383" i="1" s="1"/>
  <c r="W383" i="1"/>
  <c r="B384" i="1"/>
  <c r="D384" i="1"/>
  <c r="H384" i="1"/>
  <c r="F384" i="1" s="1" a="1"/>
  <c r="F384" i="1" s="1"/>
  <c r="Q384" i="1"/>
  <c r="S384" i="1"/>
  <c r="T384" i="1"/>
  <c r="U384" i="1"/>
  <c r="V384" i="1" a="1"/>
  <c r="V384" i="1" s="1"/>
  <c r="W384" i="1"/>
  <c r="B385" i="1"/>
  <c r="D385" i="1"/>
  <c r="H385" i="1"/>
  <c r="F385" i="1" s="1" a="1"/>
  <c r="F385" i="1" s="1"/>
  <c r="Q385" i="1"/>
  <c r="S385" i="1"/>
  <c r="T385" i="1"/>
  <c r="U385" i="1"/>
  <c r="V385" i="1" a="1"/>
  <c r="V385" i="1" s="1"/>
  <c r="W385" i="1"/>
  <c r="B386" i="1"/>
  <c r="D386" i="1"/>
  <c r="H386" i="1"/>
  <c r="F386" i="1" s="1" a="1"/>
  <c r="F386" i="1" s="1"/>
  <c r="Q386" i="1"/>
  <c r="S386" i="1"/>
  <c r="T386" i="1"/>
  <c r="U386" i="1"/>
  <c r="V386" i="1" a="1"/>
  <c r="V386" i="1" s="1"/>
  <c r="W386" i="1"/>
  <c r="B387" i="1"/>
  <c r="D387" i="1"/>
  <c r="H387" i="1"/>
  <c r="F387" i="1" s="1" a="1"/>
  <c r="F387" i="1" s="1"/>
  <c r="Q387" i="1"/>
  <c r="S387" i="1"/>
  <c r="T387" i="1"/>
  <c r="U387" i="1"/>
  <c r="V387" i="1" a="1"/>
  <c r="V387" i="1" s="1"/>
  <c r="W387" i="1"/>
  <c r="B388" i="1"/>
  <c r="D388" i="1"/>
  <c r="H388" i="1"/>
  <c r="F388" i="1" s="1" a="1"/>
  <c r="F388" i="1" s="1"/>
  <c r="Q388" i="1"/>
  <c r="S388" i="1"/>
  <c r="T388" i="1"/>
  <c r="U388" i="1"/>
  <c r="V388" i="1" a="1"/>
  <c r="V388" i="1" s="1"/>
  <c r="W388" i="1"/>
  <c r="B389" i="1"/>
  <c r="D389" i="1"/>
  <c r="H389" i="1"/>
  <c r="F389" i="1" s="1" a="1"/>
  <c r="F389" i="1" s="1"/>
  <c r="Q389" i="1"/>
  <c r="S389" i="1"/>
  <c r="T389" i="1"/>
  <c r="U389" i="1"/>
  <c r="V389" i="1" a="1"/>
  <c r="V389" i="1" s="1"/>
  <c r="W389" i="1"/>
  <c r="B390" i="1"/>
  <c r="D390" i="1"/>
  <c r="H390" i="1"/>
  <c r="F390" i="1" s="1" a="1"/>
  <c r="F390" i="1" s="1"/>
  <c r="Q390" i="1"/>
  <c r="S390" i="1"/>
  <c r="T390" i="1"/>
  <c r="U390" i="1"/>
  <c r="V390" i="1" a="1"/>
  <c r="V390" i="1" s="1"/>
  <c r="W390" i="1"/>
  <c r="B391" i="1"/>
  <c r="D391" i="1"/>
  <c r="H391" i="1"/>
  <c r="F391" i="1" s="1" a="1"/>
  <c r="F391" i="1" s="1"/>
  <c r="Q391" i="1"/>
  <c r="S391" i="1"/>
  <c r="T391" i="1"/>
  <c r="U391" i="1"/>
  <c r="V391" i="1" a="1"/>
  <c r="V391" i="1" s="1"/>
  <c r="W391" i="1"/>
  <c r="B392" i="1"/>
  <c r="D392" i="1"/>
  <c r="H392" i="1"/>
  <c r="F392" i="1" s="1" a="1"/>
  <c r="F392" i="1" s="1"/>
  <c r="Q392" i="1"/>
  <c r="S392" i="1"/>
  <c r="T392" i="1"/>
  <c r="U392" i="1"/>
  <c r="V392" i="1" a="1"/>
  <c r="V392" i="1" s="1"/>
  <c r="W392" i="1"/>
  <c r="B393" i="1"/>
  <c r="D393" i="1"/>
  <c r="H393" i="1"/>
  <c r="F393" i="1" s="1" a="1"/>
  <c r="F393" i="1" s="1"/>
  <c r="Q393" i="1"/>
  <c r="S393" i="1"/>
  <c r="T393" i="1"/>
  <c r="U393" i="1"/>
  <c r="V393" i="1" a="1"/>
  <c r="V393" i="1" s="1"/>
  <c r="W393" i="1"/>
  <c r="B394" i="1"/>
  <c r="D394" i="1"/>
  <c r="H394" i="1"/>
  <c r="F394" i="1" s="1" a="1"/>
  <c r="F394" i="1" s="1"/>
  <c r="Q394" i="1"/>
  <c r="S394" i="1"/>
  <c r="T394" i="1"/>
  <c r="U394" i="1"/>
  <c r="V394" i="1" a="1"/>
  <c r="V394" i="1" s="1"/>
  <c r="W394" i="1"/>
  <c r="B395" i="1"/>
  <c r="D395" i="1"/>
  <c r="H395" i="1"/>
  <c r="F395" i="1" s="1" a="1"/>
  <c r="F395" i="1" s="1"/>
  <c r="Q395" i="1"/>
  <c r="S395" i="1"/>
  <c r="T395" i="1"/>
  <c r="U395" i="1"/>
  <c r="V395" i="1" a="1"/>
  <c r="V395" i="1" s="1"/>
  <c r="W395" i="1"/>
  <c r="B396" i="1"/>
  <c r="D396" i="1"/>
  <c r="H396" i="1"/>
  <c r="F396" i="1" s="1" a="1"/>
  <c r="F396" i="1" s="1"/>
  <c r="Q396" i="1"/>
  <c r="S396" i="1"/>
  <c r="T396" i="1"/>
  <c r="U396" i="1"/>
  <c r="V396" i="1" a="1"/>
  <c r="V396" i="1" s="1"/>
  <c r="W396" i="1"/>
  <c r="B397" i="1"/>
  <c r="D397" i="1"/>
  <c r="H397" i="1"/>
  <c r="F397" i="1" s="1" a="1"/>
  <c r="F397" i="1" s="1"/>
  <c r="Q397" i="1"/>
  <c r="S397" i="1"/>
  <c r="T397" i="1"/>
  <c r="U397" i="1"/>
  <c r="V397" i="1" a="1"/>
  <c r="V397" i="1" s="1"/>
  <c r="W397" i="1"/>
  <c r="B398" i="1"/>
  <c r="D398" i="1"/>
  <c r="H398" i="1"/>
  <c r="F398" i="1" s="1" a="1"/>
  <c r="F398" i="1" s="1"/>
  <c r="Q398" i="1"/>
  <c r="S398" i="1"/>
  <c r="T398" i="1"/>
  <c r="U398" i="1"/>
  <c r="V398" i="1" a="1"/>
  <c r="V398" i="1" s="1"/>
  <c r="W398" i="1"/>
  <c r="B399" i="1"/>
  <c r="D399" i="1"/>
  <c r="H399" i="1"/>
  <c r="F399" i="1" s="1" a="1"/>
  <c r="F399" i="1" s="1"/>
  <c r="Q399" i="1"/>
  <c r="S399" i="1"/>
  <c r="T399" i="1"/>
  <c r="U399" i="1"/>
  <c r="V399" i="1" a="1"/>
  <c r="V399" i="1" s="1"/>
  <c r="W399" i="1"/>
  <c r="B400" i="1"/>
  <c r="D400" i="1"/>
  <c r="H400" i="1"/>
  <c r="F400" i="1" s="1" a="1"/>
  <c r="F400" i="1" s="1"/>
  <c r="Q400" i="1"/>
  <c r="S400" i="1"/>
  <c r="T400" i="1"/>
  <c r="U400" i="1"/>
  <c r="V400" i="1" a="1"/>
  <c r="V400" i="1" s="1"/>
  <c r="W400" i="1"/>
  <c r="B401" i="1"/>
  <c r="D401" i="1"/>
  <c r="H401" i="1"/>
  <c r="F401" i="1" s="1" a="1"/>
  <c r="F401" i="1" s="1"/>
  <c r="Q401" i="1"/>
  <c r="S401" i="1"/>
  <c r="T401" i="1"/>
  <c r="U401" i="1"/>
  <c r="V401" i="1" a="1"/>
  <c r="V401" i="1" s="1"/>
  <c r="W401" i="1"/>
  <c r="B402" i="1"/>
  <c r="D402" i="1"/>
  <c r="H402" i="1"/>
  <c r="F402" i="1" s="1" a="1"/>
  <c r="F402" i="1" s="1"/>
  <c r="Q402" i="1"/>
  <c r="S402" i="1"/>
  <c r="T402" i="1"/>
  <c r="U402" i="1"/>
  <c r="V402" i="1" a="1"/>
  <c r="V402" i="1" s="1"/>
  <c r="W402" i="1"/>
  <c r="B403" i="1"/>
  <c r="D403" i="1"/>
  <c r="H403" i="1"/>
  <c r="F403" i="1" s="1" a="1"/>
  <c r="F403" i="1" s="1"/>
  <c r="Q403" i="1"/>
  <c r="S403" i="1"/>
  <c r="T403" i="1"/>
  <c r="U403" i="1"/>
  <c r="V403" i="1" a="1"/>
  <c r="V403" i="1" s="1"/>
  <c r="W403" i="1"/>
  <c r="B404" i="1"/>
  <c r="D404" i="1"/>
  <c r="H404" i="1"/>
  <c r="F404" i="1" s="1" a="1"/>
  <c r="F404" i="1" s="1"/>
  <c r="Q404" i="1"/>
  <c r="S404" i="1"/>
  <c r="T404" i="1"/>
  <c r="U404" i="1"/>
  <c r="V404" i="1" a="1"/>
  <c r="V404" i="1" s="1"/>
  <c r="W404" i="1"/>
  <c r="B405" i="1"/>
  <c r="D405" i="1"/>
  <c r="H405" i="1"/>
  <c r="F405" i="1" s="1" a="1"/>
  <c r="F405" i="1" s="1"/>
  <c r="Q405" i="1"/>
  <c r="S405" i="1"/>
  <c r="T405" i="1"/>
  <c r="U405" i="1"/>
  <c r="V405" i="1" a="1"/>
  <c r="V405" i="1" s="1"/>
  <c r="W405" i="1"/>
  <c r="B406" i="1"/>
  <c r="D406" i="1"/>
  <c r="H406" i="1"/>
  <c r="F406" i="1" s="1" a="1"/>
  <c r="F406" i="1" s="1"/>
  <c r="Q406" i="1"/>
  <c r="S406" i="1"/>
  <c r="T406" i="1"/>
  <c r="U406" i="1"/>
  <c r="V406" i="1" a="1"/>
  <c r="V406" i="1" s="1"/>
  <c r="W406" i="1"/>
  <c r="B407" i="1"/>
  <c r="D407" i="1"/>
  <c r="H407" i="1"/>
  <c r="F407" i="1" s="1" a="1"/>
  <c r="F407" i="1" s="1"/>
  <c r="Q407" i="1"/>
  <c r="S407" i="1"/>
  <c r="T407" i="1"/>
  <c r="U407" i="1"/>
  <c r="V407" i="1" a="1"/>
  <c r="V407" i="1" s="1"/>
  <c r="W407" i="1"/>
  <c r="B408" i="1"/>
  <c r="D408" i="1"/>
  <c r="H408" i="1"/>
  <c r="F408" i="1" s="1" a="1"/>
  <c r="F408" i="1" s="1"/>
  <c r="Q408" i="1"/>
  <c r="S408" i="1"/>
  <c r="T408" i="1"/>
  <c r="U408" i="1"/>
  <c r="V408" i="1" a="1"/>
  <c r="V408" i="1" s="1"/>
  <c r="W408" i="1"/>
  <c r="B409" i="1"/>
  <c r="D409" i="1"/>
  <c r="H409" i="1"/>
  <c r="F409" i="1" s="1" a="1"/>
  <c r="F409" i="1" s="1"/>
  <c r="Q409" i="1"/>
  <c r="S409" i="1"/>
  <c r="T409" i="1"/>
  <c r="U409" i="1"/>
  <c r="V409" i="1" a="1"/>
  <c r="V409" i="1" s="1"/>
  <c r="W409" i="1"/>
  <c r="B410" i="1"/>
  <c r="D410" i="1"/>
  <c r="H410" i="1"/>
  <c r="F410" i="1" s="1" a="1"/>
  <c r="F410" i="1" s="1"/>
  <c r="Q410" i="1"/>
  <c r="S410" i="1"/>
  <c r="T410" i="1"/>
  <c r="U410" i="1"/>
  <c r="V410" i="1" a="1"/>
  <c r="V410" i="1" s="1"/>
  <c r="W410" i="1"/>
  <c r="B411" i="1"/>
  <c r="D411" i="1"/>
  <c r="H411" i="1"/>
  <c r="F411" i="1" s="1" a="1"/>
  <c r="F411" i="1" s="1"/>
  <c r="Q411" i="1"/>
  <c r="S411" i="1"/>
  <c r="T411" i="1"/>
  <c r="U411" i="1"/>
  <c r="V411" i="1" a="1"/>
  <c r="V411" i="1" s="1"/>
  <c r="W411" i="1"/>
  <c r="B412" i="1"/>
  <c r="D412" i="1"/>
  <c r="H412" i="1"/>
  <c r="F412" i="1" s="1" a="1"/>
  <c r="F412" i="1" s="1"/>
  <c r="Q412" i="1"/>
  <c r="S412" i="1"/>
  <c r="T412" i="1"/>
  <c r="U412" i="1"/>
  <c r="V412" i="1" a="1"/>
  <c r="V412" i="1" s="1"/>
  <c r="W412" i="1"/>
  <c r="B413" i="1"/>
  <c r="D413" i="1"/>
  <c r="H413" i="1"/>
  <c r="F413" i="1" s="1" a="1"/>
  <c r="F413" i="1" s="1"/>
  <c r="Q413" i="1"/>
  <c r="S413" i="1"/>
  <c r="T413" i="1"/>
  <c r="U413" i="1"/>
  <c r="V413" i="1" a="1"/>
  <c r="V413" i="1" s="1"/>
  <c r="W413" i="1"/>
  <c r="B414" i="1"/>
  <c r="D414" i="1"/>
  <c r="H414" i="1"/>
  <c r="F414" i="1" s="1" a="1"/>
  <c r="F414" i="1" s="1"/>
  <c r="Q414" i="1"/>
  <c r="S414" i="1"/>
  <c r="T414" i="1"/>
  <c r="U414" i="1"/>
  <c r="V414" i="1" a="1"/>
  <c r="V414" i="1" s="1"/>
  <c r="W414" i="1"/>
  <c r="B415" i="1"/>
  <c r="D415" i="1"/>
  <c r="H415" i="1"/>
  <c r="F415" i="1" s="1" a="1"/>
  <c r="F415" i="1" s="1"/>
  <c r="Q415" i="1"/>
  <c r="S415" i="1"/>
  <c r="T415" i="1"/>
  <c r="U415" i="1"/>
  <c r="V415" i="1" a="1"/>
  <c r="V415" i="1" s="1"/>
  <c r="W415" i="1"/>
  <c r="B416" i="1"/>
  <c r="D416" i="1"/>
  <c r="H416" i="1"/>
  <c r="F416" i="1" s="1" a="1"/>
  <c r="F416" i="1" s="1"/>
  <c r="Q416" i="1"/>
  <c r="S416" i="1"/>
  <c r="T416" i="1"/>
  <c r="U416" i="1"/>
  <c r="V416" i="1" a="1"/>
  <c r="V416" i="1" s="1"/>
  <c r="W416" i="1"/>
  <c r="B417" i="1"/>
  <c r="D417" i="1"/>
  <c r="H417" i="1"/>
  <c r="F417" i="1" s="1" a="1"/>
  <c r="F417" i="1" s="1"/>
  <c r="Q417" i="1"/>
  <c r="S417" i="1"/>
  <c r="T417" i="1"/>
  <c r="U417" i="1"/>
  <c r="V417" i="1" a="1"/>
  <c r="V417" i="1" s="1"/>
  <c r="W417" i="1"/>
  <c r="B418" i="1"/>
  <c r="D418" i="1"/>
  <c r="H418" i="1"/>
  <c r="F418" i="1" s="1" a="1"/>
  <c r="F418" i="1" s="1"/>
  <c r="Q418" i="1"/>
  <c r="S418" i="1"/>
  <c r="T418" i="1"/>
  <c r="U418" i="1"/>
  <c r="V418" i="1" a="1"/>
  <c r="V418" i="1" s="1"/>
  <c r="W418" i="1"/>
  <c r="B419" i="1"/>
  <c r="D419" i="1"/>
  <c r="H419" i="1"/>
  <c r="F419" i="1" s="1" a="1"/>
  <c r="F419" i="1" s="1"/>
  <c r="Q419" i="1"/>
  <c r="S419" i="1"/>
  <c r="T419" i="1"/>
  <c r="U419" i="1"/>
  <c r="V419" i="1" a="1"/>
  <c r="V419" i="1" s="1"/>
  <c r="W419" i="1"/>
  <c r="B420" i="1"/>
  <c r="D420" i="1"/>
  <c r="H420" i="1"/>
  <c r="F420" i="1" s="1" a="1"/>
  <c r="F420" i="1" s="1"/>
  <c r="Q420" i="1"/>
  <c r="S420" i="1"/>
  <c r="T420" i="1"/>
  <c r="U420" i="1"/>
  <c r="V420" i="1" a="1"/>
  <c r="V420" i="1" s="1"/>
  <c r="W420" i="1"/>
  <c r="B421" i="1"/>
  <c r="D421" i="1"/>
  <c r="H421" i="1"/>
  <c r="F421" i="1" s="1" a="1"/>
  <c r="F421" i="1" s="1"/>
  <c r="Q421" i="1"/>
  <c r="S421" i="1"/>
  <c r="T421" i="1"/>
  <c r="U421" i="1"/>
  <c r="V421" i="1" a="1"/>
  <c r="V421" i="1" s="1"/>
  <c r="W421" i="1"/>
  <c r="B422" i="1"/>
  <c r="D422" i="1"/>
  <c r="H422" i="1"/>
  <c r="F422" i="1" s="1" a="1"/>
  <c r="F422" i="1" s="1"/>
  <c r="Q422" i="1"/>
  <c r="S422" i="1"/>
  <c r="T422" i="1"/>
  <c r="U422" i="1"/>
  <c r="V422" i="1" a="1"/>
  <c r="V422" i="1" s="1"/>
  <c r="W422" i="1"/>
  <c r="B423" i="1"/>
  <c r="D423" i="1"/>
  <c r="H423" i="1"/>
  <c r="F423" i="1" s="1" a="1"/>
  <c r="F423" i="1" s="1"/>
  <c r="Q423" i="1"/>
  <c r="S423" i="1"/>
  <c r="T423" i="1"/>
  <c r="U423" i="1"/>
  <c r="V423" i="1" a="1"/>
  <c r="V423" i="1" s="1"/>
  <c r="W423" i="1"/>
  <c r="B424" i="1"/>
  <c r="D424" i="1"/>
  <c r="H424" i="1"/>
  <c r="F424" i="1" s="1" a="1"/>
  <c r="F424" i="1" s="1"/>
  <c r="Q424" i="1"/>
  <c r="S424" i="1"/>
  <c r="T424" i="1"/>
  <c r="U424" i="1"/>
  <c r="V424" i="1" a="1"/>
  <c r="V424" i="1" s="1"/>
  <c r="W424" i="1"/>
  <c r="B425" i="1"/>
  <c r="D425" i="1"/>
  <c r="H425" i="1"/>
  <c r="F425" i="1" s="1" a="1"/>
  <c r="F425" i="1" s="1"/>
  <c r="Q425" i="1"/>
  <c r="S425" i="1"/>
  <c r="T425" i="1"/>
  <c r="U425" i="1"/>
  <c r="V425" i="1" a="1"/>
  <c r="V425" i="1" s="1"/>
  <c r="W425" i="1"/>
  <c r="B426" i="1"/>
  <c r="D426" i="1"/>
  <c r="H426" i="1"/>
  <c r="F426" i="1" s="1" a="1"/>
  <c r="F426" i="1" s="1"/>
  <c r="Q426" i="1"/>
  <c r="S426" i="1"/>
  <c r="T426" i="1"/>
  <c r="U426" i="1"/>
  <c r="V426" i="1" a="1"/>
  <c r="V426" i="1" s="1"/>
  <c r="W426" i="1"/>
  <c r="B427" i="1"/>
  <c r="D427" i="1"/>
  <c r="H427" i="1"/>
  <c r="F427" i="1" s="1" a="1"/>
  <c r="F427" i="1" s="1"/>
  <c r="Q427" i="1"/>
  <c r="S427" i="1"/>
  <c r="T427" i="1"/>
  <c r="U427" i="1"/>
  <c r="V427" i="1" a="1"/>
  <c r="V427" i="1" s="1"/>
  <c r="W427" i="1"/>
  <c r="B428" i="1"/>
  <c r="D428" i="1"/>
  <c r="H428" i="1"/>
  <c r="F428" i="1" s="1" a="1"/>
  <c r="F428" i="1" s="1"/>
  <c r="Q428" i="1"/>
  <c r="S428" i="1"/>
  <c r="T428" i="1"/>
  <c r="U428" i="1"/>
  <c r="V428" i="1" a="1"/>
  <c r="V428" i="1" s="1"/>
  <c r="W428" i="1"/>
  <c r="B429" i="1"/>
  <c r="D429" i="1"/>
  <c r="H429" i="1"/>
  <c r="F429" i="1" s="1" a="1"/>
  <c r="F429" i="1" s="1"/>
  <c r="Q429" i="1"/>
  <c r="S429" i="1"/>
  <c r="T429" i="1"/>
  <c r="U429" i="1"/>
  <c r="V429" i="1" a="1"/>
  <c r="V429" i="1" s="1"/>
  <c r="W429" i="1"/>
  <c r="B430" i="1"/>
  <c r="D430" i="1"/>
  <c r="H430" i="1"/>
  <c r="F430" i="1" s="1" a="1"/>
  <c r="F430" i="1" s="1"/>
  <c r="Q430" i="1"/>
  <c r="S430" i="1"/>
  <c r="T430" i="1"/>
  <c r="U430" i="1"/>
  <c r="V430" i="1" a="1"/>
  <c r="V430" i="1" s="1"/>
  <c r="W430" i="1"/>
  <c r="B431" i="1"/>
  <c r="D431" i="1"/>
  <c r="H431" i="1"/>
  <c r="F431" i="1" s="1" a="1"/>
  <c r="F431" i="1" s="1"/>
  <c r="Q431" i="1"/>
  <c r="S431" i="1"/>
  <c r="T431" i="1"/>
  <c r="U431" i="1"/>
  <c r="V431" i="1" a="1"/>
  <c r="V431" i="1" s="1"/>
  <c r="W431" i="1"/>
  <c r="B432" i="1"/>
  <c r="D432" i="1"/>
  <c r="H432" i="1"/>
  <c r="F432" i="1" s="1" a="1"/>
  <c r="F432" i="1" s="1"/>
  <c r="Q432" i="1"/>
  <c r="S432" i="1"/>
  <c r="T432" i="1"/>
  <c r="U432" i="1"/>
  <c r="V432" i="1" a="1"/>
  <c r="V432" i="1" s="1"/>
  <c r="W432" i="1"/>
  <c r="B433" i="1"/>
  <c r="D433" i="1"/>
  <c r="H433" i="1"/>
  <c r="F433" i="1" s="1" a="1"/>
  <c r="F433" i="1" s="1"/>
  <c r="Q433" i="1"/>
  <c r="S433" i="1"/>
  <c r="T433" i="1"/>
  <c r="U433" i="1"/>
  <c r="V433" i="1" a="1"/>
  <c r="V433" i="1" s="1"/>
  <c r="W433" i="1"/>
  <c r="B434" i="1"/>
  <c r="D434" i="1"/>
  <c r="H434" i="1"/>
  <c r="F434" i="1" s="1" a="1"/>
  <c r="F434" i="1" s="1"/>
  <c r="Q434" i="1"/>
  <c r="S434" i="1"/>
  <c r="T434" i="1"/>
  <c r="U434" i="1"/>
  <c r="V434" i="1" a="1"/>
  <c r="V434" i="1" s="1"/>
  <c r="W434" i="1"/>
  <c r="B435" i="1"/>
  <c r="D435" i="1"/>
  <c r="H435" i="1"/>
  <c r="F435" i="1" s="1" a="1"/>
  <c r="F435" i="1" s="1"/>
  <c r="Q435" i="1"/>
  <c r="S435" i="1"/>
  <c r="T435" i="1"/>
  <c r="U435" i="1"/>
  <c r="V435" i="1" a="1"/>
  <c r="V435" i="1" s="1"/>
  <c r="W435" i="1"/>
  <c r="B436" i="1"/>
  <c r="D436" i="1"/>
  <c r="H436" i="1"/>
  <c r="F436" i="1" s="1" a="1"/>
  <c r="F436" i="1" s="1"/>
  <c r="Q436" i="1"/>
  <c r="S436" i="1"/>
  <c r="T436" i="1"/>
  <c r="U436" i="1"/>
  <c r="V436" i="1" a="1"/>
  <c r="V436" i="1" s="1"/>
  <c r="W436" i="1"/>
  <c r="B437" i="1"/>
  <c r="D437" i="1"/>
  <c r="H437" i="1"/>
  <c r="F437" i="1" s="1" a="1"/>
  <c r="F437" i="1" s="1"/>
  <c r="Q437" i="1"/>
  <c r="S437" i="1"/>
  <c r="T437" i="1"/>
  <c r="U437" i="1"/>
  <c r="V437" i="1" a="1"/>
  <c r="V437" i="1" s="1"/>
  <c r="W437" i="1"/>
  <c r="B438" i="1"/>
  <c r="D438" i="1"/>
  <c r="H438" i="1"/>
  <c r="F438" i="1" s="1" a="1"/>
  <c r="F438" i="1" s="1"/>
  <c r="Q438" i="1"/>
  <c r="S438" i="1"/>
  <c r="T438" i="1"/>
  <c r="U438" i="1"/>
  <c r="V438" i="1" a="1"/>
  <c r="V438" i="1" s="1"/>
  <c r="W438" i="1"/>
  <c r="B439" i="1"/>
  <c r="D439" i="1"/>
  <c r="H439" i="1"/>
  <c r="F439" i="1" s="1" a="1"/>
  <c r="F439" i="1" s="1"/>
  <c r="Q439" i="1"/>
  <c r="S439" i="1"/>
  <c r="T439" i="1"/>
  <c r="U439" i="1"/>
  <c r="V439" i="1" a="1"/>
  <c r="V439" i="1" s="1"/>
  <c r="W439" i="1"/>
  <c r="B440" i="1"/>
  <c r="D440" i="1"/>
  <c r="H440" i="1"/>
  <c r="F440" i="1" s="1" a="1"/>
  <c r="F440" i="1" s="1"/>
  <c r="Q440" i="1"/>
  <c r="S440" i="1"/>
  <c r="T440" i="1"/>
  <c r="U440" i="1"/>
  <c r="V440" i="1" a="1"/>
  <c r="V440" i="1" s="1"/>
  <c r="W440" i="1"/>
  <c r="B441" i="1"/>
  <c r="D441" i="1"/>
  <c r="H441" i="1"/>
  <c r="F441" i="1" s="1" a="1"/>
  <c r="F441" i="1" s="1"/>
  <c r="Q441" i="1"/>
  <c r="S441" i="1"/>
  <c r="T441" i="1"/>
  <c r="U441" i="1"/>
  <c r="V441" i="1" a="1"/>
  <c r="V441" i="1" s="1"/>
  <c r="W441" i="1"/>
  <c r="B442" i="1"/>
  <c r="D442" i="1"/>
  <c r="H442" i="1"/>
  <c r="F442" i="1" s="1" a="1"/>
  <c r="F442" i="1" s="1"/>
  <c r="Q442" i="1"/>
  <c r="S442" i="1"/>
  <c r="T442" i="1"/>
  <c r="U442" i="1"/>
  <c r="V442" i="1" a="1"/>
  <c r="V442" i="1" s="1"/>
  <c r="W442" i="1"/>
  <c r="B443" i="1"/>
  <c r="D443" i="1"/>
  <c r="H443" i="1"/>
  <c r="F443" i="1" s="1" a="1"/>
  <c r="F443" i="1" s="1"/>
  <c r="Q443" i="1"/>
  <c r="S443" i="1"/>
  <c r="T443" i="1"/>
  <c r="U443" i="1"/>
  <c r="V443" i="1" a="1"/>
  <c r="V443" i="1" s="1"/>
  <c r="W443" i="1"/>
  <c r="B444" i="1"/>
  <c r="D444" i="1"/>
  <c r="H444" i="1"/>
  <c r="F444" i="1" s="1" a="1"/>
  <c r="F444" i="1" s="1"/>
  <c r="Q444" i="1"/>
  <c r="S444" i="1"/>
  <c r="T444" i="1"/>
  <c r="U444" i="1"/>
  <c r="V444" i="1" a="1"/>
  <c r="V444" i="1" s="1"/>
  <c r="W444" i="1"/>
  <c r="B445" i="1"/>
  <c r="D445" i="1"/>
  <c r="H445" i="1"/>
  <c r="F445" i="1" s="1" a="1"/>
  <c r="F445" i="1" s="1"/>
  <c r="Q445" i="1"/>
  <c r="S445" i="1"/>
  <c r="T445" i="1"/>
  <c r="U445" i="1"/>
  <c r="V445" i="1" a="1"/>
  <c r="V445" i="1" s="1"/>
  <c r="W445" i="1"/>
  <c r="B446" i="1"/>
  <c r="D446" i="1"/>
  <c r="H446" i="1"/>
  <c r="F446" i="1" s="1" a="1"/>
  <c r="F446" i="1" s="1"/>
  <c r="Q446" i="1"/>
  <c r="S446" i="1"/>
  <c r="T446" i="1"/>
  <c r="U446" i="1"/>
  <c r="V446" i="1" a="1"/>
  <c r="V446" i="1" s="1"/>
  <c r="W446" i="1"/>
  <c r="B447" i="1"/>
  <c r="D447" i="1"/>
  <c r="H447" i="1"/>
  <c r="F447" i="1" s="1" a="1"/>
  <c r="F447" i="1" s="1"/>
  <c r="Q447" i="1"/>
  <c r="S447" i="1"/>
  <c r="T447" i="1"/>
  <c r="U447" i="1"/>
  <c r="V447" i="1" a="1"/>
  <c r="V447" i="1" s="1"/>
  <c r="W447" i="1"/>
  <c r="B448" i="1"/>
  <c r="D448" i="1"/>
  <c r="H448" i="1"/>
  <c r="F448" i="1" s="1" a="1"/>
  <c r="F448" i="1" s="1"/>
  <c r="Q448" i="1"/>
  <c r="S448" i="1"/>
  <c r="T448" i="1"/>
  <c r="U448" i="1"/>
  <c r="V448" i="1" a="1"/>
  <c r="V448" i="1" s="1"/>
  <c r="W448" i="1"/>
  <c r="B449" i="1"/>
  <c r="D449" i="1"/>
  <c r="H449" i="1"/>
  <c r="F449" i="1" s="1" a="1"/>
  <c r="F449" i="1" s="1"/>
  <c r="Q449" i="1"/>
  <c r="S449" i="1"/>
  <c r="T449" i="1"/>
  <c r="U449" i="1"/>
  <c r="V449" i="1" a="1"/>
  <c r="V449" i="1" s="1"/>
  <c r="W449" i="1"/>
  <c r="B450" i="1"/>
  <c r="D450" i="1"/>
  <c r="H450" i="1"/>
  <c r="F450" i="1" s="1" a="1"/>
  <c r="F450" i="1" s="1"/>
  <c r="Q450" i="1"/>
  <c r="S450" i="1"/>
  <c r="T450" i="1"/>
  <c r="U450" i="1"/>
  <c r="V450" i="1" a="1"/>
  <c r="V450" i="1" s="1"/>
  <c r="W450" i="1"/>
  <c r="B451" i="1"/>
  <c r="D451" i="1"/>
  <c r="H451" i="1"/>
  <c r="F451" i="1" s="1" a="1"/>
  <c r="F451" i="1" s="1"/>
  <c r="Q451" i="1"/>
  <c r="S451" i="1"/>
  <c r="T451" i="1"/>
  <c r="U451" i="1"/>
  <c r="V451" i="1" a="1"/>
  <c r="V451" i="1" s="1"/>
  <c r="W451" i="1"/>
  <c r="B452" i="1"/>
  <c r="D452" i="1"/>
  <c r="H452" i="1"/>
  <c r="F452" i="1" s="1" a="1"/>
  <c r="F452" i="1" s="1"/>
  <c r="Q452" i="1"/>
  <c r="S452" i="1"/>
  <c r="T452" i="1"/>
  <c r="U452" i="1"/>
  <c r="V452" i="1" a="1"/>
  <c r="V452" i="1" s="1"/>
  <c r="W452" i="1"/>
  <c r="B453" i="1"/>
  <c r="D453" i="1"/>
  <c r="H453" i="1"/>
  <c r="F453" i="1" s="1" a="1"/>
  <c r="F453" i="1" s="1"/>
  <c r="Q453" i="1"/>
  <c r="S453" i="1"/>
  <c r="T453" i="1"/>
  <c r="U453" i="1"/>
  <c r="V453" i="1" a="1"/>
  <c r="V453" i="1" s="1"/>
  <c r="W453" i="1"/>
  <c r="B454" i="1"/>
  <c r="D454" i="1"/>
  <c r="H454" i="1"/>
  <c r="F454" i="1" s="1" a="1"/>
  <c r="F454" i="1" s="1"/>
  <c r="Q454" i="1"/>
  <c r="S454" i="1"/>
  <c r="T454" i="1"/>
  <c r="U454" i="1"/>
  <c r="V454" i="1" a="1"/>
  <c r="V454" i="1" s="1"/>
  <c r="W454" i="1"/>
  <c r="B455" i="1"/>
  <c r="D455" i="1"/>
  <c r="H455" i="1"/>
  <c r="F455" i="1" s="1" a="1"/>
  <c r="F455" i="1" s="1"/>
  <c r="Q455" i="1"/>
  <c r="S455" i="1"/>
  <c r="T455" i="1"/>
  <c r="U455" i="1"/>
  <c r="V455" i="1" a="1"/>
  <c r="V455" i="1" s="1"/>
  <c r="W455" i="1"/>
  <c r="B456" i="1"/>
  <c r="D456" i="1"/>
  <c r="H456" i="1"/>
  <c r="F456" i="1" s="1" a="1"/>
  <c r="F456" i="1" s="1"/>
  <c r="Q456" i="1"/>
  <c r="S456" i="1"/>
  <c r="T456" i="1"/>
  <c r="U456" i="1"/>
  <c r="V456" i="1" a="1"/>
  <c r="V456" i="1" s="1"/>
  <c r="W456" i="1"/>
  <c r="B457" i="1"/>
  <c r="D457" i="1"/>
  <c r="H457" i="1"/>
  <c r="F457" i="1" s="1" a="1"/>
  <c r="F457" i="1" s="1"/>
  <c r="Q457" i="1"/>
  <c r="S457" i="1"/>
  <c r="T457" i="1"/>
  <c r="U457" i="1"/>
  <c r="V457" i="1" a="1"/>
  <c r="V457" i="1" s="1"/>
  <c r="W457" i="1"/>
  <c r="B458" i="1"/>
  <c r="D458" i="1"/>
  <c r="H458" i="1"/>
  <c r="F458" i="1" s="1" a="1"/>
  <c r="F458" i="1" s="1"/>
  <c r="Q458" i="1"/>
  <c r="S458" i="1"/>
  <c r="T458" i="1"/>
  <c r="U458" i="1"/>
  <c r="V458" i="1" a="1"/>
  <c r="V458" i="1" s="1"/>
  <c r="W458" i="1"/>
  <c r="B459" i="1"/>
  <c r="D459" i="1"/>
  <c r="H459" i="1"/>
  <c r="F459" i="1" s="1" a="1"/>
  <c r="F459" i="1" s="1"/>
  <c r="Q459" i="1"/>
  <c r="S459" i="1"/>
  <c r="T459" i="1"/>
  <c r="U459" i="1"/>
  <c r="V459" i="1" a="1"/>
  <c r="V459" i="1" s="1"/>
  <c r="W459" i="1"/>
  <c r="B460" i="1"/>
  <c r="D460" i="1"/>
  <c r="H460" i="1"/>
  <c r="F460" i="1" s="1" a="1"/>
  <c r="F460" i="1" s="1"/>
  <c r="Q460" i="1"/>
  <c r="S460" i="1"/>
  <c r="T460" i="1"/>
  <c r="U460" i="1"/>
  <c r="V460" i="1" a="1"/>
  <c r="V460" i="1" s="1"/>
  <c r="W460" i="1"/>
  <c r="B461" i="1"/>
  <c r="D461" i="1"/>
  <c r="H461" i="1"/>
  <c r="F461" i="1" s="1" a="1"/>
  <c r="F461" i="1" s="1"/>
  <c r="Q461" i="1"/>
  <c r="S461" i="1"/>
  <c r="T461" i="1"/>
  <c r="U461" i="1"/>
  <c r="V461" i="1" a="1"/>
  <c r="V461" i="1" s="1"/>
  <c r="W461" i="1"/>
  <c r="B462" i="1"/>
  <c r="D462" i="1"/>
  <c r="H462" i="1"/>
  <c r="F462" i="1" s="1" a="1"/>
  <c r="F462" i="1" s="1"/>
  <c r="Q462" i="1"/>
  <c r="S462" i="1"/>
  <c r="T462" i="1"/>
  <c r="U462" i="1"/>
  <c r="V462" i="1" a="1"/>
  <c r="V462" i="1" s="1"/>
  <c r="W462" i="1"/>
  <c r="B463" i="1"/>
  <c r="D463" i="1"/>
  <c r="H463" i="1"/>
  <c r="F463" i="1" s="1" a="1"/>
  <c r="F463" i="1" s="1"/>
  <c r="Q463" i="1"/>
  <c r="S463" i="1"/>
  <c r="T463" i="1"/>
  <c r="U463" i="1"/>
  <c r="V463" i="1" a="1"/>
  <c r="V463" i="1" s="1"/>
  <c r="W463" i="1"/>
  <c r="B464" i="1"/>
  <c r="D464" i="1"/>
  <c r="H464" i="1"/>
  <c r="F464" i="1" s="1" a="1"/>
  <c r="F464" i="1" s="1"/>
  <c r="Q464" i="1"/>
  <c r="S464" i="1"/>
  <c r="T464" i="1"/>
  <c r="U464" i="1"/>
  <c r="V464" i="1" a="1"/>
  <c r="V464" i="1" s="1"/>
  <c r="W464" i="1"/>
  <c r="B465" i="1"/>
  <c r="D465" i="1"/>
  <c r="H465" i="1"/>
  <c r="F465" i="1" s="1" a="1"/>
  <c r="F465" i="1" s="1"/>
  <c r="Q465" i="1"/>
  <c r="S465" i="1"/>
  <c r="T465" i="1"/>
  <c r="U465" i="1"/>
  <c r="V465" i="1" a="1"/>
  <c r="V465" i="1" s="1"/>
  <c r="W465" i="1"/>
  <c r="B466" i="1"/>
  <c r="D466" i="1"/>
  <c r="H466" i="1"/>
  <c r="F466" i="1" s="1" a="1"/>
  <c r="F466" i="1" s="1"/>
  <c r="Q466" i="1"/>
  <c r="S466" i="1"/>
  <c r="T466" i="1"/>
  <c r="U466" i="1"/>
  <c r="V466" i="1" a="1"/>
  <c r="V466" i="1" s="1"/>
  <c r="W466" i="1"/>
  <c r="B467" i="1"/>
  <c r="D467" i="1"/>
  <c r="H467" i="1"/>
  <c r="F467" i="1" s="1" a="1"/>
  <c r="F467" i="1" s="1"/>
  <c r="Q467" i="1"/>
  <c r="S467" i="1"/>
  <c r="T467" i="1"/>
  <c r="U467" i="1"/>
  <c r="V467" i="1" a="1"/>
  <c r="V467" i="1" s="1"/>
  <c r="W467" i="1"/>
  <c r="B468" i="1"/>
  <c r="D468" i="1"/>
  <c r="H468" i="1"/>
  <c r="F468" i="1" s="1" a="1"/>
  <c r="F468" i="1" s="1"/>
  <c r="Q468" i="1"/>
  <c r="S468" i="1"/>
  <c r="T468" i="1"/>
  <c r="U468" i="1"/>
  <c r="V468" i="1" a="1"/>
  <c r="V468" i="1" s="1"/>
  <c r="W468" i="1"/>
  <c r="B469" i="1"/>
  <c r="D469" i="1"/>
  <c r="H469" i="1"/>
  <c r="F469" i="1" s="1" a="1"/>
  <c r="F469" i="1" s="1"/>
  <c r="Q469" i="1"/>
  <c r="S469" i="1"/>
  <c r="T469" i="1"/>
  <c r="U469" i="1"/>
  <c r="V469" i="1" a="1"/>
  <c r="V469" i="1" s="1"/>
  <c r="W469" i="1"/>
  <c r="B470" i="1"/>
  <c r="D470" i="1"/>
  <c r="H470" i="1"/>
  <c r="F470" i="1" s="1" a="1"/>
  <c r="F470" i="1" s="1"/>
  <c r="Q470" i="1"/>
  <c r="S470" i="1"/>
  <c r="T470" i="1"/>
  <c r="U470" i="1"/>
  <c r="V470" i="1" a="1"/>
  <c r="V470" i="1" s="1"/>
  <c r="W470" i="1"/>
  <c r="B471" i="1"/>
  <c r="D471" i="1"/>
  <c r="H471" i="1"/>
  <c r="F471" i="1" s="1" a="1"/>
  <c r="F471" i="1" s="1"/>
  <c r="Q471" i="1"/>
  <c r="S471" i="1"/>
  <c r="T471" i="1"/>
  <c r="U471" i="1"/>
  <c r="V471" i="1" a="1"/>
  <c r="V471" i="1" s="1"/>
  <c r="W471" i="1"/>
  <c r="B472" i="1"/>
  <c r="D472" i="1"/>
  <c r="H472" i="1"/>
  <c r="F472" i="1" s="1" a="1"/>
  <c r="F472" i="1" s="1"/>
  <c r="Q472" i="1"/>
  <c r="S472" i="1"/>
  <c r="T472" i="1"/>
  <c r="U472" i="1"/>
  <c r="V472" i="1" a="1"/>
  <c r="V472" i="1" s="1"/>
  <c r="W472" i="1"/>
  <c r="B473" i="1"/>
  <c r="D473" i="1"/>
  <c r="H473" i="1"/>
  <c r="F473" i="1" s="1" a="1"/>
  <c r="F473" i="1" s="1"/>
  <c r="Q473" i="1"/>
  <c r="S473" i="1"/>
  <c r="T473" i="1"/>
  <c r="U473" i="1"/>
  <c r="V473" i="1" a="1"/>
  <c r="V473" i="1" s="1"/>
  <c r="W473" i="1"/>
  <c r="B474" i="1"/>
  <c r="D474" i="1"/>
  <c r="H474" i="1"/>
  <c r="F474" i="1" s="1" a="1"/>
  <c r="F474" i="1" s="1"/>
  <c r="Q474" i="1"/>
  <c r="S474" i="1"/>
  <c r="T474" i="1"/>
  <c r="U474" i="1"/>
  <c r="V474" i="1" a="1"/>
  <c r="V474" i="1" s="1"/>
  <c r="W474" i="1"/>
  <c r="B475" i="1"/>
  <c r="D475" i="1"/>
  <c r="H475" i="1"/>
  <c r="F475" i="1" s="1" a="1"/>
  <c r="F475" i="1" s="1"/>
  <c r="Q475" i="1"/>
  <c r="S475" i="1"/>
  <c r="T475" i="1"/>
  <c r="U475" i="1"/>
  <c r="V475" i="1" a="1"/>
  <c r="V475" i="1" s="1"/>
  <c r="W475" i="1"/>
  <c r="B476" i="1"/>
  <c r="D476" i="1"/>
  <c r="H476" i="1"/>
  <c r="F476" i="1" s="1" a="1"/>
  <c r="F476" i="1" s="1"/>
  <c r="Q476" i="1"/>
  <c r="S476" i="1"/>
  <c r="T476" i="1"/>
  <c r="U476" i="1"/>
  <c r="V476" i="1" a="1"/>
  <c r="V476" i="1" s="1"/>
  <c r="W476" i="1"/>
  <c r="B477" i="1"/>
  <c r="D477" i="1"/>
  <c r="H477" i="1"/>
  <c r="F477" i="1" s="1" a="1"/>
  <c r="F477" i="1" s="1"/>
  <c r="Q477" i="1"/>
  <c r="S477" i="1"/>
  <c r="T477" i="1"/>
  <c r="U477" i="1"/>
  <c r="V477" i="1" a="1"/>
  <c r="V477" i="1" s="1"/>
  <c r="W477" i="1"/>
  <c r="B478" i="1"/>
  <c r="D478" i="1"/>
  <c r="H478" i="1"/>
  <c r="F478" i="1" s="1" a="1"/>
  <c r="F478" i="1" s="1"/>
  <c r="Q478" i="1"/>
  <c r="S478" i="1"/>
  <c r="T478" i="1"/>
  <c r="U478" i="1"/>
  <c r="V478" i="1" a="1"/>
  <c r="V478" i="1" s="1"/>
  <c r="W478" i="1"/>
  <c r="B479" i="1"/>
  <c r="D479" i="1"/>
  <c r="H479" i="1"/>
  <c r="F479" i="1" s="1" a="1"/>
  <c r="F479" i="1" s="1"/>
  <c r="Q479" i="1"/>
  <c r="S479" i="1"/>
  <c r="T479" i="1"/>
  <c r="U479" i="1"/>
  <c r="V479" i="1" a="1"/>
  <c r="V479" i="1" s="1"/>
  <c r="W479" i="1"/>
  <c r="B480" i="1"/>
  <c r="D480" i="1"/>
  <c r="H480" i="1"/>
  <c r="F480" i="1" s="1" a="1"/>
  <c r="F480" i="1" s="1"/>
  <c r="Q480" i="1"/>
  <c r="S480" i="1"/>
  <c r="T480" i="1"/>
  <c r="U480" i="1"/>
  <c r="V480" i="1" a="1"/>
  <c r="V480" i="1" s="1"/>
  <c r="W480" i="1"/>
  <c r="B481" i="1"/>
  <c r="D481" i="1"/>
  <c r="H481" i="1"/>
  <c r="F481" i="1" s="1" a="1"/>
  <c r="F481" i="1" s="1"/>
  <c r="Q481" i="1"/>
  <c r="S481" i="1"/>
  <c r="T481" i="1"/>
  <c r="U481" i="1"/>
  <c r="V481" i="1" a="1"/>
  <c r="V481" i="1" s="1"/>
  <c r="W481" i="1"/>
  <c r="B482" i="1"/>
  <c r="D482" i="1"/>
  <c r="H482" i="1"/>
  <c r="F482" i="1" s="1" a="1"/>
  <c r="F482" i="1" s="1"/>
  <c r="Q482" i="1"/>
  <c r="S482" i="1"/>
  <c r="T482" i="1"/>
  <c r="U482" i="1"/>
  <c r="V482" i="1" a="1"/>
  <c r="V482" i="1" s="1"/>
  <c r="W482" i="1"/>
  <c r="B483" i="1"/>
  <c r="D483" i="1"/>
  <c r="H483" i="1"/>
  <c r="F483" i="1" s="1" a="1"/>
  <c r="F483" i="1" s="1"/>
  <c r="Q483" i="1"/>
  <c r="S483" i="1"/>
  <c r="T483" i="1"/>
  <c r="U483" i="1"/>
  <c r="V483" i="1" a="1"/>
  <c r="V483" i="1" s="1"/>
  <c r="W483" i="1"/>
  <c r="B484" i="1"/>
  <c r="D484" i="1"/>
  <c r="H484" i="1"/>
  <c r="F484" i="1" s="1" a="1"/>
  <c r="F484" i="1" s="1"/>
  <c r="Q484" i="1"/>
  <c r="S484" i="1"/>
  <c r="T484" i="1"/>
  <c r="U484" i="1"/>
  <c r="V484" i="1" a="1"/>
  <c r="V484" i="1" s="1"/>
  <c r="W484" i="1"/>
  <c r="B485" i="1"/>
  <c r="D485" i="1"/>
  <c r="H485" i="1"/>
  <c r="F485" i="1" s="1" a="1"/>
  <c r="F485" i="1" s="1"/>
  <c r="Q485" i="1"/>
  <c r="S485" i="1"/>
  <c r="T485" i="1"/>
  <c r="U485" i="1"/>
  <c r="V485" i="1" a="1"/>
  <c r="V485" i="1" s="1"/>
  <c r="W485" i="1"/>
  <c r="B486" i="1"/>
  <c r="D486" i="1"/>
  <c r="H486" i="1"/>
  <c r="F486" i="1" s="1" a="1"/>
  <c r="F486" i="1" s="1"/>
  <c r="Q486" i="1"/>
  <c r="S486" i="1"/>
  <c r="T486" i="1"/>
  <c r="U486" i="1"/>
  <c r="V486" i="1" a="1"/>
  <c r="V486" i="1" s="1"/>
  <c r="W486" i="1"/>
  <c r="B487" i="1"/>
  <c r="D487" i="1"/>
  <c r="H487" i="1"/>
  <c r="F487" i="1" s="1" a="1"/>
  <c r="F487" i="1" s="1"/>
  <c r="Q487" i="1"/>
  <c r="S487" i="1"/>
  <c r="T487" i="1"/>
  <c r="U487" i="1"/>
  <c r="V487" i="1" a="1"/>
  <c r="V487" i="1" s="1"/>
  <c r="W487" i="1"/>
  <c r="B488" i="1"/>
  <c r="D488" i="1"/>
  <c r="H488" i="1"/>
  <c r="F488" i="1" s="1" a="1"/>
  <c r="F488" i="1" s="1"/>
  <c r="Q488" i="1"/>
  <c r="S488" i="1"/>
  <c r="T488" i="1"/>
  <c r="U488" i="1"/>
  <c r="V488" i="1" a="1"/>
  <c r="V488" i="1" s="1"/>
  <c r="W488" i="1"/>
  <c r="B489" i="1"/>
  <c r="D489" i="1"/>
  <c r="H489" i="1"/>
  <c r="F489" i="1" s="1" a="1"/>
  <c r="F489" i="1" s="1"/>
  <c r="Q489" i="1"/>
  <c r="S489" i="1"/>
  <c r="T489" i="1"/>
  <c r="U489" i="1"/>
  <c r="V489" i="1" a="1"/>
  <c r="V489" i="1" s="1"/>
  <c r="W489" i="1"/>
  <c r="B490" i="1"/>
  <c r="D490" i="1"/>
  <c r="H490" i="1"/>
  <c r="F490" i="1" s="1" a="1"/>
  <c r="F490" i="1" s="1"/>
  <c r="Q490" i="1"/>
  <c r="S490" i="1"/>
  <c r="T490" i="1"/>
  <c r="U490" i="1"/>
  <c r="V490" i="1" a="1"/>
  <c r="V490" i="1" s="1"/>
  <c r="W490" i="1"/>
  <c r="B491" i="1"/>
  <c r="D491" i="1"/>
  <c r="H491" i="1"/>
  <c r="F491" i="1" s="1" a="1"/>
  <c r="F491" i="1" s="1"/>
  <c r="Q491" i="1"/>
  <c r="S491" i="1"/>
  <c r="T491" i="1"/>
  <c r="U491" i="1"/>
  <c r="V491" i="1" a="1"/>
  <c r="V491" i="1" s="1"/>
  <c r="W491" i="1"/>
  <c r="B492" i="1"/>
  <c r="D492" i="1"/>
  <c r="H492" i="1"/>
  <c r="F492" i="1" s="1" a="1"/>
  <c r="F492" i="1" s="1"/>
  <c r="Q492" i="1"/>
  <c r="S492" i="1"/>
  <c r="T492" i="1"/>
  <c r="U492" i="1"/>
  <c r="V492" i="1" a="1"/>
  <c r="V492" i="1" s="1"/>
  <c r="W492" i="1"/>
  <c r="B493" i="1"/>
  <c r="D493" i="1"/>
  <c r="H493" i="1"/>
  <c r="F493" i="1" s="1" a="1"/>
  <c r="F493" i="1" s="1"/>
  <c r="Q493" i="1"/>
  <c r="S493" i="1"/>
  <c r="T493" i="1"/>
  <c r="U493" i="1"/>
  <c r="V493" i="1" a="1"/>
  <c r="V493" i="1" s="1"/>
  <c r="W493" i="1"/>
  <c r="B494" i="1"/>
  <c r="D494" i="1"/>
  <c r="H494" i="1"/>
  <c r="F494" i="1" s="1" a="1"/>
  <c r="F494" i="1" s="1"/>
  <c r="Q494" i="1"/>
  <c r="S494" i="1"/>
  <c r="T494" i="1"/>
  <c r="U494" i="1"/>
  <c r="V494" i="1" a="1"/>
  <c r="V494" i="1" s="1"/>
  <c r="W494" i="1"/>
  <c r="B495" i="1"/>
  <c r="D495" i="1"/>
  <c r="H495" i="1"/>
  <c r="F495" i="1" s="1" a="1"/>
  <c r="F495" i="1" s="1"/>
  <c r="Q495" i="1"/>
  <c r="S495" i="1"/>
  <c r="T495" i="1"/>
  <c r="U495" i="1"/>
  <c r="V495" i="1" a="1"/>
  <c r="V495" i="1" s="1"/>
  <c r="W495" i="1"/>
  <c r="B496" i="1"/>
  <c r="D496" i="1"/>
  <c r="H496" i="1"/>
  <c r="F496" i="1" s="1" a="1"/>
  <c r="F496" i="1" s="1"/>
  <c r="Q496" i="1"/>
  <c r="S496" i="1"/>
  <c r="T496" i="1"/>
  <c r="U496" i="1"/>
  <c r="V496" i="1" a="1"/>
  <c r="V496" i="1" s="1"/>
  <c r="W496" i="1"/>
  <c r="B497" i="1"/>
  <c r="D497" i="1"/>
  <c r="H497" i="1"/>
  <c r="F497" i="1" s="1" a="1"/>
  <c r="F497" i="1" s="1"/>
  <c r="Q497" i="1"/>
  <c r="S497" i="1"/>
  <c r="T497" i="1"/>
  <c r="U497" i="1"/>
  <c r="V497" i="1" a="1"/>
  <c r="V497" i="1" s="1"/>
  <c r="W497" i="1"/>
  <c r="B498" i="1"/>
  <c r="D498" i="1"/>
  <c r="H498" i="1"/>
  <c r="F498" i="1" s="1" a="1"/>
  <c r="F498" i="1" s="1"/>
  <c r="Q498" i="1"/>
  <c r="S498" i="1"/>
  <c r="T498" i="1"/>
  <c r="U498" i="1"/>
  <c r="V498" i="1" a="1"/>
  <c r="V498" i="1" s="1"/>
  <c r="W498" i="1"/>
  <c r="B499" i="1"/>
  <c r="D499" i="1"/>
  <c r="H499" i="1"/>
  <c r="F499" i="1" s="1" a="1"/>
  <c r="F499" i="1" s="1"/>
  <c r="Q499" i="1"/>
  <c r="S499" i="1"/>
  <c r="T499" i="1"/>
  <c r="U499" i="1"/>
  <c r="V499" i="1" a="1"/>
  <c r="V499" i="1" s="1"/>
  <c r="W499" i="1"/>
  <c r="B500" i="1"/>
  <c r="D500" i="1"/>
  <c r="H500" i="1"/>
  <c r="F500" i="1" s="1" a="1"/>
  <c r="F500" i="1" s="1"/>
  <c r="Q500" i="1"/>
  <c r="S500" i="1"/>
  <c r="T500" i="1"/>
  <c r="U500" i="1"/>
  <c r="V500" i="1" a="1"/>
  <c r="V500" i="1" s="1"/>
  <c r="W500" i="1"/>
  <c r="B501" i="1"/>
  <c r="D501" i="1"/>
  <c r="H501" i="1"/>
  <c r="F501" i="1" s="1" a="1"/>
  <c r="F501" i="1" s="1"/>
  <c r="Q501" i="1"/>
  <c r="S501" i="1"/>
  <c r="T501" i="1"/>
  <c r="U501" i="1"/>
  <c r="V501" i="1" a="1"/>
  <c r="V501" i="1" s="1"/>
  <c r="W501" i="1"/>
  <c r="B502" i="1"/>
  <c r="D502" i="1"/>
  <c r="H502" i="1"/>
  <c r="F502" i="1" s="1" a="1"/>
  <c r="F502" i="1" s="1"/>
  <c r="Q502" i="1"/>
  <c r="S502" i="1"/>
  <c r="T502" i="1"/>
  <c r="U502" i="1"/>
  <c r="V502" i="1" a="1"/>
  <c r="V502" i="1" s="1"/>
  <c r="W502" i="1"/>
  <c r="B503" i="1"/>
  <c r="D503" i="1"/>
  <c r="H503" i="1"/>
  <c r="F503" i="1" s="1" a="1"/>
  <c r="F503" i="1" s="1"/>
  <c r="Q503" i="1"/>
  <c r="S503" i="1"/>
  <c r="T503" i="1"/>
  <c r="U503" i="1"/>
  <c r="V503" i="1" a="1"/>
  <c r="V503" i="1" s="1"/>
  <c r="W503" i="1"/>
  <c r="B504" i="1"/>
  <c r="D504" i="1"/>
  <c r="H504" i="1"/>
  <c r="F504" i="1" s="1" a="1"/>
  <c r="F504" i="1" s="1"/>
  <c r="Q504" i="1"/>
  <c r="S504" i="1"/>
  <c r="T504" i="1"/>
  <c r="U504" i="1"/>
  <c r="V504" i="1" a="1"/>
  <c r="V504" i="1" s="1"/>
  <c r="W504" i="1"/>
  <c r="B505" i="1"/>
  <c r="D505" i="1"/>
  <c r="H505" i="1"/>
  <c r="F505" i="1" s="1" a="1"/>
  <c r="F505" i="1" s="1"/>
  <c r="Q505" i="1"/>
  <c r="S505" i="1"/>
  <c r="T505" i="1"/>
  <c r="U505" i="1"/>
  <c r="V505" i="1" a="1"/>
  <c r="V505" i="1" s="1"/>
  <c r="W505" i="1"/>
  <c r="B506" i="1"/>
  <c r="D506" i="1"/>
  <c r="H506" i="1"/>
  <c r="F506" i="1" s="1" a="1"/>
  <c r="F506" i="1" s="1"/>
  <c r="Q506" i="1"/>
  <c r="S506" i="1"/>
  <c r="T506" i="1"/>
  <c r="U506" i="1"/>
  <c r="V506" i="1" a="1"/>
  <c r="V506" i="1" s="1"/>
  <c r="W506" i="1"/>
  <c r="B507" i="1"/>
  <c r="D507" i="1"/>
  <c r="H507" i="1"/>
  <c r="F507" i="1" s="1" a="1"/>
  <c r="F507" i="1" s="1"/>
  <c r="Q507" i="1"/>
  <c r="S507" i="1"/>
  <c r="T507" i="1"/>
  <c r="U507" i="1"/>
  <c r="V507" i="1" a="1"/>
  <c r="V507" i="1" s="1"/>
  <c r="W507" i="1"/>
  <c r="B508" i="1"/>
  <c r="D508" i="1"/>
  <c r="H508" i="1"/>
  <c r="F508" i="1" s="1" a="1"/>
  <c r="F508" i="1" s="1"/>
  <c r="Q508" i="1"/>
  <c r="S508" i="1"/>
  <c r="T508" i="1"/>
  <c r="U508" i="1"/>
  <c r="V508" i="1" a="1"/>
  <c r="V508" i="1" s="1"/>
  <c r="W508" i="1"/>
  <c r="B509" i="1"/>
  <c r="D509" i="1"/>
  <c r="H509" i="1"/>
  <c r="F509" i="1" s="1" a="1"/>
  <c r="F509" i="1" s="1"/>
  <c r="Q509" i="1"/>
  <c r="S509" i="1"/>
  <c r="T509" i="1"/>
  <c r="U509" i="1"/>
  <c r="V509" i="1" a="1"/>
  <c r="V509" i="1" s="1"/>
  <c r="W509" i="1"/>
  <c r="B510" i="1"/>
  <c r="D510" i="1"/>
  <c r="H510" i="1"/>
  <c r="F510" i="1" s="1" a="1"/>
  <c r="F510" i="1" s="1"/>
  <c r="Q510" i="1"/>
  <c r="S510" i="1"/>
  <c r="T510" i="1"/>
  <c r="U510" i="1"/>
  <c r="V510" i="1" a="1"/>
  <c r="V510" i="1" s="1"/>
  <c r="W510" i="1"/>
  <c r="B511" i="1"/>
  <c r="D511" i="1"/>
  <c r="H511" i="1"/>
  <c r="F511" i="1" s="1" a="1"/>
  <c r="F511" i="1" s="1"/>
  <c r="Q511" i="1"/>
  <c r="S511" i="1"/>
  <c r="T511" i="1"/>
  <c r="U511" i="1"/>
  <c r="V511" i="1" a="1"/>
  <c r="V511" i="1" s="1"/>
  <c r="W511" i="1"/>
  <c r="B512" i="1"/>
  <c r="D512" i="1"/>
  <c r="H512" i="1"/>
  <c r="F512" i="1" s="1" a="1"/>
  <c r="F512" i="1" s="1"/>
  <c r="Q512" i="1"/>
  <c r="S512" i="1"/>
  <c r="T512" i="1"/>
  <c r="U512" i="1"/>
  <c r="V512" i="1" a="1"/>
  <c r="V512" i="1" s="1"/>
  <c r="W512" i="1"/>
  <c r="B513" i="1"/>
  <c r="D513" i="1"/>
  <c r="H513" i="1"/>
  <c r="F513" i="1" s="1" a="1"/>
  <c r="F513" i="1" s="1"/>
  <c r="Q513" i="1"/>
  <c r="S513" i="1"/>
  <c r="T513" i="1"/>
  <c r="U513" i="1"/>
  <c r="V513" i="1" a="1"/>
  <c r="V513" i="1" s="1"/>
  <c r="W513" i="1"/>
  <c r="B514" i="1"/>
  <c r="D514" i="1"/>
  <c r="H514" i="1"/>
  <c r="F514" i="1" s="1" a="1"/>
  <c r="F514" i="1" s="1"/>
  <c r="Q514" i="1"/>
  <c r="S514" i="1"/>
  <c r="T514" i="1"/>
  <c r="U514" i="1"/>
  <c r="V514" i="1" a="1"/>
  <c r="V514" i="1" s="1"/>
  <c r="W514" i="1"/>
  <c r="B515" i="1"/>
  <c r="D515" i="1"/>
  <c r="H515" i="1"/>
  <c r="F515" i="1" s="1" a="1"/>
  <c r="F515" i="1" s="1"/>
  <c r="Q515" i="1"/>
  <c r="S515" i="1"/>
  <c r="T515" i="1"/>
  <c r="U515" i="1"/>
  <c r="V515" i="1" a="1"/>
  <c r="V515" i="1" s="1"/>
  <c r="W515" i="1"/>
  <c r="B516" i="1"/>
  <c r="D516" i="1"/>
  <c r="H516" i="1"/>
  <c r="F516" i="1" s="1" a="1"/>
  <c r="F516" i="1" s="1"/>
  <c r="Q516" i="1"/>
  <c r="S516" i="1"/>
  <c r="T516" i="1"/>
  <c r="U516" i="1"/>
  <c r="V516" i="1" a="1"/>
  <c r="V516" i="1" s="1"/>
  <c r="W516" i="1"/>
  <c r="B517" i="1"/>
  <c r="D517" i="1"/>
  <c r="H517" i="1"/>
  <c r="F517" i="1" s="1" a="1"/>
  <c r="F517" i="1" s="1"/>
  <c r="Q517" i="1"/>
  <c r="S517" i="1"/>
  <c r="T517" i="1"/>
  <c r="U517" i="1"/>
  <c r="V517" i="1" a="1"/>
  <c r="V517" i="1" s="1"/>
  <c r="W517" i="1"/>
  <c r="B518" i="1"/>
  <c r="D518" i="1"/>
  <c r="H518" i="1"/>
  <c r="F518" i="1" s="1" a="1"/>
  <c r="F518" i="1" s="1"/>
  <c r="Q518" i="1"/>
  <c r="S518" i="1"/>
  <c r="T518" i="1"/>
  <c r="U518" i="1"/>
  <c r="V518" i="1" a="1"/>
  <c r="V518" i="1" s="1"/>
  <c r="W518" i="1"/>
  <c r="B519" i="1"/>
  <c r="D519" i="1"/>
  <c r="H519" i="1"/>
  <c r="F519" i="1" s="1" a="1"/>
  <c r="F519" i="1" s="1"/>
  <c r="Q519" i="1"/>
  <c r="S519" i="1"/>
  <c r="T519" i="1"/>
  <c r="U519" i="1"/>
  <c r="V519" i="1" a="1"/>
  <c r="V519" i="1" s="1"/>
  <c r="W519" i="1"/>
  <c r="B520" i="1"/>
  <c r="D520" i="1"/>
  <c r="H520" i="1"/>
  <c r="F520" i="1" s="1" a="1"/>
  <c r="F520" i="1" s="1"/>
  <c r="Q520" i="1"/>
  <c r="S520" i="1"/>
  <c r="T520" i="1"/>
  <c r="U520" i="1"/>
  <c r="V520" i="1" a="1"/>
  <c r="V520" i="1" s="1"/>
  <c r="W520" i="1"/>
  <c r="B521" i="1"/>
  <c r="D521" i="1"/>
  <c r="H521" i="1"/>
  <c r="F521" i="1" s="1" a="1"/>
  <c r="F521" i="1" s="1"/>
  <c r="Q521" i="1"/>
  <c r="S521" i="1"/>
  <c r="T521" i="1"/>
  <c r="U521" i="1"/>
  <c r="V521" i="1" a="1"/>
  <c r="V521" i="1" s="1"/>
  <c r="W521" i="1"/>
  <c r="B522" i="1"/>
  <c r="D522" i="1"/>
  <c r="H522" i="1"/>
  <c r="F522" i="1" s="1" a="1"/>
  <c r="F522" i="1" s="1"/>
  <c r="Q522" i="1"/>
  <c r="S522" i="1"/>
  <c r="T522" i="1"/>
  <c r="U522" i="1"/>
  <c r="V522" i="1" a="1"/>
  <c r="V522" i="1" s="1"/>
  <c r="W522" i="1"/>
  <c r="B523" i="1"/>
  <c r="D523" i="1"/>
  <c r="H523" i="1"/>
  <c r="F523" i="1" s="1" a="1"/>
  <c r="F523" i="1" s="1"/>
  <c r="Q523" i="1"/>
  <c r="S523" i="1"/>
  <c r="T523" i="1"/>
  <c r="U523" i="1"/>
  <c r="V523" i="1" a="1"/>
  <c r="V523" i="1" s="1"/>
  <c r="W523" i="1"/>
  <c r="B524" i="1"/>
  <c r="D524" i="1"/>
  <c r="H524" i="1"/>
  <c r="F524" i="1" s="1" a="1"/>
  <c r="F524" i="1" s="1"/>
  <c r="Q524" i="1"/>
  <c r="S524" i="1"/>
  <c r="T524" i="1"/>
  <c r="U524" i="1"/>
  <c r="V524" i="1" a="1"/>
  <c r="V524" i="1" s="1"/>
  <c r="W524" i="1"/>
  <c r="B525" i="1"/>
  <c r="D525" i="1"/>
  <c r="H525" i="1"/>
  <c r="F525" i="1" s="1" a="1"/>
  <c r="F525" i="1" s="1"/>
  <c r="Q525" i="1"/>
  <c r="S525" i="1"/>
  <c r="T525" i="1"/>
  <c r="U525" i="1"/>
  <c r="V525" i="1" a="1"/>
  <c r="V525" i="1" s="1"/>
  <c r="W525" i="1"/>
  <c r="B526" i="1"/>
  <c r="D526" i="1"/>
  <c r="H526" i="1"/>
  <c r="F526" i="1" s="1" a="1"/>
  <c r="F526" i="1" s="1"/>
  <c r="Q526" i="1"/>
  <c r="S526" i="1"/>
  <c r="T526" i="1"/>
  <c r="U526" i="1"/>
  <c r="V526" i="1" a="1"/>
  <c r="V526" i="1" s="1"/>
  <c r="W526" i="1"/>
  <c r="B527" i="1"/>
  <c r="D527" i="1"/>
  <c r="H527" i="1"/>
  <c r="F527" i="1" s="1" a="1"/>
  <c r="F527" i="1" s="1"/>
  <c r="Q527" i="1"/>
  <c r="S527" i="1"/>
  <c r="T527" i="1"/>
  <c r="U527" i="1"/>
  <c r="V527" i="1" a="1"/>
  <c r="V527" i="1" s="1"/>
  <c r="W527" i="1"/>
  <c r="B528" i="1"/>
  <c r="D528" i="1"/>
  <c r="H528" i="1"/>
  <c r="F528" i="1" s="1" a="1"/>
  <c r="F528" i="1" s="1"/>
  <c r="Q528" i="1"/>
  <c r="S528" i="1"/>
  <c r="T528" i="1"/>
  <c r="U528" i="1"/>
  <c r="V528" i="1" a="1"/>
  <c r="V528" i="1" s="1"/>
  <c r="W528" i="1"/>
  <c r="B529" i="1"/>
  <c r="D529" i="1"/>
  <c r="H529" i="1"/>
  <c r="F529" i="1" s="1" a="1"/>
  <c r="F529" i="1" s="1"/>
  <c r="Q529" i="1"/>
  <c r="S529" i="1"/>
  <c r="T529" i="1"/>
  <c r="U529" i="1"/>
  <c r="V529" i="1" a="1"/>
  <c r="V529" i="1" s="1"/>
  <c r="W529" i="1"/>
  <c r="B530" i="1"/>
  <c r="D530" i="1"/>
  <c r="H530" i="1"/>
  <c r="F530" i="1" s="1" a="1"/>
  <c r="F530" i="1" s="1"/>
  <c r="Q530" i="1"/>
  <c r="S530" i="1"/>
  <c r="T530" i="1"/>
  <c r="U530" i="1"/>
  <c r="V530" i="1" a="1"/>
  <c r="V530" i="1" s="1"/>
  <c r="W530" i="1"/>
  <c r="B531" i="1"/>
  <c r="D531" i="1"/>
  <c r="H531" i="1"/>
  <c r="F531" i="1" s="1" a="1"/>
  <c r="F531" i="1" s="1"/>
  <c r="Q531" i="1"/>
  <c r="S531" i="1"/>
  <c r="T531" i="1"/>
  <c r="U531" i="1"/>
  <c r="V531" i="1" a="1"/>
  <c r="V531" i="1" s="1"/>
  <c r="W531" i="1"/>
  <c r="B532" i="1"/>
  <c r="D532" i="1"/>
  <c r="H532" i="1"/>
  <c r="F532" i="1" s="1" a="1"/>
  <c r="F532" i="1" s="1"/>
  <c r="Q532" i="1"/>
  <c r="S532" i="1"/>
  <c r="T532" i="1"/>
  <c r="U532" i="1"/>
  <c r="V532" i="1" a="1"/>
  <c r="V532" i="1" s="1"/>
  <c r="W532" i="1"/>
  <c r="B533" i="1"/>
  <c r="D533" i="1"/>
  <c r="H533" i="1"/>
  <c r="F533" i="1" s="1" a="1"/>
  <c r="F533" i="1" s="1"/>
  <c r="Q533" i="1"/>
  <c r="S533" i="1"/>
  <c r="T533" i="1"/>
  <c r="U533" i="1"/>
  <c r="V533" i="1" a="1"/>
  <c r="V533" i="1" s="1"/>
  <c r="W533" i="1"/>
  <c r="B534" i="1"/>
  <c r="D534" i="1"/>
  <c r="H534" i="1"/>
  <c r="F534" i="1" s="1" a="1"/>
  <c r="F534" i="1" s="1"/>
  <c r="Q534" i="1"/>
  <c r="S534" i="1"/>
  <c r="T534" i="1"/>
  <c r="U534" i="1"/>
  <c r="V534" i="1" a="1"/>
  <c r="V534" i="1" s="1"/>
  <c r="W534" i="1"/>
  <c r="B535" i="1"/>
  <c r="D535" i="1"/>
  <c r="H535" i="1"/>
  <c r="F535" i="1" s="1" a="1"/>
  <c r="F535" i="1" s="1"/>
  <c r="Q535" i="1"/>
  <c r="S535" i="1"/>
  <c r="T535" i="1"/>
  <c r="U535" i="1"/>
  <c r="V535" i="1" a="1"/>
  <c r="V535" i="1" s="1"/>
  <c r="W535" i="1"/>
  <c r="B536" i="1"/>
  <c r="D536" i="1"/>
  <c r="H536" i="1"/>
  <c r="F536" i="1" s="1" a="1"/>
  <c r="F536" i="1" s="1"/>
  <c r="Q536" i="1"/>
  <c r="S536" i="1"/>
  <c r="T536" i="1"/>
  <c r="U536" i="1"/>
  <c r="V536" i="1" a="1"/>
  <c r="V536" i="1" s="1"/>
  <c r="W536" i="1"/>
  <c r="B537" i="1"/>
  <c r="D537" i="1"/>
  <c r="H537" i="1"/>
  <c r="F537" i="1" s="1" a="1"/>
  <c r="F537" i="1" s="1"/>
  <c r="Q537" i="1"/>
  <c r="S537" i="1"/>
  <c r="T537" i="1"/>
  <c r="U537" i="1"/>
  <c r="V537" i="1" a="1"/>
  <c r="V537" i="1" s="1"/>
  <c r="W537" i="1"/>
  <c r="B538" i="1"/>
  <c r="D538" i="1"/>
  <c r="H538" i="1"/>
  <c r="F538" i="1" s="1" a="1"/>
  <c r="F538" i="1" s="1"/>
  <c r="Q538" i="1"/>
  <c r="S538" i="1"/>
  <c r="T538" i="1"/>
  <c r="U538" i="1"/>
  <c r="V538" i="1" a="1"/>
  <c r="V538" i="1" s="1"/>
  <c r="W538" i="1"/>
  <c r="B539" i="1"/>
  <c r="D539" i="1"/>
  <c r="H539" i="1"/>
  <c r="F539" i="1" s="1" a="1"/>
  <c r="F539" i="1" s="1"/>
  <c r="Q539" i="1"/>
  <c r="S539" i="1"/>
  <c r="T539" i="1"/>
  <c r="U539" i="1"/>
  <c r="V539" i="1" a="1"/>
  <c r="V539" i="1" s="1"/>
  <c r="W539" i="1"/>
  <c r="B540" i="1"/>
  <c r="D540" i="1"/>
  <c r="H540" i="1"/>
  <c r="F540" i="1" s="1" a="1"/>
  <c r="F540" i="1" s="1"/>
  <c r="Q540" i="1"/>
  <c r="S540" i="1"/>
  <c r="T540" i="1"/>
  <c r="U540" i="1"/>
  <c r="V540" i="1" a="1"/>
  <c r="V540" i="1" s="1"/>
  <c r="W540" i="1"/>
  <c r="B541" i="1"/>
  <c r="D541" i="1"/>
  <c r="H541" i="1"/>
  <c r="F541" i="1" s="1" a="1"/>
  <c r="F541" i="1" s="1"/>
  <c r="Q541" i="1"/>
  <c r="S541" i="1"/>
  <c r="T541" i="1"/>
  <c r="U541" i="1"/>
  <c r="V541" i="1" a="1"/>
  <c r="V541" i="1" s="1"/>
  <c r="W541" i="1"/>
  <c r="B542" i="1"/>
  <c r="D542" i="1"/>
  <c r="H542" i="1"/>
  <c r="F542" i="1" s="1" a="1"/>
  <c r="F542" i="1" s="1"/>
  <c r="Q542" i="1"/>
  <c r="S542" i="1"/>
  <c r="T542" i="1"/>
  <c r="U542" i="1"/>
  <c r="V542" i="1" a="1"/>
  <c r="V542" i="1" s="1"/>
  <c r="W542" i="1"/>
  <c r="B543" i="1"/>
  <c r="D543" i="1"/>
  <c r="H543" i="1"/>
  <c r="F543" i="1" s="1" a="1"/>
  <c r="F543" i="1" s="1"/>
  <c r="Q543" i="1"/>
  <c r="S543" i="1"/>
  <c r="T543" i="1"/>
  <c r="U543" i="1"/>
  <c r="V543" i="1" a="1"/>
  <c r="V543" i="1" s="1"/>
  <c r="W543" i="1"/>
  <c r="B544" i="1"/>
  <c r="D544" i="1"/>
  <c r="H544" i="1"/>
  <c r="F544" i="1" s="1" a="1"/>
  <c r="F544" i="1" s="1"/>
  <c r="Q544" i="1"/>
  <c r="S544" i="1"/>
  <c r="T544" i="1"/>
  <c r="U544" i="1"/>
  <c r="V544" i="1" a="1"/>
  <c r="V544" i="1" s="1"/>
  <c r="W544" i="1"/>
  <c r="B545" i="1"/>
  <c r="D545" i="1"/>
  <c r="H545" i="1"/>
  <c r="F545" i="1" s="1" a="1"/>
  <c r="F545" i="1" s="1"/>
  <c r="Q545" i="1"/>
  <c r="S545" i="1"/>
  <c r="T545" i="1"/>
  <c r="U545" i="1"/>
  <c r="V545" i="1" a="1"/>
  <c r="V545" i="1" s="1"/>
  <c r="W545" i="1"/>
  <c r="B546" i="1"/>
  <c r="D546" i="1"/>
  <c r="H546" i="1"/>
  <c r="F546" i="1" s="1" a="1"/>
  <c r="F546" i="1" s="1"/>
  <c r="Q546" i="1"/>
  <c r="S546" i="1"/>
  <c r="T546" i="1"/>
  <c r="U546" i="1"/>
  <c r="V546" i="1" a="1"/>
  <c r="V546" i="1" s="1"/>
  <c r="W546" i="1"/>
  <c r="B547" i="1"/>
  <c r="D547" i="1"/>
  <c r="H547" i="1"/>
  <c r="F547" i="1" s="1" a="1"/>
  <c r="F547" i="1" s="1"/>
  <c r="Q547" i="1"/>
  <c r="S547" i="1"/>
  <c r="T547" i="1"/>
  <c r="U547" i="1"/>
  <c r="V547" i="1" a="1"/>
  <c r="V547" i="1" s="1"/>
  <c r="W547" i="1"/>
  <c r="B548" i="1"/>
  <c r="D548" i="1"/>
  <c r="H548" i="1"/>
  <c r="F548" i="1" s="1" a="1"/>
  <c r="F548" i="1" s="1"/>
  <c r="Q548" i="1"/>
  <c r="S548" i="1"/>
  <c r="T548" i="1"/>
  <c r="U548" i="1"/>
  <c r="V548" i="1" a="1"/>
  <c r="V548" i="1" s="1"/>
  <c r="W548" i="1"/>
  <c r="B549" i="1"/>
  <c r="D549" i="1"/>
  <c r="H549" i="1"/>
  <c r="F549" i="1" s="1" a="1"/>
  <c r="F549" i="1" s="1"/>
  <c r="Q549" i="1"/>
  <c r="S549" i="1"/>
  <c r="T549" i="1"/>
  <c r="U549" i="1"/>
  <c r="V549" i="1" a="1"/>
  <c r="V549" i="1" s="1"/>
  <c r="W549" i="1"/>
  <c r="B550" i="1"/>
  <c r="D550" i="1"/>
  <c r="H550" i="1"/>
  <c r="F550" i="1" s="1" a="1"/>
  <c r="F550" i="1" s="1"/>
  <c r="Q550" i="1"/>
  <c r="S550" i="1"/>
  <c r="T550" i="1"/>
  <c r="U550" i="1"/>
  <c r="V550" i="1" a="1"/>
  <c r="V550" i="1" s="1"/>
  <c r="W550" i="1"/>
  <c r="B551" i="1"/>
  <c r="D551" i="1"/>
  <c r="H551" i="1"/>
  <c r="F551" i="1" s="1" a="1"/>
  <c r="F551" i="1" s="1"/>
  <c r="Q551" i="1"/>
  <c r="S551" i="1"/>
  <c r="T551" i="1"/>
  <c r="U551" i="1"/>
  <c r="V551" i="1" a="1"/>
  <c r="V551" i="1" s="1"/>
  <c r="W551" i="1"/>
  <c r="B552" i="1"/>
  <c r="D552" i="1"/>
  <c r="H552" i="1"/>
  <c r="F552" i="1" s="1" a="1"/>
  <c r="F552" i="1" s="1"/>
  <c r="Q552" i="1"/>
  <c r="S552" i="1"/>
  <c r="T552" i="1"/>
  <c r="U552" i="1"/>
  <c r="V552" i="1" a="1"/>
  <c r="V552" i="1" s="1"/>
  <c r="W552" i="1"/>
  <c r="B553" i="1"/>
  <c r="D553" i="1"/>
  <c r="H553" i="1"/>
  <c r="F553" i="1" s="1" a="1"/>
  <c r="F553" i="1" s="1"/>
  <c r="Q553" i="1"/>
  <c r="S553" i="1"/>
  <c r="T553" i="1"/>
  <c r="U553" i="1"/>
  <c r="V553" i="1" a="1"/>
  <c r="V553" i="1" s="1"/>
  <c r="W553" i="1"/>
  <c r="B554" i="1"/>
  <c r="D554" i="1"/>
  <c r="H554" i="1"/>
  <c r="F554" i="1" s="1" a="1"/>
  <c r="F554" i="1" s="1"/>
  <c r="Q554" i="1"/>
  <c r="S554" i="1"/>
  <c r="T554" i="1"/>
  <c r="U554" i="1"/>
  <c r="V554" i="1" a="1"/>
  <c r="V554" i="1" s="1"/>
  <c r="W554" i="1"/>
  <c r="B555" i="1"/>
  <c r="D555" i="1"/>
  <c r="H555" i="1"/>
  <c r="F555" i="1" s="1" a="1"/>
  <c r="F555" i="1" s="1"/>
  <c r="Q555" i="1"/>
  <c r="S555" i="1"/>
  <c r="T555" i="1"/>
  <c r="U555" i="1"/>
  <c r="V555" i="1" a="1"/>
  <c r="V555" i="1" s="1"/>
  <c r="W555" i="1"/>
  <c r="B556" i="1"/>
  <c r="D556" i="1"/>
  <c r="H556" i="1"/>
  <c r="F556" i="1" s="1" a="1"/>
  <c r="F556" i="1" s="1"/>
  <c r="Q556" i="1"/>
  <c r="S556" i="1"/>
  <c r="T556" i="1"/>
  <c r="U556" i="1"/>
  <c r="V556" i="1" a="1"/>
  <c r="V556" i="1" s="1"/>
  <c r="W556" i="1"/>
  <c r="B557" i="1"/>
  <c r="D557" i="1"/>
  <c r="H557" i="1"/>
  <c r="F557" i="1" s="1" a="1"/>
  <c r="F557" i="1" s="1"/>
  <c r="Q557" i="1"/>
  <c r="S557" i="1"/>
  <c r="T557" i="1"/>
  <c r="U557" i="1"/>
  <c r="V557" i="1" a="1"/>
  <c r="V557" i="1" s="1"/>
  <c r="W557" i="1"/>
  <c r="B558" i="1"/>
  <c r="D558" i="1"/>
  <c r="H558" i="1"/>
  <c r="F558" i="1" s="1" a="1"/>
  <c r="F558" i="1" s="1"/>
  <c r="Q558" i="1"/>
  <c r="S558" i="1"/>
  <c r="T558" i="1"/>
  <c r="U558" i="1"/>
  <c r="V558" i="1" a="1"/>
  <c r="V558" i="1" s="1"/>
  <c r="W558" i="1"/>
  <c r="B559" i="1"/>
  <c r="D559" i="1"/>
  <c r="H559" i="1"/>
  <c r="F559" i="1" s="1" a="1"/>
  <c r="F559" i="1" s="1"/>
  <c r="Q559" i="1"/>
  <c r="S559" i="1"/>
  <c r="V559" i="1" a="1"/>
  <c r="V559" i="1" s="1"/>
  <c r="B560" i="1"/>
  <c r="D560" i="1"/>
  <c r="H560" i="1"/>
  <c r="F560" i="1" s="1" a="1"/>
  <c r="F560" i="1" s="1"/>
  <c r="Q560" i="1"/>
  <c r="T560" i="1" s="1"/>
  <c r="W560" i="1" s="1"/>
  <c r="S560" i="1"/>
  <c r="V560" i="1" a="1"/>
  <c r="V560" i="1" s="1"/>
  <c r="B561" i="1"/>
  <c r="D561" i="1"/>
  <c r="H561" i="1"/>
  <c r="F561" i="1" s="1" a="1"/>
  <c r="F561" i="1" s="1"/>
  <c r="Q561" i="1"/>
  <c r="U561" i="1" s="1"/>
  <c r="S561" i="1"/>
  <c r="T561" i="1"/>
  <c r="V561" i="1" a="1"/>
  <c r="V561" i="1" s="1"/>
  <c r="W561" i="1"/>
  <c r="B562" i="1"/>
  <c r="D562" i="1"/>
  <c r="H562" i="1"/>
  <c r="F562" i="1" s="1" a="1"/>
  <c r="F562" i="1" s="1"/>
  <c r="Q562" i="1"/>
  <c r="S562" i="1"/>
  <c r="T562" i="1"/>
  <c r="U562" i="1"/>
  <c r="V562" i="1" a="1"/>
  <c r="V562" i="1" s="1"/>
  <c r="W562" i="1"/>
  <c r="B563" i="1"/>
  <c r="D563" i="1"/>
  <c r="H563" i="1"/>
  <c r="F563" i="1" s="1" a="1"/>
  <c r="F563" i="1" s="1"/>
  <c r="Q563" i="1"/>
  <c r="S563" i="1"/>
  <c r="V563" i="1" a="1"/>
  <c r="V563" i="1" s="1"/>
  <c r="B564" i="1"/>
  <c r="D564" i="1"/>
  <c r="H564" i="1"/>
  <c r="F564" i="1" s="1" a="1"/>
  <c r="F564" i="1" s="1"/>
  <c r="Q564" i="1"/>
  <c r="T564" i="1" s="1"/>
  <c r="W564" i="1" s="1"/>
  <c r="S564" i="1"/>
  <c r="V564" i="1" a="1"/>
  <c r="V564" i="1" s="1"/>
  <c r="B565" i="1"/>
  <c r="D565" i="1"/>
  <c r="H565" i="1"/>
  <c r="F565" i="1" s="1" a="1"/>
  <c r="F565" i="1" s="1"/>
  <c r="Q565" i="1"/>
  <c r="U565" i="1" s="1"/>
  <c r="S565" i="1"/>
  <c r="T565" i="1"/>
  <c r="V565" i="1" a="1"/>
  <c r="V565" i="1" s="1"/>
  <c r="W565" i="1"/>
  <c r="B566" i="1"/>
  <c r="D566" i="1"/>
  <c r="H566" i="1"/>
  <c r="F566" i="1" s="1" a="1"/>
  <c r="F566" i="1" s="1"/>
  <c r="Q566" i="1"/>
  <c r="S566" i="1"/>
  <c r="T566" i="1"/>
  <c r="U566" i="1"/>
  <c r="V566" i="1" a="1"/>
  <c r="V566" i="1" s="1"/>
  <c r="W566" i="1"/>
  <c r="B567" i="1"/>
  <c r="D567" i="1"/>
  <c r="H567" i="1"/>
  <c r="F567" i="1" s="1" a="1"/>
  <c r="F567" i="1" s="1"/>
  <c r="Q567" i="1"/>
  <c r="S567" i="1"/>
  <c r="V567" i="1" a="1"/>
  <c r="V567" i="1" s="1"/>
  <c r="B568" i="1"/>
  <c r="D568" i="1"/>
  <c r="H568" i="1"/>
  <c r="F568" i="1" s="1" a="1"/>
  <c r="F568" i="1" s="1"/>
  <c r="Q568" i="1"/>
  <c r="T568" i="1" s="1"/>
  <c r="W568" i="1" s="1"/>
  <c r="S568" i="1"/>
  <c r="V568" i="1" a="1"/>
  <c r="V568" i="1" s="1"/>
  <c r="B569" i="1"/>
  <c r="D569" i="1"/>
  <c r="H569" i="1"/>
  <c r="F569" i="1" s="1" a="1"/>
  <c r="F569" i="1" s="1"/>
  <c r="Q569" i="1"/>
  <c r="U569" i="1" s="1"/>
  <c r="S569" i="1"/>
  <c r="T569" i="1"/>
  <c r="V569" i="1" a="1"/>
  <c r="V569" i="1" s="1"/>
  <c r="W569" i="1"/>
  <c r="B570" i="1"/>
  <c r="D570" i="1"/>
  <c r="H570" i="1"/>
  <c r="F570" i="1" s="1" a="1"/>
  <c r="F570" i="1" s="1"/>
  <c r="Q570" i="1"/>
  <c r="S570" i="1"/>
  <c r="T570" i="1"/>
  <c r="U570" i="1"/>
  <c r="V570" i="1" a="1"/>
  <c r="V570" i="1" s="1"/>
  <c r="W570" i="1"/>
  <c r="B571" i="1"/>
  <c r="D571" i="1"/>
  <c r="H571" i="1"/>
  <c r="F571" i="1" s="1" a="1"/>
  <c r="F571" i="1" s="1"/>
  <c r="Q571" i="1"/>
  <c r="S571" i="1"/>
  <c r="V571" i="1" a="1"/>
  <c r="V571" i="1" s="1"/>
  <c r="B572" i="1"/>
  <c r="D572" i="1"/>
  <c r="H572" i="1"/>
  <c r="F572" i="1" s="1" a="1"/>
  <c r="F572" i="1" s="1"/>
  <c r="Q572" i="1"/>
  <c r="T572" i="1" s="1"/>
  <c r="W572" i="1" s="1"/>
  <c r="S572" i="1"/>
  <c r="V572" i="1" a="1"/>
  <c r="V572" i="1" s="1"/>
  <c r="B573" i="1"/>
  <c r="D573" i="1"/>
  <c r="H573" i="1"/>
  <c r="F573" i="1" s="1" a="1"/>
  <c r="F573" i="1" s="1"/>
  <c r="Q573" i="1"/>
  <c r="U573" i="1" s="1"/>
  <c r="S573" i="1"/>
  <c r="T573" i="1"/>
  <c r="V573" i="1" a="1"/>
  <c r="V573" i="1" s="1"/>
  <c r="W573" i="1"/>
  <c r="B574" i="1"/>
  <c r="D574" i="1"/>
  <c r="H574" i="1"/>
  <c r="F574" i="1" s="1" a="1"/>
  <c r="F574" i="1" s="1"/>
  <c r="Q574" i="1"/>
  <c r="S574" i="1"/>
  <c r="T574" i="1"/>
  <c r="U574" i="1"/>
  <c r="V574" i="1" a="1"/>
  <c r="V574" i="1" s="1"/>
  <c r="W574" i="1"/>
  <c r="B575" i="1"/>
  <c r="D575" i="1"/>
  <c r="H575" i="1"/>
  <c r="F575" i="1" s="1" a="1"/>
  <c r="F575" i="1" s="1"/>
  <c r="Q575" i="1"/>
  <c r="S575" i="1"/>
  <c r="V575" i="1" a="1"/>
  <c r="V575" i="1" s="1"/>
  <c r="B576" i="1"/>
  <c r="D576" i="1"/>
  <c r="H576" i="1"/>
  <c r="F576" i="1" s="1" a="1"/>
  <c r="F576" i="1" s="1"/>
  <c r="Q576" i="1"/>
  <c r="T576" i="1" s="1"/>
  <c r="W576" i="1" s="1"/>
  <c r="S576" i="1"/>
  <c r="V576" i="1" a="1"/>
  <c r="V576" i="1" s="1"/>
  <c r="B577" i="1"/>
  <c r="D577" i="1"/>
  <c r="H577" i="1"/>
  <c r="F577" i="1" s="1" a="1"/>
  <c r="F577" i="1" s="1"/>
  <c r="Q577" i="1"/>
  <c r="U577" i="1" s="1"/>
  <c r="S577" i="1"/>
  <c r="T577" i="1"/>
  <c r="V577" i="1" a="1"/>
  <c r="V577" i="1" s="1"/>
  <c r="W577" i="1"/>
  <c r="B578" i="1"/>
  <c r="D578" i="1"/>
  <c r="H578" i="1"/>
  <c r="F578" i="1" s="1" a="1"/>
  <c r="F578" i="1" s="1"/>
  <c r="Q578" i="1"/>
  <c r="S578" i="1"/>
  <c r="T578" i="1"/>
  <c r="U578" i="1"/>
  <c r="V578" i="1" a="1"/>
  <c r="V578" i="1" s="1"/>
  <c r="W578" i="1"/>
  <c r="B579" i="1"/>
  <c r="D579" i="1"/>
  <c r="H579" i="1"/>
  <c r="F579" i="1" s="1" a="1"/>
  <c r="F579" i="1" s="1"/>
  <c r="Q579" i="1"/>
  <c r="S579" i="1"/>
  <c r="V579" i="1" a="1"/>
  <c r="V579" i="1" s="1"/>
  <c r="B580" i="1"/>
  <c r="D580" i="1"/>
  <c r="H580" i="1"/>
  <c r="F580" i="1" s="1" a="1"/>
  <c r="F580" i="1" s="1"/>
  <c r="Q580" i="1"/>
  <c r="T580" i="1" s="1"/>
  <c r="W580" i="1" s="1"/>
  <c r="S580" i="1"/>
  <c r="V580" i="1" a="1"/>
  <c r="V580" i="1" s="1"/>
  <c r="B581" i="1"/>
  <c r="D581" i="1"/>
  <c r="H581" i="1"/>
  <c r="F581" i="1" s="1" a="1"/>
  <c r="F581" i="1" s="1"/>
  <c r="Q581" i="1"/>
  <c r="U581" i="1" s="1"/>
  <c r="S581" i="1"/>
  <c r="T581" i="1"/>
  <c r="V581" i="1" a="1"/>
  <c r="V581" i="1" s="1"/>
  <c r="W581" i="1"/>
  <c r="B582" i="1"/>
  <c r="D582" i="1"/>
  <c r="H582" i="1"/>
  <c r="F582" i="1" s="1" a="1"/>
  <c r="F582" i="1" s="1"/>
  <c r="Q582" i="1"/>
  <c r="S582" i="1"/>
  <c r="T582" i="1"/>
  <c r="U582" i="1"/>
  <c r="V582" i="1" a="1"/>
  <c r="V582" i="1" s="1"/>
  <c r="W582" i="1"/>
  <c r="B583" i="1"/>
  <c r="D583" i="1"/>
  <c r="H583" i="1"/>
  <c r="F583" i="1" s="1" a="1"/>
  <c r="F583" i="1" s="1"/>
  <c r="Q583" i="1"/>
  <c r="S583" i="1"/>
  <c r="V583" i="1" a="1"/>
  <c r="V583" i="1" s="1"/>
  <c r="B584" i="1"/>
  <c r="D584" i="1"/>
  <c r="H584" i="1"/>
  <c r="F584" i="1" s="1" a="1"/>
  <c r="F584" i="1" s="1"/>
  <c r="Q584" i="1"/>
  <c r="T584" i="1" s="1"/>
  <c r="W584" i="1" s="1"/>
  <c r="S584" i="1"/>
  <c r="V584" i="1" a="1"/>
  <c r="V584" i="1" s="1"/>
  <c r="B585" i="1"/>
  <c r="D585" i="1"/>
  <c r="H585" i="1"/>
  <c r="F585" i="1" s="1" a="1"/>
  <c r="F585" i="1" s="1"/>
  <c r="Q585" i="1"/>
  <c r="U585" i="1" s="1"/>
  <c r="S585" i="1"/>
  <c r="T585" i="1"/>
  <c r="V585" i="1" a="1"/>
  <c r="V585" i="1" s="1"/>
  <c r="W585" i="1"/>
  <c r="B586" i="1"/>
  <c r="D586" i="1"/>
  <c r="H586" i="1"/>
  <c r="F586" i="1" s="1" a="1"/>
  <c r="F586" i="1" s="1"/>
  <c r="Q586" i="1"/>
  <c r="S586" i="1"/>
  <c r="T586" i="1"/>
  <c r="U586" i="1"/>
  <c r="V586" i="1" a="1"/>
  <c r="V586" i="1" s="1"/>
  <c r="W586" i="1"/>
  <c r="B587" i="1"/>
  <c r="D587" i="1"/>
  <c r="H587" i="1"/>
  <c r="F587" i="1" s="1" a="1"/>
  <c r="F587" i="1" s="1"/>
  <c r="Q587" i="1"/>
  <c r="S587" i="1"/>
  <c r="V587" i="1" a="1"/>
  <c r="V587" i="1" s="1"/>
  <c r="B588" i="1"/>
  <c r="D588" i="1"/>
  <c r="H588" i="1"/>
  <c r="F588" i="1" s="1" a="1"/>
  <c r="F588" i="1" s="1"/>
  <c r="Q588" i="1"/>
  <c r="T588" i="1" s="1"/>
  <c r="W588" i="1" s="1"/>
  <c r="S588" i="1"/>
  <c r="V588" i="1" a="1"/>
  <c r="V588" i="1" s="1"/>
  <c r="B589" i="1"/>
  <c r="D589" i="1"/>
  <c r="H589" i="1"/>
  <c r="F589" i="1" s="1" a="1"/>
  <c r="F589" i="1" s="1"/>
  <c r="Q589" i="1"/>
  <c r="S589" i="1"/>
  <c r="T589" i="1"/>
  <c r="U589" i="1"/>
  <c r="V589" i="1" a="1"/>
  <c r="V589" i="1" s="1"/>
  <c r="W589" i="1"/>
  <c r="B590" i="1"/>
  <c r="D590" i="1"/>
  <c r="H590" i="1"/>
  <c r="F590" i="1" s="1" a="1"/>
  <c r="F590" i="1" s="1"/>
  <c r="Q590" i="1"/>
  <c r="S590" i="1"/>
  <c r="T590" i="1"/>
  <c r="U590" i="1"/>
  <c r="V590" i="1" a="1"/>
  <c r="V590" i="1" s="1"/>
  <c r="W590" i="1"/>
  <c r="B591" i="1"/>
  <c r="D591" i="1"/>
  <c r="H591" i="1"/>
  <c r="F591" i="1" s="1" a="1"/>
  <c r="F591" i="1" s="1"/>
  <c r="Q591" i="1"/>
  <c r="S591" i="1"/>
  <c r="V591" i="1" a="1"/>
  <c r="V591" i="1" s="1"/>
  <c r="B592" i="1"/>
  <c r="D592" i="1"/>
  <c r="H592" i="1"/>
  <c r="F592" i="1" s="1" a="1"/>
  <c r="F592" i="1" s="1"/>
  <c r="Q592" i="1"/>
  <c r="T592" i="1" s="1"/>
  <c r="W592" i="1" s="1"/>
  <c r="S592" i="1"/>
  <c r="V592" i="1" a="1"/>
  <c r="V592" i="1" s="1"/>
  <c r="B593" i="1"/>
  <c r="D593" i="1"/>
  <c r="H593" i="1"/>
  <c r="F593" i="1" s="1" a="1"/>
  <c r="F593" i="1" s="1"/>
  <c r="Q593" i="1"/>
  <c r="S593" i="1"/>
  <c r="T593" i="1"/>
  <c r="U593" i="1"/>
  <c r="V593" i="1" a="1"/>
  <c r="V593" i="1" s="1"/>
  <c r="W593" i="1"/>
  <c r="B594" i="1"/>
  <c r="D594" i="1"/>
  <c r="H594" i="1"/>
  <c r="F594" i="1" s="1" a="1"/>
  <c r="F594" i="1" s="1"/>
  <c r="Q594" i="1"/>
  <c r="S594" i="1"/>
  <c r="T594" i="1"/>
  <c r="U594" i="1"/>
  <c r="V594" i="1" a="1"/>
  <c r="V594" i="1" s="1"/>
  <c r="W594" i="1"/>
  <c r="B595" i="1"/>
  <c r="D595" i="1"/>
  <c r="H595" i="1"/>
  <c r="F595" i="1" s="1" a="1"/>
  <c r="F595" i="1" s="1"/>
  <c r="Q595" i="1"/>
  <c r="S595" i="1"/>
  <c r="V595" i="1" a="1"/>
  <c r="V595" i="1" s="1"/>
  <c r="B596" i="1"/>
  <c r="D596" i="1"/>
  <c r="H596" i="1"/>
  <c r="F596" i="1" s="1" a="1"/>
  <c r="F596" i="1" s="1"/>
  <c r="Q596" i="1"/>
  <c r="T596" i="1" s="1"/>
  <c r="W596" i="1" s="1"/>
  <c r="S596" i="1"/>
  <c r="V596" i="1" a="1"/>
  <c r="V596" i="1" s="1"/>
  <c r="B597" i="1"/>
  <c r="D597" i="1"/>
  <c r="H597" i="1"/>
  <c r="F597" i="1" s="1" a="1"/>
  <c r="F597" i="1" s="1"/>
  <c r="Q597" i="1"/>
  <c r="S597" i="1"/>
  <c r="T597" i="1"/>
  <c r="U597" i="1"/>
  <c r="V597" i="1" a="1"/>
  <c r="V597" i="1" s="1"/>
  <c r="W597" i="1"/>
  <c r="B598" i="1"/>
  <c r="D598" i="1"/>
  <c r="H598" i="1"/>
  <c r="F598" i="1" s="1" a="1"/>
  <c r="F598" i="1" s="1"/>
  <c r="Q598" i="1"/>
  <c r="S598" i="1"/>
  <c r="T598" i="1"/>
  <c r="U598" i="1"/>
  <c r="V598" i="1" a="1"/>
  <c r="V598" i="1" s="1"/>
  <c r="W598" i="1"/>
  <c r="B599" i="1"/>
  <c r="D599" i="1"/>
  <c r="H599" i="1"/>
  <c r="F599" i="1" s="1" a="1"/>
  <c r="F599" i="1" s="1"/>
  <c r="Q599" i="1"/>
  <c r="S599" i="1"/>
  <c r="V599" i="1" a="1"/>
  <c r="V599" i="1" s="1"/>
  <c r="B600" i="1"/>
  <c r="D600" i="1"/>
  <c r="H600" i="1"/>
  <c r="F600" i="1" s="1" a="1"/>
  <c r="F600" i="1" s="1"/>
  <c r="Q600" i="1"/>
  <c r="T600" i="1" s="1"/>
  <c r="W600" i="1" s="1"/>
  <c r="S600" i="1"/>
  <c r="V600" i="1" a="1"/>
  <c r="V600" i="1" s="1"/>
  <c r="B601" i="1"/>
  <c r="D601" i="1"/>
  <c r="H601" i="1"/>
  <c r="F601" i="1" s="1" a="1"/>
  <c r="F601" i="1" s="1"/>
  <c r="Q601" i="1"/>
  <c r="S601" i="1"/>
  <c r="T601" i="1"/>
  <c r="U601" i="1"/>
  <c r="V601" i="1" a="1"/>
  <c r="V601" i="1" s="1"/>
  <c r="W601" i="1"/>
  <c r="B602" i="1"/>
  <c r="D602" i="1"/>
  <c r="H602" i="1"/>
  <c r="F602" i="1" s="1" a="1"/>
  <c r="F602" i="1" s="1"/>
  <c r="Q602" i="1"/>
  <c r="S602" i="1"/>
  <c r="T602" i="1"/>
  <c r="U602" i="1"/>
  <c r="V602" i="1" a="1"/>
  <c r="V602" i="1" s="1"/>
  <c r="W602" i="1"/>
  <c r="B603" i="1"/>
  <c r="D603" i="1"/>
  <c r="H603" i="1"/>
  <c r="F603" i="1" s="1" a="1"/>
  <c r="F603" i="1" s="1"/>
  <c r="Q603" i="1"/>
  <c r="S603" i="1"/>
  <c r="V603" i="1" a="1"/>
  <c r="V603" i="1" s="1"/>
  <c r="B604" i="1"/>
  <c r="D604" i="1"/>
  <c r="H604" i="1"/>
  <c r="F604" i="1" s="1" a="1"/>
  <c r="F604" i="1" s="1"/>
  <c r="Q604" i="1"/>
  <c r="T604" i="1" s="1"/>
  <c r="W604" i="1" s="1"/>
  <c r="S604" i="1"/>
  <c r="V604" i="1" a="1"/>
  <c r="V604" i="1" s="1"/>
  <c r="B605" i="1"/>
  <c r="D605" i="1"/>
  <c r="H605" i="1"/>
  <c r="F605" i="1" s="1" a="1"/>
  <c r="F605" i="1" s="1"/>
  <c r="Q605" i="1"/>
  <c r="S605" i="1"/>
  <c r="T605" i="1"/>
  <c r="U605" i="1"/>
  <c r="V605" i="1" a="1"/>
  <c r="V605" i="1" s="1"/>
  <c r="W605" i="1"/>
  <c r="B606" i="1"/>
  <c r="D606" i="1"/>
  <c r="H606" i="1"/>
  <c r="F606" i="1" s="1" a="1"/>
  <c r="F606" i="1" s="1"/>
  <c r="Q606" i="1"/>
  <c r="S606" i="1"/>
  <c r="T606" i="1"/>
  <c r="U606" i="1"/>
  <c r="V606" i="1" a="1"/>
  <c r="V606" i="1" s="1"/>
  <c r="W606" i="1"/>
  <c r="B607" i="1"/>
  <c r="D607" i="1"/>
  <c r="H607" i="1"/>
  <c r="F607" i="1" s="1" a="1"/>
  <c r="F607" i="1" s="1"/>
  <c r="Q607" i="1"/>
  <c r="S607" i="1"/>
  <c r="V607" i="1" a="1"/>
  <c r="V607" i="1" s="1"/>
  <c r="B608" i="1"/>
  <c r="D608" i="1"/>
  <c r="H608" i="1"/>
  <c r="F608" i="1" s="1" a="1"/>
  <c r="F608" i="1" s="1"/>
  <c r="Q608" i="1"/>
  <c r="T608" i="1" s="1"/>
  <c r="W608" i="1" s="1"/>
  <c r="S608" i="1"/>
  <c r="V608" i="1" a="1"/>
  <c r="V608" i="1" s="1"/>
  <c r="B609" i="1"/>
  <c r="D609" i="1"/>
  <c r="H609" i="1"/>
  <c r="F609" i="1" s="1" a="1"/>
  <c r="F609" i="1" s="1"/>
  <c r="Q609" i="1"/>
  <c r="S609" i="1"/>
  <c r="T609" i="1"/>
  <c r="U609" i="1"/>
  <c r="V609" i="1" a="1"/>
  <c r="V609" i="1" s="1"/>
  <c r="W609" i="1"/>
  <c r="B610" i="1"/>
  <c r="D610" i="1"/>
  <c r="H610" i="1"/>
  <c r="F610" i="1" s="1" a="1"/>
  <c r="F610" i="1" s="1"/>
  <c r="Q610" i="1"/>
  <c r="S610" i="1"/>
  <c r="T610" i="1"/>
  <c r="U610" i="1"/>
  <c r="V610" i="1" a="1"/>
  <c r="V610" i="1" s="1"/>
  <c r="W610" i="1"/>
  <c r="B611" i="1"/>
  <c r="D611" i="1"/>
  <c r="H611" i="1"/>
  <c r="F611" i="1" s="1" a="1"/>
  <c r="F611" i="1" s="1"/>
  <c r="Q611" i="1"/>
  <c r="S611" i="1"/>
  <c r="V611" i="1" a="1"/>
  <c r="V611" i="1" s="1"/>
  <c r="B612" i="1"/>
  <c r="D612" i="1"/>
  <c r="H612" i="1"/>
  <c r="F612" i="1" s="1" a="1"/>
  <c r="F612" i="1" s="1"/>
  <c r="Q612" i="1"/>
  <c r="T612" i="1" s="1"/>
  <c r="W612" i="1" s="1"/>
  <c r="S612" i="1"/>
  <c r="V612" i="1" a="1"/>
  <c r="V612" i="1" s="1"/>
  <c r="B613" i="1"/>
  <c r="D613" i="1"/>
  <c r="H613" i="1"/>
  <c r="F613" i="1" s="1" a="1"/>
  <c r="F613" i="1" s="1"/>
  <c r="Q613" i="1"/>
  <c r="S613" i="1"/>
  <c r="T613" i="1"/>
  <c r="U613" i="1"/>
  <c r="V613" i="1" a="1"/>
  <c r="V613" i="1" s="1"/>
  <c r="W613" i="1"/>
  <c r="B614" i="1"/>
  <c r="D614" i="1"/>
  <c r="H614" i="1"/>
  <c r="F614" i="1" s="1" a="1"/>
  <c r="F614" i="1" s="1"/>
  <c r="Q614" i="1"/>
  <c r="S614" i="1"/>
  <c r="T614" i="1"/>
  <c r="U614" i="1"/>
  <c r="V614" i="1" a="1"/>
  <c r="V614" i="1" s="1"/>
  <c r="W614" i="1"/>
  <c r="B615" i="1"/>
  <c r="D615" i="1"/>
  <c r="H615" i="1"/>
  <c r="F615" i="1" s="1" a="1"/>
  <c r="F615" i="1" s="1"/>
  <c r="Q615" i="1"/>
  <c r="S615" i="1"/>
  <c r="V615" i="1" a="1"/>
  <c r="V615" i="1" s="1"/>
  <c r="B616" i="1"/>
  <c r="D616" i="1"/>
  <c r="H616" i="1"/>
  <c r="F616" i="1" s="1" a="1"/>
  <c r="F616" i="1" s="1"/>
  <c r="Q616" i="1"/>
  <c r="T616" i="1" s="1"/>
  <c r="W616" i="1" s="1"/>
  <c r="S616" i="1"/>
  <c r="V616" i="1" a="1"/>
  <c r="V616" i="1" s="1"/>
  <c r="B617" i="1"/>
  <c r="D617" i="1"/>
  <c r="H617" i="1"/>
  <c r="F617" i="1" s="1" a="1"/>
  <c r="F617" i="1" s="1"/>
  <c r="Q617" i="1"/>
  <c r="S617" i="1"/>
  <c r="T617" i="1"/>
  <c r="U617" i="1"/>
  <c r="V617" i="1" a="1"/>
  <c r="V617" i="1" s="1"/>
  <c r="W617" i="1"/>
  <c r="B618" i="1"/>
  <c r="D618" i="1"/>
  <c r="H618" i="1"/>
  <c r="F618" i="1" s="1" a="1"/>
  <c r="F618" i="1" s="1"/>
  <c r="Q618" i="1"/>
  <c r="S618" i="1"/>
  <c r="T618" i="1"/>
  <c r="U618" i="1"/>
  <c r="V618" i="1" a="1"/>
  <c r="V618" i="1" s="1"/>
  <c r="W618" i="1"/>
  <c r="B619" i="1"/>
  <c r="D619" i="1"/>
  <c r="H619" i="1"/>
  <c r="F619" i="1" s="1" a="1"/>
  <c r="F619" i="1" s="1"/>
  <c r="Q619" i="1"/>
  <c r="S619" i="1"/>
  <c r="V619" i="1" a="1"/>
  <c r="V619" i="1" s="1"/>
  <c r="B620" i="1"/>
  <c r="D620" i="1"/>
  <c r="H620" i="1"/>
  <c r="F620" i="1" s="1" a="1"/>
  <c r="F620" i="1" s="1"/>
  <c r="Q620" i="1"/>
  <c r="T620" i="1" s="1"/>
  <c r="W620" i="1" s="1"/>
  <c r="S620" i="1"/>
  <c r="V620" i="1" a="1"/>
  <c r="V620" i="1" s="1"/>
  <c r="B621" i="1"/>
  <c r="D621" i="1"/>
  <c r="H621" i="1"/>
  <c r="F621" i="1" s="1" a="1"/>
  <c r="F621" i="1" s="1"/>
  <c r="Q621" i="1"/>
  <c r="S621" i="1"/>
  <c r="T621" i="1"/>
  <c r="U621" i="1"/>
  <c r="V621" i="1" a="1"/>
  <c r="V621" i="1" s="1"/>
  <c r="W621" i="1"/>
  <c r="B622" i="1"/>
  <c r="D622" i="1"/>
  <c r="H622" i="1"/>
  <c r="F622" i="1" s="1" a="1"/>
  <c r="F622" i="1" s="1"/>
  <c r="Q622" i="1"/>
  <c r="S622" i="1"/>
  <c r="T622" i="1"/>
  <c r="U622" i="1"/>
  <c r="V622" i="1" a="1"/>
  <c r="V622" i="1" s="1"/>
  <c r="W622" i="1"/>
  <c r="B623" i="1"/>
  <c r="D623" i="1"/>
  <c r="H623" i="1"/>
  <c r="F623" i="1" s="1" a="1"/>
  <c r="F623" i="1" s="1"/>
  <c r="Q623" i="1"/>
  <c r="S623" i="1"/>
  <c r="V623" i="1" a="1"/>
  <c r="V623" i="1" s="1"/>
  <c r="B624" i="1"/>
  <c r="D624" i="1"/>
  <c r="H624" i="1"/>
  <c r="F624" i="1" s="1" a="1"/>
  <c r="F624" i="1" s="1"/>
  <c r="Q624" i="1"/>
  <c r="T624" i="1" s="1"/>
  <c r="W624" i="1" s="1"/>
  <c r="S624" i="1"/>
  <c r="V624" i="1" a="1"/>
  <c r="V624" i="1" s="1"/>
  <c r="B625" i="1"/>
  <c r="D625" i="1"/>
  <c r="H625" i="1"/>
  <c r="F625" i="1" s="1" a="1"/>
  <c r="F625" i="1" s="1"/>
  <c r="Q625" i="1"/>
  <c r="S625" i="1"/>
  <c r="T625" i="1"/>
  <c r="U625" i="1"/>
  <c r="V625" i="1" a="1"/>
  <c r="V625" i="1" s="1"/>
  <c r="W625" i="1"/>
  <c r="B626" i="1"/>
  <c r="D626" i="1"/>
  <c r="H626" i="1"/>
  <c r="F626" i="1" s="1" a="1"/>
  <c r="F626" i="1" s="1"/>
  <c r="Q626" i="1"/>
  <c r="S626" i="1"/>
  <c r="T626" i="1"/>
  <c r="U626" i="1"/>
  <c r="V626" i="1" a="1"/>
  <c r="V626" i="1" s="1"/>
  <c r="W626" i="1"/>
  <c r="B627" i="1"/>
  <c r="D627" i="1"/>
  <c r="H627" i="1"/>
  <c r="F627" i="1" s="1" a="1"/>
  <c r="F627" i="1" s="1"/>
  <c r="Q627" i="1"/>
  <c r="S627" i="1"/>
  <c r="V627" i="1" a="1"/>
  <c r="V627" i="1" s="1"/>
  <c r="B628" i="1"/>
  <c r="D628" i="1"/>
  <c r="H628" i="1"/>
  <c r="F628" i="1" s="1" a="1"/>
  <c r="F628" i="1" s="1"/>
  <c r="Q628" i="1"/>
  <c r="T628" i="1" s="1"/>
  <c r="W628" i="1" s="1"/>
  <c r="S628" i="1"/>
  <c r="V628" i="1" a="1"/>
  <c r="V628" i="1" s="1"/>
  <c r="B629" i="1"/>
  <c r="D629" i="1"/>
  <c r="H629" i="1"/>
  <c r="F629" i="1" s="1" a="1"/>
  <c r="F629" i="1" s="1"/>
  <c r="Q629" i="1"/>
  <c r="S629" i="1"/>
  <c r="T629" i="1"/>
  <c r="U629" i="1"/>
  <c r="V629" i="1" a="1"/>
  <c r="V629" i="1" s="1"/>
  <c r="W629" i="1"/>
  <c r="B630" i="1"/>
  <c r="D630" i="1"/>
  <c r="H630" i="1"/>
  <c r="F630" i="1" s="1" a="1"/>
  <c r="F630" i="1" s="1"/>
  <c r="Q630" i="1"/>
  <c r="S630" i="1"/>
  <c r="T630" i="1"/>
  <c r="U630" i="1"/>
  <c r="V630" i="1" a="1"/>
  <c r="V630" i="1" s="1"/>
  <c r="W630" i="1"/>
  <c r="B631" i="1"/>
  <c r="D631" i="1"/>
  <c r="H631" i="1"/>
  <c r="F631" i="1" s="1" a="1"/>
  <c r="F631" i="1" s="1"/>
  <c r="Q631" i="1"/>
  <c r="S631" i="1"/>
  <c r="V631" i="1" a="1"/>
  <c r="V631" i="1" s="1"/>
  <c r="B632" i="1"/>
  <c r="D632" i="1"/>
  <c r="H632" i="1"/>
  <c r="F632" i="1" s="1" a="1"/>
  <c r="F632" i="1" s="1"/>
  <c r="Q632" i="1"/>
  <c r="T632" i="1" s="1"/>
  <c r="W632" i="1" s="1"/>
  <c r="S632" i="1"/>
  <c r="V632" i="1" a="1"/>
  <c r="V632" i="1" s="1"/>
  <c r="B633" i="1"/>
  <c r="D633" i="1"/>
  <c r="H633" i="1"/>
  <c r="F633" i="1" s="1" a="1"/>
  <c r="F633" i="1" s="1"/>
  <c r="Q633" i="1"/>
  <c r="S633" i="1"/>
  <c r="T633" i="1"/>
  <c r="U633" i="1"/>
  <c r="V633" i="1" a="1"/>
  <c r="V633" i="1" s="1"/>
  <c r="W633" i="1"/>
  <c r="B634" i="1"/>
  <c r="D634" i="1"/>
  <c r="H634" i="1"/>
  <c r="F634" i="1" s="1" a="1"/>
  <c r="F634" i="1" s="1"/>
  <c r="Q634" i="1"/>
  <c r="S634" i="1"/>
  <c r="T634" i="1"/>
  <c r="U634" i="1"/>
  <c r="V634" i="1" a="1"/>
  <c r="V634" i="1" s="1"/>
  <c r="W634" i="1"/>
  <c r="B635" i="1"/>
  <c r="D635" i="1"/>
  <c r="H635" i="1"/>
  <c r="F635" i="1" s="1" a="1"/>
  <c r="F635" i="1" s="1"/>
  <c r="Q635" i="1"/>
  <c r="S635" i="1"/>
  <c r="V635" i="1" a="1"/>
  <c r="V635" i="1" s="1"/>
  <c r="B636" i="1"/>
  <c r="D636" i="1"/>
  <c r="H636" i="1"/>
  <c r="F636" i="1" s="1" a="1"/>
  <c r="F636" i="1" s="1"/>
  <c r="Q636" i="1"/>
  <c r="T636" i="1" s="1"/>
  <c r="W636" i="1" s="1"/>
  <c r="S636" i="1"/>
  <c r="V636" i="1" s="1" a="1"/>
  <c r="V636" i="1" s="1"/>
  <c r="B637" i="1"/>
  <c r="D637" i="1"/>
  <c r="H637" i="1"/>
  <c r="F637" i="1" s="1" a="1"/>
  <c r="F637" i="1" s="1"/>
  <c r="Q637" i="1"/>
  <c r="T637" i="1" s="1"/>
  <c r="W637" i="1" s="1"/>
  <c r="S637" i="1"/>
  <c r="V637" i="1" s="1" a="1"/>
  <c r="V637" i="1" s="1"/>
  <c r="B638" i="1"/>
  <c r="D638" i="1"/>
  <c r="H638" i="1"/>
  <c r="F638" i="1" s="1" a="1"/>
  <c r="F638" i="1" s="1"/>
  <c r="Q638" i="1"/>
  <c r="T638" i="1" s="1"/>
  <c r="W638" i="1" s="1"/>
  <c r="S638" i="1"/>
  <c r="V638" i="1" s="1" a="1"/>
  <c r="V638" i="1" s="1"/>
  <c r="B639" i="1"/>
  <c r="D639" i="1"/>
  <c r="H639" i="1"/>
  <c r="F639" i="1" s="1" a="1"/>
  <c r="F639" i="1" s="1"/>
  <c r="Q639" i="1"/>
  <c r="T639" i="1" s="1"/>
  <c r="W639" i="1" s="1"/>
  <c r="S639" i="1"/>
  <c r="V639" i="1" s="1" a="1"/>
  <c r="V639" i="1" s="1"/>
  <c r="B640" i="1"/>
  <c r="D640" i="1"/>
  <c r="H640" i="1"/>
  <c r="F640" i="1" s="1" a="1"/>
  <c r="F640" i="1" s="1"/>
  <c r="Q640" i="1"/>
  <c r="T640" i="1" s="1"/>
  <c r="W640" i="1" s="1"/>
  <c r="S640" i="1"/>
  <c r="V640" i="1" a="1"/>
  <c r="V640" i="1" s="1"/>
  <c r="B641" i="1"/>
  <c r="D641" i="1"/>
  <c r="H641" i="1"/>
  <c r="F641" i="1" s="1" a="1"/>
  <c r="F641" i="1" s="1"/>
  <c r="Q641" i="1"/>
  <c r="T641" i="1" s="1"/>
  <c r="W641" i="1" s="1"/>
  <c r="S641" i="1"/>
  <c r="V641" i="1" s="1" a="1"/>
  <c r="V641" i="1" s="1"/>
  <c r="B642" i="1"/>
  <c r="D642" i="1"/>
  <c r="H642" i="1"/>
  <c r="F642" i="1" s="1" a="1"/>
  <c r="F642" i="1" s="1"/>
  <c r="Q642" i="1"/>
  <c r="T642" i="1" s="1"/>
  <c r="W642" i="1" s="1"/>
  <c r="S642" i="1"/>
  <c r="V642" i="1" s="1" a="1"/>
  <c r="V642" i="1" s="1"/>
  <c r="B643" i="1"/>
  <c r="D643" i="1"/>
  <c r="H643" i="1"/>
  <c r="F643" i="1" s="1" a="1"/>
  <c r="F643" i="1" s="1"/>
  <c r="Q643" i="1"/>
  <c r="T643" i="1" s="1"/>
  <c r="W643" i="1" s="1"/>
  <c r="S643" i="1"/>
  <c r="V643" i="1" s="1" a="1"/>
  <c r="V643" i="1" s="1"/>
  <c r="B644" i="1"/>
  <c r="D644" i="1"/>
  <c r="H644" i="1"/>
  <c r="F644" i="1" s="1" a="1"/>
  <c r="F644" i="1" s="1"/>
  <c r="Q644" i="1"/>
  <c r="T644" i="1" s="1"/>
  <c r="W644" i="1" s="1"/>
  <c r="S644" i="1"/>
  <c r="V644" i="1" a="1"/>
  <c r="V644" i="1" s="1"/>
  <c r="B645" i="1"/>
  <c r="D645" i="1"/>
  <c r="H645" i="1"/>
  <c r="F645" i="1" s="1" a="1"/>
  <c r="F645" i="1" s="1"/>
  <c r="Q645" i="1"/>
  <c r="T645" i="1" s="1"/>
  <c r="W645" i="1" s="1"/>
  <c r="S645" i="1"/>
  <c r="V645" i="1" s="1" a="1"/>
  <c r="V645" i="1" s="1"/>
  <c r="B646" i="1"/>
  <c r="D646" i="1"/>
  <c r="H646" i="1"/>
  <c r="F646" i="1" s="1" a="1"/>
  <c r="F646" i="1" s="1"/>
  <c r="Q646" i="1"/>
  <c r="T646" i="1" s="1"/>
  <c r="W646" i="1" s="1"/>
  <c r="S646" i="1"/>
  <c r="V646" i="1" s="1" a="1"/>
  <c r="V646" i="1" s="1"/>
  <c r="B647" i="1"/>
  <c r="D647" i="1"/>
  <c r="H647" i="1"/>
  <c r="F647" i="1" s="1" a="1"/>
  <c r="F647" i="1" s="1"/>
  <c r="Q647" i="1"/>
  <c r="S647" i="1"/>
  <c r="B648" i="1"/>
  <c r="D648" i="1"/>
  <c r="H648" i="1"/>
  <c r="F648" i="1" s="1" a="1"/>
  <c r="F648" i="1" s="1"/>
  <c r="Q648" i="1"/>
  <c r="S648" i="1"/>
  <c r="B649" i="1"/>
  <c r="D649" i="1"/>
  <c r="H649" i="1"/>
  <c r="F649" i="1" s="1" a="1"/>
  <c r="F649" i="1" s="1"/>
  <c r="Q649" i="1"/>
  <c r="S649" i="1"/>
  <c r="B650" i="1"/>
  <c r="D650" i="1"/>
  <c r="H650" i="1"/>
  <c r="F650" i="1" s="1" a="1"/>
  <c r="F650" i="1" s="1"/>
  <c r="Q650" i="1"/>
  <c r="S650" i="1"/>
  <c r="B651" i="1"/>
  <c r="D651" i="1"/>
  <c r="H651" i="1"/>
  <c r="F651" i="1" s="1" a="1"/>
  <c r="F651" i="1" s="1"/>
  <c r="Q651" i="1"/>
  <c r="S651" i="1"/>
  <c r="B652" i="1"/>
  <c r="D652" i="1"/>
  <c r="H652" i="1"/>
  <c r="F652" i="1" s="1" a="1"/>
  <c r="F652" i="1" s="1"/>
  <c r="Q652" i="1"/>
  <c r="S652" i="1"/>
  <c r="B653" i="1"/>
  <c r="D653" i="1"/>
  <c r="H653" i="1"/>
  <c r="F653" i="1" s="1" a="1"/>
  <c r="F653" i="1" s="1"/>
  <c r="Q653" i="1"/>
  <c r="S653" i="1"/>
  <c r="B654" i="1"/>
  <c r="D654" i="1"/>
  <c r="H654" i="1"/>
  <c r="F654" i="1" s="1" a="1"/>
  <c r="F654" i="1" s="1"/>
  <c r="Q654" i="1"/>
  <c r="S654" i="1"/>
  <c r="B655" i="1"/>
  <c r="D655" i="1"/>
  <c r="H655" i="1"/>
  <c r="F655" i="1" s="1" a="1"/>
  <c r="F655" i="1" s="1"/>
  <c r="Q655" i="1"/>
  <c r="S655" i="1"/>
  <c r="B656" i="1"/>
  <c r="D656" i="1"/>
  <c r="H656" i="1"/>
  <c r="F656" i="1" s="1" a="1"/>
  <c r="F656" i="1" s="1"/>
  <c r="Q656" i="1"/>
  <c r="S656" i="1"/>
  <c r="B657" i="1"/>
  <c r="D657" i="1"/>
  <c r="H657" i="1"/>
  <c r="F657" i="1" s="1" a="1"/>
  <c r="F657" i="1" s="1"/>
  <c r="Q657" i="1"/>
  <c r="S657" i="1"/>
  <c r="B658" i="1"/>
  <c r="D658" i="1"/>
  <c r="H658" i="1"/>
  <c r="F658" i="1" s="1" a="1"/>
  <c r="F658" i="1" s="1"/>
  <c r="Q658" i="1"/>
  <c r="S658" i="1"/>
  <c r="B659" i="1"/>
  <c r="D659" i="1"/>
  <c r="H659" i="1"/>
  <c r="F659" i="1" s="1" a="1"/>
  <c r="F659" i="1" s="1"/>
  <c r="Q659" i="1"/>
  <c r="S659" i="1"/>
  <c r="B660" i="1"/>
  <c r="D660" i="1"/>
  <c r="H660" i="1"/>
  <c r="F660" i="1" s="1" a="1"/>
  <c r="F660" i="1" s="1"/>
  <c r="Q660" i="1"/>
  <c r="S660" i="1"/>
  <c r="B661" i="1"/>
  <c r="D661" i="1"/>
  <c r="H661" i="1"/>
  <c r="F661" i="1" s="1" a="1"/>
  <c r="F661" i="1" s="1"/>
  <c r="Q661" i="1"/>
  <c r="S661" i="1"/>
  <c r="B662" i="1"/>
  <c r="D662" i="1"/>
  <c r="H662" i="1"/>
  <c r="F662" i="1" s="1" a="1"/>
  <c r="F662" i="1" s="1"/>
  <c r="Q662" i="1"/>
  <c r="S662" i="1"/>
  <c r="B663" i="1"/>
  <c r="D663" i="1"/>
  <c r="H663" i="1"/>
  <c r="F663" i="1" s="1" a="1"/>
  <c r="F663" i="1" s="1"/>
  <c r="Q663" i="1"/>
  <c r="S663" i="1"/>
  <c r="B664" i="1"/>
  <c r="D664" i="1"/>
  <c r="H664" i="1"/>
  <c r="F664" i="1" s="1" a="1"/>
  <c r="F664" i="1" s="1"/>
  <c r="Q664" i="1"/>
  <c r="S664" i="1"/>
  <c r="B665" i="1"/>
  <c r="D665" i="1"/>
  <c r="H665" i="1"/>
  <c r="F665" i="1" s="1" a="1"/>
  <c r="F665" i="1" s="1"/>
  <c r="Q665" i="1"/>
  <c r="S665" i="1"/>
  <c r="B666" i="1"/>
  <c r="D666" i="1"/>
  <c r="H666" i="1"/>
  <c r="F666" i="1" s="1" a="1"/>
  <c r="F666" i="1" s="1"/>
  <c r="Q666" i="1"/>
  <c r="S666" i="1"/>
  <c r="B667" i="1"/>
  <c r="D667" i="1"/>
  <c r="H667" i="1"/>
  <c r="F667" i="1" s="1" a="1"/>
  <c r="F667" i="1" s="1"/>
  <c r="Q667" i="1"/>
  <c r="S667" i="1"/>
  <c r="B668" i="1"/>
  <c r="D668" i="1"/>
  <c r="H668" i="1"/>
  <c r="F668" i="1" s="1" a="1"/>
  <c r="F668" i="1" s="1"/>
  <c r="Q668" i="1"/>
  <c r="S668" i="1"/>
  <c r="B669" i="1"/>
  <c r="D669" i="1"/>
  <c r="H669" i="1"/>
  <c r="F669" i="1" s="1" a="1"/>
  <c r="F669" i="1" s="1"/>
  <c r="Q669" i="1"/>
  <c r="S669" i="1"/>
  <c r="B670" i="1"/>
  <c r="D670" i="1"/>
  <c r="H670" i="1"/>
  <c r="F670" i="1" s="1" a="1"/>
  <c r="F670" i="1" s="1"/>
  <c r="Q670" i="1"/>
  <c r="S670" i="1"/>
  <c r="B671" i="1"/>
  <c r="D671" i="1"/>
  <c r="H671" i="1"/>
  <c r="F671" i="1" s="1" a="1"/>
  <c r="F671" i="1" s="1"/>
  <c r="Q671" i="1"/>
  <c r="S671" i="1"/>
  <c r="B672" i="1"/>
  <c r="D672" i="1"/>
  <c r="H672" i="1"/>
  <c r="F672" i="1" s="1" a="1"/>
  <c r="F672" i="1" s="1"/>
  <c r="Q672" i="1"/>
  <c r="S672" i="1"/>
  <c r="B673" i="1"/>
  <c r="D673" i="1"/>
  <c r="H673" i="1"/>
  <c r="F673" i="1" s="1" a="1"/>
  <c r="F673" i="1" s="1"/>
  <c r="Q673" i="1"/>
  <c r="S673" i="1"/>
  <c r="B674" i="1"/>
  <c r="D674" i="1"/>
  <c r="H674" i="1"/>
  <c r="F674" i="1" s="1" a="1"/>
  <c r="F674" i="1" s="1"/>
  <c r="Q674" i="1"/>
  <c r="S674" i="1"/>
  <c r="B675" i="1"/>
  <c r="D675" i="1"/>
  <c r="H675" i="1"/>
  <c r="F675" i="1" s="1" a="1"/>
  <c r="F675" i="1" s="1"/>
  <c r="Q675" i="1"/>
  <c r="S675" i="1"/>
  <c r="B676" i="1"/>
  <c r="D676" i="1"/>
  <c r="H676" i="1"/>
  <c r="F676" i="1" s="1" a="1"/>
  <c r="F676" i="1" s="1"/>
  <c r="Q676" i="1"/>
  <c r="S676" i="1"/>
  <c r="B677" i="1"/>
  <c r="D677" i="1"/>
  <c r="H677" i="1"/>
  <c r="F677" i="1" s="1" a="1"/>
  <c r="F677" i="1" s="1"/>
  <c r="Q677" i="1"/>
  <c r="S677" i="1"/>
  <c r="B678" i="1"/>
  <c r="D678" i="1"/>
  <c r="H678" i="1"/>
  <c r="F678" i="1" s="1" a="1"/>
  <c r="F678" i="1" s="1"/>
  <c r="Q678" i="1"/>
  <c r="S678" i="1"/>
  <c r="B679" i="1"/>
  <c r="D679" i="1"/>
  <c r="H679" i="1"/>
  <c r="F679" i="1" s="1" a="1"/>
  <c r="F679" i="1" s="1"/>
  <c r="Q679" i="1"/>
  <c r="S679" i="1"/>
  <c r="B680" i="1"/>
  <c r="D680" i="1"/>
  <c r="H680" i="1"/>
  <c r="F680" i="1" s="1" a="1"/>
  <c r="F680" i="1" s="1"/>
  <c r="Q680" i="1"/>
  <c r="S680" i="1"/>
  <c r="B681" i="1"/>
  <c r="D681" i="1"/>
  <c r="H681" i="1"/>
  <c r="F681" i="1" s="1" a="1"/>
  <c r="F681" i="1" s="1"/>
  <c r="Q681" i="1"/>
  <c r="S681" i="1"/>
  <c r="B682" i="1"/>
  <c r="D682" i="1"/>
  <c r="H682" i="1"/>
  <c r="F682" i="1" s="1" a="1"/>
  <c r="F682" i="1" s="1"/>
  <c r="Q682" i="1"/>
  <c r="S682" i="1"/>
  <c r="B683" i="1"/>
  <c r="D683" i="1"/>
  <c r="H683" i="1"/>
  <c r="F683" i="1" s="1" a="1"/>
  <c r="F683" i="1" s="1"/>
  <c r="Q683" i="1"/>
  <c r="S683" i="1"/>
  <c r="B684" i="1"/>
  <c r="D684" i="1"/>
  <c r="H684" i="1"/>
  <c r="F684" i="1" s="1" a="1"/>
  <c r="F684" i="1" s="1"/>
  <c r="Q684" i="1"/>
  <c r="S684" i="1"/>
  <c r="B685" i="1"/>
  <c r="D685" i="1"/>
  <c r="H685" i="1"/>
  <c r="F685" i="1" s="1" a="1"/>
  <c r="F685" i="1" s="1"/>
  <c r="Q685" i="1"/>
  <c r="S685" i="1"/>
  <c r="B686" i="1"/>
  <c r="D686" i="1"/>
  <c r="H686" i="1"/>
  <c r="F686" i="1" s="1" a="1"/>
  <c r="F686" i="1" s="1"/>
  <c r="Q686" i="1"/>
  <c r="S686" i="1"/>
  <c r="B687" i="1"/>
  <c r="D687" i="1"/>
  <c r="H687" i="1"/>
  <c r="F687" i="1" s="1" a="1"/>
  <c r="F687" i="1" s="1"/>
  <c r="Q687" i="1"/>
  <c r="S687" i="1"/>
  <c r="B688" i="1"/>
  <c r="D688" i="1"/>
  <c r="H688" i="1"/>
  <c r="F688" i="1" s="1" a="1"/>
  <c r="F688" i="1" s="1"/>
  <c r="Q688" i="1"/>
  <c r="S688" i="1"/>
  <c r="B689" i="1"/>
  <c r="D689" i="1"/>
  <c r="H689" i="1"/>
  <c r="F689" i="1" s="1" a="1"/>
  <c r="F689" i="1" s="1"/>
  <c r="Q689" i="1"/>
  <c r="S689" i="1"/>
  <c r="B690" i="1"/>
  <c r="D690" i="1"/>
  <c r="H690" i="1"/>
  <c r="F690" i="1" s="1" a="1"/>
  <c r="F690" i="1" s="1"/>
  <c r="Q690" i="1"/>
  <c r="S690" i="1"/>
  <c r="B691" i="1"/>
  <c r="D691" i="1"/>
  <c r="H691" i="1"/>
  <c r="F691" i="1" s="1" a="1"/>
  <c r="F691" i="1" s="1"/>
  <c r="Q691" i="1"/>
  <c r="S691" i="1"/>
  <c r="B692" i="1"/>
  <c r="D692" i="1"/>
  <c r="H692" i="1"/>
  <c r="F692" i="1" s="1" a="1"/>
  <c r="F692" i="1" s="1"/>
  <c r="Q692" i="1"/>
  <c r="S692" i="1"/>
  <c r="B693" i="1"/>
  <c r="D693" i="1"/>
  <c r="H693" i="1"/>
  <c r="F693" i="1" s="1" a="1"/>
  <c r="F693" i="1" s="1"/>
  <c r="Q693" i="1"/>
  <c r="S693" i="1"/>
  <c r="B694" i="1"/>
  <c r="D694" i="1"/>
  <c r="H694" i="1"/>
  <c r="F694" i="1" s="1" a="1"/>
  <c r="F694" i="1" s="1"/>
  <c r="Q694" i="1"/>
  <c r="S694" i="1"/>
  <c r="B695" i="1"/>
  <c r="D695" i="1"/>
  <c r="H695" i="1"/>
  <c r="F695" i="1" s="1" a="1"/>
  <c r="F695" i="1" s="1"/>
  <c r="Q695" i="1"/>
  <c r="S695" i="1"/>
  <c r="B696" i="1"/>
  <c r="D696" i="1"/>
  <c r="H696" i="1"/>
  <c r="F696" i="1" s="1" a="1"/>
  <c r="F696" i="1" s="1"/>
  <c r="Q696" i="1"/>
  <c r="S696" i="1"/>
  <c r="B697" i="1"/>
  <c r="D697" i="1"/>
  <c r="H697" i="1"/>
  <c r="F697" i="1" s="1" a="1"/>
  <c r="F697" i="1" s="1"/>
  <c r="Q697" i="1"/>
  <c r="S697" i="1"/>
  <c r="B698" i="1"/>
  <c r="D698" i="1"/>
  <c r="H698" i="1"/>
  <c r="F698" i="1" s="1" a="1"/>
  <c r="F698" i="1" s="1"/>
  <c r="Q698" i="1"/>
  <c r="S698" i="1"/>
  <c r="B699" i="1"/>
  <c r="D699" i="1"/>
  <c r="H699" i="1"/>
  <c r="F699" i="1" s="1" a="1"/>
  <c r="F699" i="1" s="1"/>
  <c r="Q699" i="1"/>
  <c r="S699" i="1"/>
  <c r="B700" i="1"/>
  <c r="D700" i="1"/>
  <c r="H700" i="1"/>
  <c r="F700" i="1" s="1" a="1"/>
  <c r="F700" i="1" s="1"/>
  <c r="Q700" i="1"/>
  <c r="S700" i="1"/>
  <c r="B701" i="1"/>
  <c r="D701" i="1"/>
  <c r="H701" i="1"/>
  <c r="F701" i="1" s="1" a="1"/>
  <c r="F701" i="1" s="1"/>
  <c r="Q701" i="1"/>
  <c r="S701" i="1"/>
  <c r="B702" i="1"/>
  <c r="D702" i="1"/>
  <c r="H702" i="1"/>
  <c r="F702" i="1" s="1" a="1"/>
  <c r="F702" i="1" s="1"/>
  <c r="Q702" i="1"/>
  <c r="S702" i="1"/>
  <c r="B703" i="1"/>
  <c r="D703" i="1"/>
  <c r="H703" i="1"/>
  <c r="F703" i="1" s="1" a="1"/>
  <c r="F703" i="1" s="1"/>
  <c r="Q703" i="1"/>
  <c r="S703" i="1"/>
  <c r="B704" i="1"/>
  <c r="D704" i="1"/>
  <c r="H704" i="1"/>
  <c r="F704" i="1" s="1" a="1"/>
  <c r="F704" i="1" s="1"/>
  <c r="Q704" i="1"/>
  <c r="S704" i="1"/>
  <c r="B705" i="1"/>
  <c r="D705" i="1"/>
  <c r="H705" i="1"/>
  <c r="F705" i="1" s="1" a="1"/>
  <c r="F705" i="1" s="1"/>
  <c r="Q705" i="1"/>
  <c r="S705" i="1"/>
  <c r="B706" i="1"/>
  <c r="D706" i="1"/>
  <c r="H706" i="1"/>
  <c r="F706" i="1" s="1" a="1"/>
  <c r="F706" i="1" s="1"/>
  <c r="Q706" i="1"/>
  <c r="S706" i="1"/>
  <c r="B707" i="1"/>
  <c r="D707" i="1"/>
  <c r="H707" i="1"/>
  <c r="F707" i="1" s="1" a="1"/>
  <c r="F707" i="1" s="1"/>
  <c r="Q707" i="1"/>
  <c r="S707" i="1"/>
  <c r="B708" i="1"/>
  <c r="D708" i="1"/>
  <c r="H708" i="1"/>
  <c r="F708" i="1" s="1" a="1"/>
  <c r="F708" i="1" s="1"/>
  <c r="Q708" i="1"/>
  <c r="S708" i="1"/>
  <c r="B709" i="1"/>
  <c r="D709" i="1"/>
  <c r="H709" i="1"/>
  <c r="F709" i="1" s="1" a="1"/>
  <c r="F709" i="1" s="1"/>
  <c r="Q709" i="1"/>
  <c r="S709" i="1"/>
  <c r="B710" i="1"/>
  <c r="D710" i="1"/>
  <c r="H710" i="1"/>
  <c r="F710" i="1" s="1" a="1"/>
  <c r="F710" i="1" s="1"/>
  <c r="Q710" i="1"/>
  <c r="S710" i="1"/>
  <c r="B711" i="1"/>
  <c r="D711" i="1"/>
  <c r="H711" i="1"/>
  <c r="F711" i="1" s="1" a="1"/>
  <c r="F711" i="1" s="1"/>
  <c r="Q711" i="1"/>
  <c r="S711" i="1"/>
  <c r="B712" i="1"/>
  <c r="D712" i="1"/>
  <c r="H712" i="1"/>
  <c r="F712" i="1" s="1" a="1"/>
  <c r="F712" i="1" s="1"/>
  <c r="Q712" i="1"/>
  <c r="S712" i="1"/>
  <c r="B713" i="1"/>
  <c r="D713" i="1"/>
  <c r="H713" i="1"/>
  <c r="F713" i="1" s="1" a="1"/>
  <c r="F713" i="1" s="1"/>
  <c r="Q713" i="1"/>
  <c r="S713" i="1"/>
  <c r="B714" i="1"/>
  <c r="D714" i="1"/>
  <c r="H714" i="1"/>
  <c r="F714" i="1" s="1" a="1"/>
  <c r="F714" i="1" s="1"/>
  <c r="Q714" i="1"/>
  <c r="S714" i="1"/>
  <c r="B715" i="1"/>
  <c r="D715" i="1"/>
  <c r="H715" i="1"/>
  <c r="F715" i="1" s="1" a="1"/>
  <c r="F715" i="1" s="1"/>
  <c r="Q715" i="1"/>
  <c r="S715" i="1"/>
  <c r="B716" i="1"/>
  <c r="D716" i="1"/>
  <c r="H716" i="1"/>
  <c r="F716" i="1" s="1" a="1"/>
  <c r="F716" i="1" s="1"/>
  <c r="Q716" i="1"/>
  <c r="S716" i="1"/>
  <c r="B717" i="1"/>
  <c r="D717" i="1"/>
  <c r="H717" i="1"/>
  <c r="F717" i="1" s="1" a="1"/>
  <c r="F717" i="1" s="1"/>
  <c r="Q717" i="1"/>
  <c r="S717" i="1"/>
  <c r="B718" i="1"/>
  <c r="D718" i="1"/>
  <c r="H718" i="1"/>
  <c r="F718" i="1" s="1" a="1"/>
  <c r="F718" i="1" s="1"/>
  <c r="Q718" i="1"/>
  <c r="S718" i="1"/>
  <c r="B719" i="1"/>
  <c r="D719" i="1"/>
  <c r="H719" i="1"/>
  <c r="F719" i="1" s="1" a="1"/>
  <c r="F719" i="1" s="1"/>
  <c r="Q719" i="1"/>
  <c r="S719" i="1"/>
  <c r="B720" i="1"/>
  <c r="D720" i="1"/>
  <c r="H720" i="1"/>
  <c r="F720" i="1" s="1" a="1"/>
  <c r="F720" i="1" s="1"/>
  <c r="Q720" i="1"/>
  <c r="S720" i="1"/>
  <c r="B721" i="1"/>
  <c r="D721" i="1"/>
  <c r="H721" i="1"/>
  <c r="F721" i="1" s="1" a="1"/>
  <c r="F721" i="1" s="1"/>
  <c r="Q721" i="1"/>
  <c r="S721" i="1"/>
  <c r="B722" i="1"/>
  <c r="D722" i="1"/>
  <c r="H722" i="1"/>
  <c r="F722" i="1" s="1" a="1"/>
  <c r="F722" i="1" s="1"/>
  <c r="Q722" i="1"/>
  <c r="S722" i="1"/>
  <c r="B723" i="1"/>
  <c r="D723" i="1"/>
  <c r="H723" i="1"/>
  <c r="F723" i="1" s="1" a="1"/>
  <c r="F723" i="1" s="1"/>
  <c r="Q723" i="1"/>
  <c r="S723" i="1"/>
  <c r="B724" i="1"/>
  <c r="D724" i="1"/>
  <c r="H724" i="1"/>
  <c r="F724" i="1" s="1" a="1"/>
  <c r="F724" i="1" s="1"/>
  <c r="Q724" i="1"/>
  <c r="S724" i="1"/>
  <c r="B725" i="1"/>
  <c r="D725" i="1"/>
  <c r="H725" i="1"/>
  <c r="F725" i="1" s="1" a="1"/>
  <c r="F725" i="1" s="1"/>
  <c r="Q725" i="1"/>
  <c r="S725" i="1"/>
  <c r="B726" i="1"/>
  <c r="D726" i="1"/>
  <c r="H726" i="1"/>
  <c r="F726" i="1" s="1" a="1"/>
  <c r="F726" i="1" s="1"/>
  <c r="Q726" i="1"/>
  <c r="S726" i="1"/>
  <c r="B727" i="1"/>
  <c r="D727" i="1"/>
  <c r="H727" i="1"/>
  <c r="F727" i="1" s="1" a="1"/>
  <c r="F727" i="1" s="1"/>
  <c r="Q727" i="1"/>
  <c r="S727" i="1"/>
  <c r="P728" i="1"/>
  <c r="M3" i="3"/>
  <c r="B4" i="3"/>
  <c r="G4" i="3"/>
  <c r="M4" i="3"/>
  <c r="N4" i="3"/>
  <c r="O10" i="3" s="1"/>
  <c r="B5" i="3"/>
  <c r="G5" i="3"/>
  <c r="M5" i="3"/>
  <c r="D5" i="3" s="1"/>
  <c r="N5" i="3"/>
  <c r="O5" i="3"/>
  <c r="B6" i="3"/>
  <c r="G6" i="3"/>
  <c r="M6" i="3"/>
  <c r="C6" i="3" s="1"/>
  <c r="N6" i="3"/>
  <c r="O6" i="3"/>
  <c r="B7" i="3"/>
  <c r="G7" i="3"/>
  <c r="M7" i="3"/>
  <c r="D7" i="3" s="1"/>
  <c r="N7" i="3"/>
  <c r="O7" i="3"/>
  <c r="B8" i="3"/>
  <c r="G8" i="3"/>
  <c r="M8" i="3"/>
  <c r="C8" i="3" s="1"/>
  <c r="N8" i="3"/>
  <c r="O8" i="3"/>
  <c r="B9" i="3"/>
  <c r="G9" i="3"/>
  <c r="M9" i="3"/>
  <c r="D9" i="3" s="1"/>
  <c r="N9" i="3"/>
  <c r="O9" i="3"/>
  <c r="B10" i="3"/>
  <c r="G10" i="3"/>
  <c r="M10" i="3"/>
  <c r="N10" i="3"/>
  <c r="B11" i="3"/>
  <c r="G11" i="3"/>
  <c r="M11" i="3"/>
  <c r="N11" i="3"/>
  <c r="O11" i="3"/>
  <c r="B12" i="3"/>
  <c r="G12" i="3"/>
  <c r="M12" i="3"/>
  <c r="N12" i="3"/>
  <c r="B13" i="3"/>
  <c r="G13" i="3"/>
  <c r="M13" i="3"/>
  <c r="D13" i="3" s="1"/>
  <c r="N13" i="3"/>
  <c r="O13" i="3"/>
  <c r="B14" i="3"/>
  <c r="G14" i="3"/>
  <c r="M14" i="3"/>
  <c r="N14" i="3"/>
  <c r="B15" i="3"/>
  <c r="G15" i="3"/>
  <c r="M15" i="3"/>
  <c r="C15" i="3" s="1"/>
  <c r="N15" i="3"/>
  <c r="O15" i="3"/>
  <c r="B16" i="3"/>
  <c r="G16" i="3"/>
  <c r="M16" i="3"/>
  <c r="N16" i="3"/>
  <c r="B17" i="3"/>
  <c r="G17" i="3"/>
  <c r="M17" i="3"/>
  <c r="N17" i="3"/>
  <c r="O17" i="3"/>
  <c r="B18" i="3"/>
  <c r="G18" i="3"/>
  <c r="M18" i="3"/>
  <c r="N18" i="3"/>
  <c r="B19" i="3"/>
  <c r="G19" i="3"/>
  <c r="M19" i="3"/>
  <c r="N19" i="3"/>
  <c r="O19" i="3"/>
  <c r="B20" i="3"/>
  <c r="G20" i="3"/>
  <c r="M20" i="3"/>
  <c r="N20" i="3"/>
  <c r="B21" i="3"/>
  <c r="G21" i="3"/>
  <c r="M21" i="3"/>
  <c r="N21" i="3"/>
  <c r="O21" i="3"/>
  <c r="B22" i="3"/>
  <c r="G22" i="3"/>
  <c r="M22" i="3"/>
  <c r="N22" i="3"/>
  <c r="B23" i="3"/>
  <c r="G23" i="3"/>
  <c r="M23" i="3"/>
  <c r="N23" i="3"/>
  <c r="O23" i="3"/>
  <c r="B24" i="3"/>
  <c r="G24" i="3"/>
  <c r="M24" i="3"/>
  <c r="N24" i="3"/>
  <c r="B25" i="3"/>
  <c r="G25" i="3"/>
  <c r="M25" i="3"/>
  <c r="D25" i="3" s="1"/>
  <c r="N25" i="3"/>
  <c r="O25" i="3"/>
  <c r="B26" i="3"/>
  <c r="G26" i="3"/>
  <c r="M26" i="3"/>
  <c r="N26" i="3"/>
  <c r="B27" i="3"/>
  <c r="G27" i="3"/>
  <c r="M27" i="3"/>
  <c r="N27" i="3"/>
  <c r="O27" i="3"/>
  <c r="B28" i="3"/>
  <c r="G28" i="3"/>
  <c r="M28" i="3"/>
  <c r="N28" i="3"/>
  <c r="B29" i="3"/>
  <c r="G29" i="3"/>
  <c r="M29" i="3"/>
  <c r="N29" i="3"/>
  <c r="O29" i="3"/>
  <c r="B30" i="3"/>
  <c r="G30" i="3"/>
  <c r="M30" i="3"/>
  <c r="N30" i="3"/>
  <c r="O30" i="3"/>
  <c r="B31" i="3"/>
  <c r="G31" i="3"/>
  <c r="M31" i="3"/>
  <c r="D31" i="3" s="1"/>
  <c r="N31" i="3"/>
  <c r="P31" i="3" s="1"/>
  <c r="O31" i="3"/>
  <c r="B32" i="3"/>
  <c r="G32" i="3"/>
  <c r="M32" i="3"/>
  <c r="C32" i="3" s="1"/>
  <c r="N32" i="3"/>
  <c r="M33" i="3"/>
  <c r="N33" i="3"/>
  <c r="M34" i="3"/>
  <c r="N34" i="3"/>
  <c r="M35" i="3"/>
  <c r="N35" i="3"/>
  <c r="C3" i="2"/>
  <c r="D3" i="2"/>
  <c r="E3" i="2"/>
  <c r="F3" i="2"/>
  <c r="D4" i="2"/>
  <c r="E4" i="2"/>
  <c r="C5" i="2"/>
  <c r="D5" i="2"/>
  <c r="E5" i="2"/>
  <c r="D6" i="2"/>
  <c r="E6" i="2"/>
  <c r="C7" i="2"/>
  <c r="D7" i="2"/>
  <c r="E7" i="2"/>
  <c r="D8" i="2"/>
  <c r="E8" i="2"/>
  <c r="F8" i="2" s="1"/>
  <c r="C9" i="2"/>
  <c r="D9" i="2"/>
  <c r="E9" i="2"/>
  <c r="F9" i="2" s="1"/>
  <c r="D10" i="2"/>
  <c r="E10" i="2"/>
  <c r="F10" i="2"/>
  <c r="C11" i="2"/>
  <c r="D11" i="2"/>
  <c r="E11" i="2"/>
  <c r="F11" i="2"/>
  <c r="D12" i="2"/>
  <c r="E12" i="2"/>
  <c r="C13" i="2"/>
  <c r="D13" i="2"/>
  <c r="E13" i="2"/>
  <c r="D14" i="2"/>
  <c r="E14" i="2"/>
  <c r="C15" i="2"/>
  <c r="D15" i="2"/>
  <c r="E15" i="2"/>
  <c r="D16" i="2"/>
  <c r="E16" i="2"/>
  <c r="F16" i="2" s="1"/>
  <c r="C17" i="2"/>
  <c r="D17" i="2"/>
  <c r="E17" i="2"/>
  <c r="F17" i="2" s="1"/>
  <c r="D18" i="2"/>
  <c r="E18" i="2"/>
  <c r="F18" i="2"/>
  <c r="S19" i="2"/>
  <c r="T19" i="2"/>
  <c r="U19" i="2"/>
  <c r="V19" i="2"/>
  <c r="W19" i="2"/>
  <c r="X19" i="2"/>
  <c r="Z19" i="2"/>
  <c r="S20" i="2"/>
  <c r="T20" i="2"/>
  <c r="U20" i="2"/>
  <c r="V20" i="2"/>
  <c r="W20" i="2"/>
  <c r="X20" i="2"/>
  <c r="Z20" i="2"/>
  <c r="C21" i="2"/>
  <c r="E21" i="2"/>
  <c r="S21" i="2"/>
  <c r="T21" i="2"/>
  <c r="U21" i="2"/>
  <c r="V21" i="2"/>
  <c r="W21" i="2"/>
  <c r="X21" i="2"/>
  <c r="Y21" i="2"/>
  <c r="Z21" i="2"/>
  <c r="S24" i="2"/>
  <c r="T24" i="2"/>
  <c r="U24" i="2"/>
  <c r="V24" i="2"/>
  <c r="W24" i="2"/>
  <c r="X24" i="2"/>
  <c r="Z24" i="2"/>
  <c r="S25" i="2"/>
  <c r="T25" i="2"/>
  <c r="U25" i="2"/>
  <c r="V25" i="2"/>
  <c r="W25" i="2"/>
  <c r="X25" i="2"/>
  <c r="S26" i="2"/>
  <c r="T26" i="2"/>
  <c r="W26" i="2"/>
  <c r="X26" i="2"/>
  <c r="S29" i="2"/>
  <c r="T29" i="2"/>
  <c r="U29" i="2"/>
  <c r="V29" i="2"/>
  <c r="W29" i="2"/>
  <c r="X29" i="2"/>
  <c r="Z29" i="2"/>
  <c r="S30" i="2"/>
  <c r="T30" i="2"/>
  <c r="U30" i="2"/>
  <c r="V30" i="2"/>
  <c r="W30" i="2"/>
  <c r="X30" i="2"/>
  <c r="Y30" i="2"/>
  <c r="Z30" i="2"/>
  <c r="S31" i="2"/>
  <c r="T31" i="2"/>
  <c r="U31" i="2"/>
  <c r="V31" i="2"/>
  <c r="W31" i="2"/>
  <c r="X31" i="2"/>
  <c r="Y31" i="2"/>
  <c r="Z31" i="2"/>
  <c r="S34" i="2"/>
  <c r="T34" i="2"/>
  <c r="U34" i="2"/>
  <c r="V34" i="2"/>
  <c r="W34" i="2"/>
  <c r="X34" i="2"/>
  <c r="Z34" i="2"/>
  <c r="S35" i="2"/>
  <c r="T35" i="2"/>
  <c r="U35" i="2"/>
  <c r="V35" i="2"/>
  <c r="W35" i="2"/>
  <c r="X35" i="2"/>
  <c r="S36" i="2"/>
  <c r="T36" i="2"/>
  <c r="W36" i="2"/>
  <c r="X36" i="2"/>
  <c r="W5" i="3"/>
  <c r="W6" i="3"/>
  <c r="W7" i="3"/>
  <c r="W8" i="3"/>
  <c r="Z35" i="2" l="1"/>
  <c r="V36" i="2"/>
  <c r="U36" i="2"/>
  <c r="Z36" i="2" s="1"/>
  <c r="Z25" i="2"/>
  <c r="V26" i="2"/>
  <c r="U26" i="2"/>
  <c r="Z26" i="2" s="1"/>
  <c r="F15" i="2"/>
  <c r="F14" i="2"/>
  <c r="F13" i="2"/>
  <c r="F12" i="2"/>
  <c r="E19" i="2"/>
  <c r="F7" i="2"/>
  <c r="F6" i="2"/>
  <c r="D19" i="2"/>
  <c r="C19" i="2"/>
  <c r="F4" i="2"/>
  <c r="F21" i="2" s="1"/>
  <c r="P30" i="3"/>
  <c r="C30" i="3"/>
  <c r="D30" i="3"/>
  <c r="E30" i="3"/>
  <c r="P28" i="3"/>
  <c r="C28" i="3"/>
  <c r="D28" i="3"/>
  <c r="E28" i="3"/>
  <c r="C27" i="3"/>
  <c r="E27" i="3"/>
  <c r="P26" i="3"/>
  <c r="E26" i="3"/>
  <c r="D26" i="3"/>
  <c r="C24" i="3"/>
  <c r="D24" i="3"/>
  <c r="E24" i="3"/>
  <c r="C23" i="3"/>
  <c r="E23" i="3"/>
  <c r="P22" i="3"/>
  <c r="E22" i="3"/>
  <c r="D22" i="3"/>
  <c r="D21" i="3"/>
  <c r="E21" i="3"/>
  <c r="P20" i="3"/>
  <c r="C20" i="3"/>
  <c r="D20" i="3"/>
  <c r="E20" i="3"/>
  <c r="P18" i="3"/>
  <c r="E18" i="3"/>
  <c r="D18" i="3"/>
  <c r="D17" i="3"/>
  <c r="C17" i="3"/>
  <c r="E17" i="3"/>
  <c r="P16" i="3"/>
  <c r="C16" i="3"/>
  <c r="D16" i="3"/>
  <c r="E16" i="3"/>
  <c r="P14" i="3"/>
  <c r="E14" i="3"/>
  <c r="D14" i="3"/>
  <c r="P12" i="3"/>
  <c r="C12" i="3"/>
  <c r="D12" i="3"/>
  <c r="E12" i="3"/>
  <c r="C11" i="3"/>
  <c r="E11" i="3"/>
  <c r="P10" i="3"/>
  <c r="E10" i="3"/>
  <c r="D10" i="3"/>
  <c r="C4" i="3"/>
  <c r="E4" i="3"/>
  <c r="C31" i="3"/>
  <c r="P29" i="3"/>
  <c r="D29" i="3"/>
  <c r="P24" i="3"/>
  <c r="D19" i="3"/>
  <c r="P19" i="3"/>
  <c r="P17" i="3"/>
  <c r="P4" i="3"/>
  <c r="T635" i="1"/>
  <c r="W635" i="1" s="1"/>
  <c r="U635" i="1"/>
  <c r="T627" i="1"/>
  <c r="W627" i="1" s="1"/>
  <c r="U627" i="1"/>
  <c r="T619" i="1"/>
  <c r="W619" i="1" s="1"/>
  <c r="U619" i="1"/>
  <c r="T611" i="1"/>
  <c r="W611" i="1" s="1"/>
  <c r="U611" i="1"/>
  <c r="T599" i="1"/>
  <c r="W599" i="1" s="1"/>
  <c r="U599" i="1"/>
  <c r="T591" i="1"/>
  <c r="W591" i="1" s="1"/>
  <c r="U591" i="1"/>
  <c r="T579" i="1"/>
  <c r="W579" i="1" s="1"/>
  <c r="U579" i="1"/>
  <c r="T571" i="1"/>
  <c r="W571" i="1" s="1"/>
  <c r="U571" i="1"/>
  <c r="D21" i="2"/>
  <c r="F5" i="2"/>
  <c r="F19" i="2" s="1"/>
  <c r="D20" i="2" s="1"/>
  <c r="E32" i="3"/>
  <c r="E25" i="3"/>
  <c r="D23" i="3"/>
  <c r="P23" i="3"/>
  <c r="P21" i="3"/>
  <c r="C21" i="3"/>
  <c r="E15" i="3"/>
  <c r="E9" i="3"/>
  <c r="E8" i="3"/>
  <c r="E7" i="3"/>
  <c r="E6" i="3"/>
  <c r="E5" i="3"/>
  <c r="T631" i="1"/>
  <c r="W631" i="1" s="1"/>
  <c r="U631" i="1"/>
  <c r="T623" i="1"/>
  <c r="W623" i="1" s="1"/>
  <c r="U623" i="1"/>
  <c r="T615" i="1"/>
  <c r="W615" i="1" s="1"/>
  <c r="U615" i="1"/>
  <c r="T607" i="1"/>
  <c r="W607" i="1" s="1"/>
  <c r="U607" i="1"/>
  <c r="T603" i="1"/>
  <c r="W603" i="1" s="1"/>
  <c r="U603" i="1"/>
  <c r="T595" i="1"/>
  <c r="W595" i="1" s="1"/>
  <c r="U595" i="1"/>
  <c r="T587" i="1"/>
  <c r="W587" i="1" s="1"/>
  <c r="U587" i="1"/>
  <c r="T563" i="1"/>
  <c r="W563" i="1" s="1"/>
  <c r="U563" i="1"/>
  <c r="D32" i="3"/>
  <c r="E31" i="3"/>
  <c r="E29" i="3"/>
  <c r="D27" i="3"/>
  <c r="P27" i="3"/>
  <c r="P25" i="3"/>
  <c r="C25" i="3"/>
  <c r="E19" i="3"/>
  <c r="E13" i="3"/>
  <c r="D11" i="3"/>
  <c r="P11" i="3"/>
  <c r="P9" i="3"/>
  <c r="C9" i="3"/>
  <c r="P7" i="3"/>
  <c r="C7" i="3"/>
  <c r="P5" i="3"/>
  <c r="C5" i="3"/>
  <c r="T583" i="1"/>
  <c r="W583" i="1" s="1"/>
  <c r="U583" i="1"/>
  <c r="T575" i="1"/>
  <c r="W575" i="1" s="1"/>
  <c r="U575" i="1"/>
  <c r="T567" i="1"/>
  <c r="W567" i="1" s="1"/>
  <c r="U567" i="1"/>
  <c r="T559" i="1"/>
  <c r="W559" i="1" s="1"/>
  <c r="U559" i="1"/>
  <c r="T329" i="1"/>
  <c r="W329" i="1" s="1"/>
  <c r="U329" i="1"/>
  <c r="T313" i="1"/>
  <c r="W313" i="1" s="1"/>
  <c r="U313" i="1"/>
  <c r="C29" i="3"/>
  <c r="C19" i="3"/>
  <c r="D15" i="3"/>
  <c r="P15" i="3"/>
  <c r="P13" i="3"/>
  <c r="C13" i="3"/>
  <c r="D8" i="3"/>
  <c r="P8" i="3"/>
  <c r="D6" i="3"/>
  <c r="P6" i="3"/>
  <c r="U279" i="1"/>
  <c r="T279" i="1"/>
  <c r="W279" i="1" s="1"/>
  <c r="T23" i="1"/>
  <c r="W23" i="1" s="1"/>
  <c r="U23" i="1"/>
  <c r="T15" i="1"/>
  <c r="W15" i="1" s="1"/>
  <c r="U15" i="1"/>
  <c r="T7" i="1"/>
  <c r="W7" i="1" s="1"/>
  <c r="U7" i="1"/>
  <c r="O28" i="3"/>
  <c r="C26" i="3"/>
  <c r="O24" i="3"/>
  <c r="C22" i="3"/>
  <c r="O20" i="3"/>
  <c r="C18" i="3"/>
  <c r="O16" i="3"/>
  <c r="C14" i="3"/>
  <c r="O12" i="3"/>
  <c r="C10" i="3"/>
  <c r="O4" i="3"/>
  <c r="T333" i="1"/>
  <c r="W333" i="1" s="1"/>
  <c r="U333" i="1"/>
  <c r="T317" i="1"/>
  <c r="W317" i="1" s="1"/>
  <c r="U317" i="1"/>
  <c r="D4" i="3"/>
  <c r="Q728" i="1"/>
  <c r="U646" i="1"/>
  <c r="U645" i="1"/>
  <c r="U644" i="1"/>
  <c r="U643" i="1"/>
  <c r="U642" i="1"/>
  <c r="U641" i="1"/>
  <c r="U640" i="1"/>
  <c r="U639" i="1"/>
  <c r="U638" i="1"/>
  <c r="U637" i="1"/>
  <c r="U636" i="1"/>
  <c r="U632" i="1"/>
  <c r="U628" i="1"/>
  <c r="U624" i="1"/>
  <c r="U620" i="1"/>
  <c r="U616" i="1"/>
  <c r="U612" i="1"/>
  <c r="U608" i="1"/>
  <c r="U604" i="1"/>
  <c r="U600" i="1"/>
  <c r="U596" i="1"/>
  <c r="U592" i="1"/>
  <c r="U588" i="1"/>
  <c r="U584" i="1"/>
  <c r="U580" i="1"/>
  <c r="U576" i="1"/>
  <c r="U572" i="1"/>
  <c r="U568" i="1"/>
  <c r="U564" i="1"/>
  <c r="U560" i="1"/>
  <c r="T337" i="1"/>
  <c r="W337" i="1" s="1"/>
  <c r="U337" i="1"/>
  <c r="T321" i="1"/>
  <c r="W321" i="1" s="1"/>
  <c r="U321" i="1"/>
  <c r="O26" i="3"/>
  <c r="O22" i="3"/>
  <c r="O18" i="3"/>
  <c r="O14" i="3"/>
  <c r="T325" i="1"/>
  <c r="W325" i="1" s="1"/>
  <c r="U325" i="1"/>
  <c r="T309" i="1"/>
  <c r="W309" i="1" s="1"/>
  <c r="U309" i="1"/>
  <c r="U263" i="1"/>
  <c r="T263" i="1"/>
  <c r="W263" i="1" s="1"/>
  <c r="U275" i="1"/>
  <c r="T275" i="1"/>
  <c r="W275" i="1" s="1"/>
  <c r="U259" i="1"/>
  <c r="T259" i="1"/>
  <c r="W259" i="1" s="1"/>
  <c r="U271" i="1"/>
  <c r="T271" i="1"/>
  <c r="W271" i="1" s="1"/>
  <c r="U255" i="1"/>
  <c r="T255" i="1"/>
  <c r="W255" i="1" s="1"/>
  <c r="U336" i="1"/>
  <c r="U332" i="1"/>
  <c r="U328" i="1"/>
  <c r="U324" i="1"/>
  <c r="U320" i="1"/>
  <c r="U316" i="1"/>
  <c r="U312" i="1"/>
  <c r="U308" i="1"/>
  <c r="U283" i="1"/>
  <c r="T283" i="1"/>
  <c r="W283" i="1" s="1"/>
  <c r="U267" i="1"/>
  <c r="T267" i="1"/>
  <c r="W267" i="1" s="1"/>
  <c r="T284" i="1"/>
  <c r="W284" i="1" s="1"/>
  <c r="T280" i="1"/>
  <c r="W280" i="1" s="1"/>
  <c r="T276" i="1"/>
  <c r="W276" i="1" s="1"/>
  <c r="T272" i="1"/>
  <c r="W272" i="1" s="1"/>
  <c r="T268" i="1"/>
  <c r="W268" i="1" s="1"/>
  <c r="T264" i="1"/>
  <c r="W264" i="1" s="1"/>
  <c r="T260" i="1"/>
  <c r="W260" i="1" s="1"/>
  <c r="T256" i="1"/>
  <c r="W256" i="1" s="1"/>
  <c r="T150" i="1"/>
  <c r="W150" i="1" s="1"/>
  <c r="U150" i="1"/>
  <c r="T146" i="1"/>
  <c r="W146" i="1" s="1"/>
  <c r="U146" i="1"/>
  <c r="T142" i="1"/>
  <c r="W142" i="1" s="1"/>
  <c r="U142" i="1"/>
  <c r="T151" i="1"/>
  <c r="W151" i="1" s="1"/>
  <c r="U151" i="1"/>
  <c r="T147" i="1"/>
  <c r="W147" i="1" s="1"/>
  <c r="U147" i="1"/>
  <c r="T143" i="1"/>
  <c r="W143" i="1" s="1"/>
  <c r="U143" i="1"/>
  <c r="T109" i="1"/>
  <c r="W109" i="1" s="1"/>
  <c r="U109" i="1"/>
  <c r="T108" i="1"/>
  <c r="W108" i="1" s="1"/>
  <c r="U108" i="1"/>
  <c r="T107" i="1"/>
  <c r="W107" i="1" s="1"/>
  <c r="U107" i="1"/>
  <c r="T106" i="1"/>
  <c r="W106" i="1" s="1"/>
  <c r="U106" i="1"/>
  <c r="T105" i="1"/>
  <c r="W105" i="1" s="1"/>
  <c r="U105" i="1"/>
  <c r="T104" i="1"/>
  <c r="W104" i="1" s="1"/>
  <c r="U104" i="1"/>
  <c r="T103" i="1"/>
  <c r="W103" i="1" s="1"/>
  <c r="U103" i="1"/>
  <c r="T102" i="1"/>
  <c r="W102" i="1" s="1"/>
  <c r="U102" i="1"/>
  <c r="T101" i="1"/>
  <c r="W101" i="1" s="1"/>
  <c r="U101" i="1"/>
  <c r="T100" i="1"/>
  <c r="W100" i="1" s="1"/>
  <c r="U100" i="1"/>
  <c r="T99" i="1"/>
  <c r="W99" i="1" s="1"/>
  <c r="U99" i="1"/>
  <c r="T98" i="1"/>
  <c r="W98" i="1" s="1"/>
  <c r="U98" i="1"/>
  <c r="T97" i="1"/>
  <c r="W97" i="1" s="1"/>
  <c r="U97" i="1"/>
  <c r="T96" i="1"/>
  <c r="W96" i="1" s="1"/>
  <c r="U96" i="1"/>
  <c r="T95" i="1"/>
  <c r="W95" i="1" s="1"/>
  <c r="U95" i="1"/>
  <c r="T94" i="1"/>
  <c r="W94" i="1" s="1"/>
  <c r="U94" i="1"/>
  <c r="T93" i="1"/>
  <c r="W93" i="1" s="1"/>
  <c r="U93" i="1"/>
  <c r="T76" i="1"/>
  <c r="W76" i="1" s="1"/>
  <c r="U76" i="1"/>
  <c r="T77" i="1"/>
  <c r="W77" i="1" s="1"/>
  <c r="U77" i="1"/>
  <c r="T73" i="1"/>
  <c r="W73" i="1" s="1"/>
  <c r="U73" i="1"/>
  <c r="T72" i="1"/>
  <c r="W72" i="1" s="1"/>
  <c r="U72" i="1"/>
  <c r="T71" i="1"/>
  <c r="W71" i="1" s="1"/>
  <c r="U71" i="1"/>
  <c r="T70" i="1"/>
  <c r="W70" i="1" s="1"/>
  <c r="U70" i="1"/>
  <c r="T69" i="1"/>
  <c r="W69" i="1" s="1"/>
  <c r="U69" i="1"/>
  <c r="T68" i="1"/>
  <c r="W68" i="1" s="1"/>
  <c r="U68" i="1"/>
  <c r="T67" i="1"/>
  <c r="W67" i="1" s="1"/>
  <c r="U67" i="1"/>
  <c r="T66" i="1"/>
  <c r="W66" i="1" s="1"/>
  <c r="U66" i="1"/>
  <c r="T65" i="1"/>
  <c r="W65" i="1" s="1"/>
  <c r="U65" i="1"/>
  <c r="T64" i="1"/>
  <c r="W64" i="1" s="1"/>
  <c r="U64" i="1"/>
  <c r="T63" i="1"/>
  <c r="W63" i="1" s="1"/>
  <c r="U63" i="1"/>
  <c r="T62" i="1"/>
  <c r="W62" i="1" s="1"/>
  <c r="U62" i="1"/>
  <c r="T61" i="1"/>
  <c r="W61" i="1" s="1"/>
  <c r="U61" i="1"/>
  <c r="T60" i="1"/>
  <c r="W60" i="1" s="1"/>
  <c r="U60" i="1"/>
  <c r="T59" i="1"/>
  <c r="W59" i="1" s="1"/>
  <c r="U59" i="1"/>
  <c r="T58" i="1"/>
  <c r="W58" i="1" s="1"/>
  <c r="U58" i="1"/>
  <c r="T57" i="1"/>
  <c r="W57" i="1" s="1"/>
  <c r="U57" i="1"/>
  <c r="T56" i="1"/>
  <c r="W56" i="1" s="1"/>
  <c r="U56" i="1"/>
  <c r="T55" i="1"/>
  <c r="W55" i="1" s="1"/>
  <c r="U55" i="1"/>
  <c r="T54" i="1"/>
  <c r="W54" i="1" s="1"/>
  <c r="U54" i="1"/>
  <c r="T3" i="1"/>
  <c r="W3" i="1" s="1"/>
  <c r="U3" i="1"/>
  <c r="T74" i="1"/>
  <c r="W74" i="1" s="1"/>
  <c r="U74" i="1"/>
  <c r="T27" i="1"/>
  <c r="W27" i="1" s="1"/>
  <c r="U27" i="1"/>
  <c r="T19" i="1"/>
  <c r="W19" i="1" s="1"/>
  <c r="U19" i="1"/>
  <c r="T11" i="1"/>
  <c r="W11" i="1" s="1"/>
  <c r="U11" i="1"/>
  <c r="T75" i="1"/>
  <c r="W75" i="1" s="1"/>
  <c r="U75" i="1"/>
  <c r="U28" i="1"/>
  <c r="U24" i="1"/>
  <c r="U20" i="1"/>
  <c r="U16" i="1"/>
  <c r="U12" i="1"/>
  <c r="U8" i="1"/>
  <c r="U4" i="1"/>
  <c r="E20" i="2" l="1"/>
  <c r="C20" i="2"/>
</calcChain>
</file>

<file path=xl/sharedStrings.xml><?xml version="1.0" encoding="utf-8"?>
<sst xmlns="http://schemas.openxmlformats.org/spreadsheetml/2006/main" count="1155" uniqueCount="114">
  <si>
    <t>Fecha de alta</t>
  </si>
  <si>
    <t>Enero</t>
  </si>
  <si>
    <t>Febrero</t>
  </si>
  <si>
    <t>Marzo</t>
  </si>
  <si>
    <t>Abril</t>
  </si>
  <si>
    <t>Mayo</t>
  </si>
  <si>
    <t>Junio</t>
  </si>
  <si>
    <t>Suma de ventas</t>
  </si>
  <si>
    <t>Meses facturados</t>
  </si>
  <si>
    <t>% de deuda</t>
  </si>
  <si>
    <t>Categoría</t>
  </si>
  <si>
    <t>.</t>
  </si>
  <si>
    <t>Total</t>
  </si>
  <si>
    <t>Saldo abril</t>
  </si>
  <si>
    <t>Saldo Mayo</t>
  </si>
  <si>
    <t>Saldo enero</t>
  </si>
  <si>
    <t>Saldo marzo</t>
  </si>
  <si>
    <t>Saldo febrero</t>
  </si>
  <si>
    <t>Saldo Junio</t>
  </si>
  <si>
    <t>Mes</t>
  </si>
  <si>
    <t>Total general</t>
  </si>
  <si>
    <t>Alta sin facturar</t>
  </si>
  <si>
    <t>Cliente</t>
  </si>
  <si>
    <t>Cliente nuevo</t>
  </si>
  <si>
    <t>Cuenta de Categoría</t>
  </si>
  <si>
    <t>Suma de Suma de ventas</t>
  </si>
  <si>
    <t>Categoría de pago</t>
  </si>
  <si>
    <t>Sin pago</t>
  </si>
  <si>
    <t>Ha pagado</t>
  </si>
  <si>
    <t>(Varios elementos)</t>
  </si>
  <si>
    <t>Pago</t>
  </si>
  <si>
    <t>Yareli Flores</t>
  </si>
  <si>
    <t>Antonio Salazar</t>
  </si>
  <si>
    <t>Oscar Moreno</t>
  </si>
  <si>
    <t>Christian Castellanos</t>
  </si>
  <si>
    <t>Yuritzi Alejo</t>
  </si>
  <si>
    <t>Ricardo Vidal</t>
  </si>
  <si>
    <t>Noe Acevedo</t>
  </si>
  <si>
    <t>Diana Tejadilla</t>
  </si>
  <si>
    <t>Genaro Castro</t>
  </si>
  <si>
    <t>Blanca Montoya</t>
  </si>
  <si>
    <t>Sandra Escoto</t>
  </si>
  <si>
    <t>Giovanni Salas</t>
  </si>
  <si>
    <t>Carlos Guerra</t>
  </si>
  <si>
    <t>Total altas</t>
  </si>
  <si>
    <t>Total venta</t>
  </si>
  <si>
    <t>Han pagado</t>
  </si>
  <si>
    <t>Ejecutivo</t>
  </si>
  <si>
    <t>Alta sin facturar (%)</t>
  </si>
  <si>
    <t>Cliente nuevo (%)</t>
  </si>
  <si>
    <t>Cliente (%)</t>
  </si>
  <si>
    <t>Cliente nuevo
 (ha facturado)</t>
  </si>
  <si>
    <t>Cliente 
(3 facturas o +)</t>
  </si>
  <si>
    <t>Altas</t>
  </si>
  <si>
    <t>Etiquetas de columna</t>
  </si>
  <si>
    <t>Suma de Saldo Junio</t>
  </si>
  <si>
    <t>%</t>
  </si>
  <si>
    <t>Núm. De cliente</t>
  </si>
  <si>
    <t>Región</t>
  </si>
  <si>
    <t>Alfredo Almaráz</t>
  </si>
  <si>
    <t>Dolores Jiménez</t>
  </si>
  <si>
    <t>Dulce González</t>
  </si>
  <si>
    <t>Iván Luna</t>
  </si>
  <si>
    <t>Jose Carlos Orozco</t>
  </si>
  <si>
    <t>Julio César Trejo</t>
  </si>
  <si>
    <t>Karla Ángeles</t>
  </si>
  <si>
    <t>Marcos López</t>
  </si>
  <si>
    <t>Noemí Castillo</t>
  </si>
  <si>
    <t>Magallanes</t>
  </si>
  <si>
    <t xml:space="preserve"> </t>
  </si>
  <si>
    <t>Suma</t>
  </si>
  <si>
    <t>EJECUTIVOS</t>
  </si>
  <si>
    <t>REGIÓN</t>
  </si>
  <si>
    <t>Telemarketing</t>
  </si>
  <si>
    <t>Roger Gómez</t>
  </si>
  <si>
    <t>Yuriana Argüello</t>
  </si>
  <si>
    <t>Alondra Díaz</t>
  </si>
  <si>
    <t>-</t>
  </si>
  <si>
    <t>David Montañéz</t>
  </si>
  <si>
    <t>Cuenta de Núm. De cliente</t>
  </si>
  <si>
    <t>Activo/ Inactivo</t>
  </si>
  <si>
    <t>Facturado</t>
  </si>
  <si>
    <t>Mejor facturación</t>
  </si>
  <si>
    <t>Más altas</t>
  </si>
  <si>
    <t>Límite</t>
  </si>
  <si>
    <t>% Altas</t>
  </si>
  <si>
    <t>sin facturar</t>
  </si>
  <si>
    <t>Julio</t>
  </si>
  <si>
    <t>Estatus</t>
  </si>
  <si>
    <t>Rubí Rodríguez</t>
  </si>
  <si>
    <t>Alfredo Orta</t>
  </si>
  <si>
    <t>Saldo Julio</t>
  </si>
  <si>
    <t>Pagado a junio</t>
  </si>
  <si>
    <t>Saldo pdte. a junio</t>
  </si>
  <si>
    <t>Suma de venta</t>
  </si>
  <si>
    <t>Agosto</t>
  </si>
  <si>
    <t>BEST</t>
  </si>
  <si>
    <t>Miguel Romero</t>
  </si>
  <si>
    <t>Julio Trejo</t>
  </si>
  <si>
    <t>Best</t>
  </si>
  <si>
    <t>Cancelada</t>
  </si>
  <si>
    <t>Mostrador</t>
  </si>
  <si>
    <t>Leonard Lule</t>
  </si>
  <si>
    <t>Antonio Hernández</t>
  </si>
  <si>
    <t>Carlos Díaz</t>
  </si>
  <si>
    <t>Margarita González</t>
  </si>
  <si>
    <t>Recepción</t>
  </si>
  <si>
    <t>Centro</t>
  </si>
  <si>
    <t>Norte</t>
  </si>
  <si>
    <t>Sur</t>
  </si>
  <si>
    <t>Jesús Hernández</t>
  </si>
  <si>
    <t>PENDIENTE</t>
  </si>
  <si>
    <t>Róger Gómez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</si>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</sst>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164" formatCode="mmmm"/>
    <numFmt numFmtId="165" formatCode="0.0%"/>
    <numFmt numFmtId="166" formatCode="&quot;$&quot;#,##0.00"/>
    <numFmt numFmtId="167" formatCode="#,##0_ ;[Red]\-#,##0\ "/>
  </numFmts>
  <fonts count="16" x14ac:knownFonts="1">
    <font>
      <sz val="9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sz val="12"/>
      <name val="Congenial"/>
    </font>
    <font>
      <sz val="8"/>
      <name val="Segoe UI"/>
      <family val="2"/>
    </font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2"/>
      <color theme="1"/>
      <name val="Congenial"/>
    </font>
    <font>
      <b/>
      <sz val="11"/>
      <color theme="1"/>
      <name val="Congenial"/>
    </font>
    <font>
      <b/>
      <sz val="10"/>
      <color theme="1"/>
      <name val="Congenial"/>
    </font>
    <font>
      <sz val="12"/>
      <color rgb="FFFF0000"/>
      <name val="Congenial"/>
    </font>
    <font>
      <b/>
      <sz val="9"/>
      <color theme="7" tint="-0.249977111117893"/>
      <name val="Segoe UI"/>
      <family val="2"/>
    </font>
    <font>
      <sz val="9"/>
      <color theme="1"/>
      <name val="Segoe UI"/>
      <family val="2"/>
    </font>
    <font>
      <sz val="9"/>
      <color theme="7" tint="-0.249977111117893"/>
      <name val="Segoe UI"/>
      <family val="2"/>
    </font>
    <font>
      <b/>
      <sz val="11"/>
      <color theme="1"/>
      <name val="Calibri"/>
      <family val="2"/>
      <scheme val="minor"/>
    </font>
    <font>
      <sz val="9"/>
      <color rgb="FFFF0000"/>
      <name val="Segoe UI"/>
      <family val="2"/>
    </font>
  </fonts>
  <fills count="17">
    <fill>
      <patternFill patternType="none"/>
    </fill>
    <fill>
      <patternFill patternType="gray125"/>
    </fill>
    <fill>
      <patternFill patternType="lightDown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lightDown"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5">
    <xf numFmtId="0" fontId="0" fillId="0" borderId="0">
      <alignment vertical="center"/>
    </xf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2" fillId="0" borderId="0" applyFont="0" applyFill="0" applyBorder="0" applyAlignment="0" applyProtection="0"/>
  </cellStyleXfs>
  <cellXfs count="113">
    <xf numFmtId="0" fontId="0" fillId="0" borderId="0" xfId="0">
      <alignment vertical="center"/>
    </xf>
    <xf numFmtId="0" fontId="5" fillId="0" borderId="0" xfId="3"/>
    <xf numFmtId="8" fontId="0" fillId="0" borderId="0" xfId="2" applyNumberFormat="1" applyFont="1"/>
    <xf numFmtId="8" fontId="5" fillId="0" borderId="0" xfId="3" applyNumberFormat="1"/>
    <xf numFmtId="44" fontId="0" fillId="0" borderId="0" xfId="2" applyFont="1"/>
    <xf numFmtId="0" fontId="6" fillId="3" borderId="4" xfId="0" applyFont="1" applyFill="1" applyBorder="1">
      <alignment vertical="center"/>
    </xf>
    <xf numFmtId="14" fontId="5" fillId="0" borderId="0" xfId="3" applyNumberFormat="1"/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66" fontId="0" fillId="0" borderId="0" xfId="0" applyNumberFormat="1">
      <alignment vertical="center"/>
    </xf>
    <xf numFmtId="167" fontId="0" fillId="0" borderId="0" xfId="0" applyNumberFormat="1">
      <alignment vertical="center"/>
    </xf>
    <xf numFmtId="0" fontId="7" fillId="3" borderId="0" xfId="0" applyFont="1" applyFill="1" applyAlignment="1">
      <alignment horizontal="center" vertical="center" wrapText="1"/>
    </xf>
    <xf numFmtId="8" fontId="3" fillId="4" borderId="1" xfId="0" applyNumberFormat="1" applyFont="1" applyFill="1" applyBorder="1" applyAlignment="1">
      <alignment horizontal="right" vertical="center"/>
    </xf>
    <xf numFmtId="8" fontId="3" fillId="5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8" fillId="3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8" fontId="9" fillId="3" borderId="1" xfId="0" applyNumberFormat="1" applyFont="1" applyFill="1" applyBorder="1" applyAlignment="1">
      <alignment horizontal="center" vertical="center"/>
    </xf>
    <xf numFmtId="8" fontId="9" fillId="3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7" fillId="8" borderId="0" xfId="0" applyFont="1" applyFill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right" vertical="center"/>
    </xf>
    <xf numFmtId="0" fontId="3" fillId="6" borderId="0" xfId="0" applyFont="1" applyFill="1">
      <alignment vertical="center"/>
    </xf>
    <xf numFmtId="0" fontId="7" fillId="7" borderId="0" xfId="0" applyFont="1" applyFill="1">
      <alignment vertical="center"/>
    </xf>
    <xf numFmtId="0" fontId="8" fillId="7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6" fontId="8" fillId="7" borderId="1" xfId="0" applyNumberFormat="1" applyFont="1" applyFill="1" applyBorder="1" applyAlignment="1">
      <alignment horizontal="right" vertical="center"/>
    </xf>
    <xf numFmtId="166" fontId="7" fillId="8" borderId="0" xfId="0" applyNumberFormat="1" applyFont="1" applyFill="1">
      <alignment vertical="center"/>
    </xf>
    <xf numFmtId="166" fontId="7" fillId="8" borderId="1" xfId="0" applyNumberFormat="1" applyFont="1" applyFill="1" applyBorder="1" applyAlignment="1">
      <alignment horizontal="right" vertical="center"/>
    </xf>
    <xf numFmtId="166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1" fillId="9" borderId="5" xfId="0" applyFont="1" applyFill="1" applyBorder="1">
      <alignment vertical="center"/>
    </xf>
    <xf numFmtId="165" fontId="11" fillId="10" borderId="6" xfId="4" applyNumberFormat="1" applyFont="1" applyFill="1" applyBorder="1" applyAlignment="1">
      <alignment vertical="center"/>
    </xf>
    <xf numFmtId="165" fontId="11" fillId="9" borderId="6" xfId="4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9" fontId="11" fillId="10" borderId="6" xfId="4" applyFont="1" applyFill="1" applyBorder="1" applyAlignment="1">
      <alignment horizontal="center" vertical="center"/>
    </xf>
    <xf numFmtId="9" fontId="11" fillId="10" borderId="7" xfId="4" applyFont="1" applyFill="1" applyBorder="1" applyAlignment="1">
      <alignment horizontal="center" vertical="center"/>
    </xf>
    <xf numFmtId="9" fontId="11" fillId="9" borderId="6" xfId="4" applyFont="1" applyFill="1" applyBorder="1" applyAlignment="1">
      <alignment horizontal="center" vertical="center"/>
    </xf>
    <xf numFmtId="9" fontId="11" fillId="9" borderId="7" xfId="4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right" vertical="center"/>
    </xf>
    <xf numFmtId="8" fontId="3" fillId="11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8" fontId="0" fillId="0" borderId="0" xfId="0" applyNumberFormat="1">
      <alignment vertical="center"/>
    </xf>
    <xf numFmtId="8" fontId="1" fillId="0" borderId="0" xfId="0" applyNumberFormat="1" applyFont="1">
      <alignment vertical="center"/>
    </xf>
    <xf numFmtId="8" fontId="6" fillId="3" borderId="8" xfId="0" applyNumberFormat="1" applyFont="1" applyFill="1" applyBorder="1">
      <alignment vertical="center"/>
    </xf>
    <xf numFmtId="8" fontId="1" fillId="0" borderId="0" xfId="2" applyNumberFormat="1" applyFont="1"/>
    <xf numFmtId="9" fontId="7" fillId="3" borderId="1" xfId="4" applyFont="1" applyFill="1" applyBorder="1" applyAlignment="1">
      <alignment horizontal="right" vertical="center"/>
    </xf>
    <xf numFmtId="9" fontId="7" fillId="3" borderId="1" xfId="4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64" fontId="12" fillId="0" borderId="0" xfId="3" applyNumberFormat="1" applyFont="1"/>
    <xf numFmtId="8" fontId="12" fillId="0" borderId="0" xfId="3" applyNumberFormat="1" applyFont="1"/>
    <xf numFmtId="165" fontId="12" fillId="0" borderId="0" xfId="4" applyNumberFormat="1" applyFont="1"/>
    <xf numFmtId="0" fontId="0" fillId="0" borderId="0" xfId="0" applyAlignment="1"/>
    <xf numFmtId="0" fontId="1" fillId="12" borderId="3" xfId="0" applyFont="1" applyFill="1" applyBorder="1" applyAlignment="1">
      <alignment horizontal="center" vertical="center" wrapText="1"/>
    </xf>
    <xf numFmtId="0" fontId="1" fillId="12" borderId="3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14" fontId="5" fillId="0" borderId="0" xfId="3" applyNumberFormat="1" applyFont="1"/>
    <xf numFmtId="0" fontId="5" fillId="13" borderId="0" xfId="3" applyFill="1"/>
    <xf numFmtId="166" fontId="1" fillId="0" borderId="0" xfId="0" applyNumberFormat="1" applyFont="1" applyAlignment="1">
      <alignment horizontal="right" vertical="center"/>
    </xf>
    <xf numFmtId="0" fontId="11" fillId="10" borderId="9" xfId="0" applyFont="1" applyFill="1" applyBorder="1">
      <alignment vertical="center"/>
    </xf>
    <xf numFmtId="0" fontId="0" fillId="14" borderId="0" xfId="0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166" fontId="1" fillId="14" borderId="0" xfId="0" applyNumberFormat="1" applyFont="1" applyFill="1" applyAlignment="1">
      <alignment horizontal="right" vertical="center"/>
    </xf>
    <xf numFmtId="0" fontId="1" fillId="15" borderId="0" xfId="0" applyFont="1" applyFill="1">
      <alignment vertical="center"/>
    </xf>
    <xf numFmtId="0" fontId="1" fillId="16" borderId="0" xfId="0" applyFont="1" applyFill="1">
      <alignment vertical="center"/>
    </xf>
    <xf numFmtId="0" fontId="11" fillId="10" borderId="2" xfId="0" applyFont="1" applyFill="1" applyBorder="1">
      <alignment vertical="center"/>
    </xf>
    <xf numFmtId="0" fontId="11" fillId="10" borderId="0" xfId="0" applyFont="1" applyFill="1" applyAlignment="1">
      <alignment horizontal="center" vertical="center"/>
    </xf>
    <xf numFmtId="166" fontId="11" fillId="9" borderId="0" xfId="0" applyNumberFormat="1" applyFont="1" applyFill="1" applyAlignment="1">
      <alignment horizontal="right" vertical="center"/>
    </xf>
    <xf numFmtId="166" fontId="11" fillId="10" borderId="0" xfId="0" applyNumberFormat="1" applyFont="1" applyFill="1" applyAlignment="1">
      <alignment horizontal="right" vertical="center"/>
    </xf>
    <xf numFmtId="14" fontId="0" fillId="0" borderId="0" xfId="0" applyNumberFormat="1">
      <alignment vertical="center"/>
    </xf>
    <xf numFmtId="0" fontId="11" fillId="10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13" fillId="10" borderId="2" xfId="4" applyFont="1" applyFill="1" applyBorder="1" applyAlignment="1">
      <alignment horizontal="center" vertical="center"/>
    </xf>
    <xf numFmtId="9" fontId="13" fillId="9" borderId="2" xfId="4" applyFont="1" applyFill="1" applyBorder="1" applyAlignment="1">
      <alignment horizontal="center" vertical="center"/>
    </xf>
    <xf numFmtId="9" fontId="0" fillId="0" borderId="0" xfId="4" applyFont="1" applyAlignment="1">
      <alignment vertical="center"/>
    </xf>
    <xf numFmtId="14" fontId="5" fillId="0" borderId="0" xfId="3" applyNumberFormat="1" applyFont="1"/>
    <xf numFmtId="164" fontId="5" fillId="0" borderId="0" xfId="3" applyNumberFormat="1"/>
    <xf numFmtId="8" fontId="14" fillId="0" borderId="0" xfId="3" applyNumberFormat="1" applyFont="1"/>
    <xf numFmtId="166" fontId="0" fillId="0" borderId="0" xfId="2" applyNumberFormat="1" applyFont="1"/>
    <xf numFmtId="166" fontId="15" fillId="0" borderId="0" xfId="2" applyNumberFormat="1" applyFont="1"/>
    <xf numFmtId="166" fontId="5" fillId="0" borderId="0" xfId="3" applyNumberFormat="1"/>
    <xf numFmtId="0" fontId="12" fillId="0" borderId="0" xfId="3" applyFont="1"/>
    <xf numFmtId="0" fontId="14" fillId="0" borderId="0" xfId="3" applyFont="1"/>
    <xf numFmtId="165" fontId="14" fillId="0" borderId="0" xfId="4" applyNumberFormat="1" applyFont="1"/>
    <xf numFmtId="164" fontId="12" fillId="0" borderId="0" xfId="0" applyNumberFormat="1" applyFont="1" applyAlignment="1"/>
    <xf numFmtId="44" fontId="0" fillId="0" borderId="0" xfId="0" applyNumberFormat="1">
      <alignment vertical="center"/>
    </xf>
    <xf numFmtId="165" fontId="5" fillId="0" borderId="0" xfId="4" applyNumberFormat="1" applyFont="1"/>
    <xf numFmtId="10" fontId="5" fillId="0" borderId="0" xfId="4" applyNumberFormat="1" applyFont="1"/>
    <xf numFmtId="0" fontId="11" fillId="9" borderId="0" xfId="0" applyFont="1" applyFill="1" applyAlignment="1">
      <alignment horizontal="center" vertical="center"/>
    </xf>
    <xf numFmtId="3" fontId="0" fillId="0" borderId="0" xfId="0" applyNumberFormat="1">
      <alignment vertical="center"/>
    </xf>
    <xf numFmtId="0" fontId="14" fillId="0" borderId="0" xfId="3" applyFont="1" applyAlignment="1">
      <alignment vertical="center" wrapText="1"/>
    </xf>
    <xf numFmtId="44" fontId="1" fillId="0" borderId="0" xfId="2" applyFont="1" applyAlignment="1">
      <alignment vertical="center" wrapText="1"/>
    </xf>
    <xf numFmtId="16" fontId="5" fillId="0" borderId="0" xfId="3" applyNumberFormat="1"/>
    <xf numFmtId="14" fontId="5" fillId="0" borderId="0" xfId="0" applyNumberFormat="1" applyFont="1" applyAlignment="1"/>
    <xf numFmtId="0" fontId="5" fillId="0" borderId="0" xfId="0" applyFont="1" applyAlignment="1"/>
    <xf numFmtId="14" fontId="5" fillId="0" borderId="0" xfId="3" applyNumberFormat="1" applyFont="1"/>
    <xf numFmtId="0" fontId="0" fillId="0" borderId="0" xfId="3" applyFont="1"/>
    <xf numFmtId="8" fontId="0" fillId="0" borderId="0" xfId="2" applyNumberFormat="1" applyFont="1" applyAlignment="1">
      <alignment vertical="center"/>
    </xf>
    <xf numFmtId="166" fontId="0" fillId="0" borderId="0" xfId="2" applyNumberFormat="1" applyFont="1" applyAlignment="1">
      <alignment vertical="center"/>
    </xf>
    <xf numFmtId="8" fontId="1" fillId="0" borderId="0" xfId="2" applyNumberFormat="1" applyFont="1" applyAlignment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</cellXfs>
  <cellStyles count="5">
    <cellStyle name="Moneda" xfId="1" builtinId="4"/>
    <cellStyle name="Moneda 2" xfId="2" xr:uid="{E9AC64DF-6A2E-420D-B6C5-565BF2BFA022}"/>
    <cellStyle name="Normal" xfId="0" builtinId="0"/>
    <cellStyle name="Normal 2" xfId="3" xr:uid="{8CB70164-F4AA-4E83-9B75-F27D93167EA2}"/>
    <cellStyle name="Porcentaje" xfId="4" builtinId="5"/>
  </cellStyles>
  <dxfs count="78">
    <dxf>
      <font>
        <color rgb="FF9C0006"/>
      </font>
    </dxf>
    <dxf>
      <font>
        <color theme="0"/>
      </font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34" formatCode="_-&quot;$&quot;* #,##0.00_-;\-&quot;$&quot;* #,##0.00_-;_-&quot;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4" formatCode="mm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4" formatCode="m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dd/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166" formatCode="&quot;$&quot;#,##0.00"/>
    </dxf>
    <dxf>
      <numFmt numFmtId="166" formatCode="&quot;$&quot;#,##0.00"/>
    </dxf>
    <dxf>
      <numFmt numFmtId="0" formatCode="General"/>
    </dxf>
    <dxf>
      <numFmt numFmtId="0" formatCode="General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right"/>
    </dxf>
    <dxf>
      <numFmt numFmtId="166" formatCode="&quot;$&quot;#,##0.00"/>
    </dxf>
    <dxf>
      <alignment horizontal="right"/>
    </dxf>
    <dxf>
      <numFmt numFmtId="166" formatCode="&quot;$&quot;#,##0.00"/>
    </dxf>
    <dxf>
      <alignment horizontal="center"/>
    </dxf>
    <dxf>
      <font>
        <b/>
      </font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center"/>
    </dxf>
    <dxf>
      <font>
        <b/>
      </font>
    </dxf>
    <dxf>
      <font>
        <b/>
      </font>
    </dxf>
    <dxf>
      <alignment horizontal="center"/>
    </dxf>
    <dxf>
      <font>
        <b/>
      </font>
      <alignment horizontal="center"/>
    </dxf>
    <dxf>
      <alignment horizontal="general" vertical="center" textRotation="0" wrapText="0" indent="0" justifyLastLine="0" shrinkToFit="0" readingOrder="0"/>
    </dxf>
    <dxf>
      <alignment horizontal="center"/>
    </dxf>
    <dxf>
      <font>
        <b/>
      </font>
    </dxf>
    <dxf>
      <alignment horizontal="center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>
                <a:solidFill>
                  <a:sysClr val="windowText" lastClr="000000"/>
                </a:solidFill>
              </a:rPr>
              <a:t>Facturación acumulada y Altas 2022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1881838074398249E-2"/>
          <c:y val="4.6296296296296294E-2"/>
          <c:w val="0.95988329686360319"/>
          <c:h val="0.8416746864975212"/>
        </c:manualLayout>
      </c:layout>
      <c:lineChart>
        <c:grouping val="standard"/>
        <c:varyColors val="0"/>
        <c:ser>
          <c:idx val="1"/>
          <c:order val="1"/>
          <c:tx>
            <c:v>Altas en 2022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9085283831049E-3"/>
                  <c:y val="-2.5204081632653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DB-414C-AC3E-4E60BCC54A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Datos!$AG$6:$AG$13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Datos!$AK$6:$AK$13</c:f>
              <c:numCache>
                <c:formatCode>General</c:formatCode>
                <c:ptCount val="8"/>
                <c:pt idx="0">
                  <c:v>132</c:v>
                </c:pt>
                <c:pt idx="1">
                  <c:v>79</c:v>
                </c:pt>
                <c:pt idx="2">
                  <c:v>94</c:v>
                </c:pt>
                <c:pt idx="3">
                  <c:v>76</c:v>
                </c:pt>
                <c:pt idx="4">
                  <c:v>77</c:v>
                </c:pt>
                <c:pt idx="5">
                  <c:v>101</c:v>
                </c:pt>
                <c:pt idx="6">
                  <c:v>92</c:v>
                </c:pt>
                <c:pt idx="7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DB-414C-AC3E-4E60BCC54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563328"/>
        <c:axId val="1"/>
      </c:lineChart>
      <c:lineChart>
        <c:grouping val="standard"/>
        <c:varyColors val="0"/>
        <c:ser>
          <c:idx val="0"/>
          <c:order val="0"/>
          <c:tx>
            <c:v>Acumulado mensual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84740254925761E-2"/>
                  <c:y val="4.62244897959183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DB-414C-AC3E-4E60BCC54A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Datos!$AG$6:$AG$12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f>Datos!$AK$21:$AK$28</c:f>
              <c:numCache>
                <c:formatCode>"$"#,##0.00</c:formatCode>
                <c:ptCount val="8"/>
                <c:pt idx="0">
                  <c:v>4455730.5200000051</c:v>
                </c:pt>
                <c:pt idx="1">
                  <c:v>1062906.8399999996</c:v>
                </c:pt>
                <c:pt idx="2">
                  <c:v>1063635.32</c:v>
                </c:pt>
                <c:pt idx="3">
                  <c:v>1044391.3492000001</c:v>
                </c:pt>
                <c:pt idx="4">
                  <c:v>809896.92000000016</c:v>
                </c:pt>
                <c:pt idx="5">
                  <c:v>654291.04</c:v>
                </c:pt>
                <c:pt idx="6">
                  <c:v>251399.84000000005</c:v>
                </c:pt>
                <c:pt idx="7">
                  <c:v>24922.6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DB-414C-AC3E-4E60BCC54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37856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63328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&quot;$&quot;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2054032039098568"/>
          <c:y val="2.4693395580249751E-2"/>
          <c:w val="0.15439949316680246"/>
          <c:h val="0.12301305760579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bg1">
            <a:lumMod val="75000"/>
          </a:schemeClr>
        </a:gs>
        <a:gs pos="100000">
          <a:schemeClr val="bg1">
            <a:lumMod val="95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'Atlas y nueva venta'!$R$16</c:f>
          <c:strCache>
            <c:ptCount val="1"/>
            <c:pt idx="0">
              <c:v>Han pagado</c:v>
            </c:pt>
          </c:strCache>
        </c:strRef>
      </c:tx>
      <c:layout>
        <c:manualLayout>
          <c:xMode val="edge"/>
          <c:yMode val="edge"/>
          <c:x val="9.5562273693890448E-2"/>
          <c:y val="2.777788318628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Datos!$AG$36</c:f>
              <c:strCache>
                <c:ptCount val="1"/>
                <c:pt idx="0">
                  <c:v>Alta sin facturar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Datos!$AH$35:$AM$35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Datos!$AH$36:$AM$36</c:f>
              <c:numCache>
                <c:formatCode>#,##0</c:formatCode>
                <c:ptCount val="6"/>
                <c:pt idx="0">
                  <c:v>13</c:v>
                </c:pt>
                <c:pt idx="1">
                  <c:v>14</c:v>
                </c:pt>
                <c:pt idx="2">
                  <c:v>21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F-47E2-A3A3-E2B78E59B226}"/>
            </c:ext>
          </c:extLst>
        </c:ser>
        <c:ser>
          <c:idx val="1"/>
          <c:order val="1"/>
          <c:tx>
            <c:strRef>
              <c:f>Datos!$AG$37</c:f>
              <c:strCache>
                <c:ptCount val="1"/>
                <c:pt idx="0">
                  <c:v>Cliente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Datos!$AH$35:$AM$35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Datos!$AH$37:$AM$37</c:f>
              <c:numCache>
                <c:formatCode>#,##0</c:formatCode>
                <c:ptCount val="6"/>
                <c:pt idx="0">
                  <c:v>53</c:v>
                </c:pt>
                <c:pt idx="1">
                  <c:v>27</c:v>
                </c:pt>
                <c:pt idx="2">
                  <c:v>33</c:v>
                </c:pt>
                <c:pt idx="3">
                  <c:v>25</c:v>
                </c:pt>
                <c:pt idx="4">
                  <c:v>10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5F-47E2-A3A3-E2B78E59B226}"/>
            </c:ext>
          </c:extLst>
        </c:ser>
        <c:ser>
          <c:idx val="2"/>
          <c:order val="2"/>
          <c:tx>
            <c:strRef>
              <c:f>Datos!$AG$4</c:f>
              <c:strCache>
                <c:ptCount val="1"/>
                <c:pt idx="0">
                  <c:v>Altas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Datos!$AK$6:$AK$11</c:f>
              <c:numCache>
                <c:formatCode>General</c:formatCode>
                <c:ptCount val="6"/>
                <c:pt idx="0">
                  <c:v>132</c:v>
                </c:pt>
                <c:pt idx="1">
                  <c:v>79</c:v>
                </c:pt>
                <c:pt idx="2">
                  <c:v>94</c:v>
                </c:pt>
                <c:pt idx="3">
                  <c:v>76</c:v>
                </c:pt>
                <c:pt idx="4">
                  <c:v>77</c:v>
                </c:pt>
                <c:pt idx="5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5F-47E2-A3A3-E2B78E59B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567168"/>
        <c:axId val="1"/>
      </c:lineChart>
      <c:catAx>
        <c:axId val="37856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7856716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72103040404620955"/>
          <c:y val="4.2083293805141829E-2"/>
          <c:w val="0.27896959595379045"/>
          <c:h val="0.23090345634506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2444533040964814E-2"/>
          <c:y val="1.5782828282828284E-2"/>
          <c:w val="0.98249217581979453"/>
          <c:h val="0.65764311421299615"/>
        </c:manualLayout>
      </c:layout>
      <c:areaChart>
        <c:grouping val="standard"/>
        <c:varyColors val="0"/>
        <c:ser>
          <c:idx val="0"/>
          <c:order val="0"/>
          <c:tx>
            <c:v>Altas</c:v>
          </c:tx>
          <c:spPr>
            <a:solidFill>
              <a:schemeClr val="accent6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'Altas x ejecutivo'!$H$4:$H$31</c:f>
              <c:strCache>
                <c:ptCount val="28"/>
                <c:pt idx="0">
                  <c:v>Yareli Flores</c:v>
                </c:pt>
                <c:pt idx="1">
                  <c:v>Ricardo Vidal</c:v>
                </c:pt>
                <c:pt idx="2">
                  <c:v>Marcos López</c:v>
                </c:pt>
                <c:pt idx="3">
                  <c:v>Alfredo Almaráz</c:v>
                </c:pt>
                <c:pt idx="4">
                  <c:v>Miguel Romero</c:v>
                </c:pt>
                <c:pt idx="5">
                  <c:v>Genaro Castro</c:v>
                </c:pt>
                <c:pt idx="6">
                  <c:v>Christian Castellanos</c:v>
                </c:pt>
                <c:pt idx="7">
                  <c:v>Rubí Rodríguez</c:v>
                </c:pt>
                <c:pt idx="8">
                  <c:v>Dolores Jiménez</c:v>
                </c:pt>
                <c:pt idx="9">
                  <c:v>Iván Luna</c:v>
                </c:pt>
                <c:pt idx="10">
                  <c:v>Oscar Moreno</c:v>
                </c:pt>
                <c:pt idx="11">
                  <c:v>Diana Tejadilla</c:v>
                </c:pt>
                <c:pt idx="12">
                  <c:v>Yuritzi Alejo</c:v>
                </c:pt>
                <c:pt idx="13">
                  <c:v>Leonard Lule</c:v>
                </c:pt>
                <c:pt idx="14">
                  <c:v>Yuriana Argüello</c:v>
                </c:pt>
                <c:pt idx="15">
                  <c:v>Blanca Montoya</c:v>
                </c:pt>
                <c:pt idx="16">
                  <c:v>Sandra Escoto</c:v>
                </c:pt>
                <c:pt idx="17">
                  <c:v>Noemí Castillo</c:v>
                </c:pt>
                <c:pt idx="18">
                  <c:v>Julio César Trejo</c:v>
                </c:pt>
                <c:pt idx="19">
                  <c:v>Giovanni Salas</c:v>
                </c:pt>
                <c:pt idx="20">
                  <c:v>Jose Carlos Orozco</c:v>
                </c:pt>
                <c:pt idx="21">
                  <c:v>Antonio Salazar</c:v>
                </c:pt>
                <c:pt idx="22">
                  <c:v>Karla Ángeles</c:v>
                </c:pt>
                <c:pt idx="23">
                  <c:v>Dulce González</c:v>
                </c:pt>
                <c:pt idx="24">
                  <c:v>Roger Gómez</c:v>
                </c:pt>
                <c:pt idx="25">
                  <c:v>David Montañéz</c:v>
                </c:pt>
                <c:pt idx="26">
                  <c:v>Noe Acevedo</c:v>
                </c:pt>
                <c:pt idx="27">
                  <c:v>Antonio Hernández</c:v>
                </c:pt>
              </c:strCache>
            </c:strRef>
          </c:cat>
          <c:val>
            <c:numRef>
              <c:f>'Altas x ejecutivo'!$M$4:$M$31</c:f>
              <c:numCache>
                <c:formatCode>General</c:formatCode>
                <c:ptCount val="28"/>
                <c:pt idx="0">
                  <c:v>58</c:v>
                </c:pt>
                <c:pt idx="1">
                  <c:v>54</c:v>
                </c:pt>
                <c:pt idx="2">
                  <c:v>43</c:v>
                </c:pt>
                <c:pt idx="3">
                  <c:v>43</c:v>
                </c:pt>
                <c:pt idx="4">
                  <c:v>42</c:v>
                </c:pt>
                <c:pt idx="5">
                  <c:v>42</c:v>
                </c:pt>
                <c:pt idx="6">
                  <c:v>40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  <c:pt idx="10">
                  <c:v>28</c:v>
                </c:pt>
                <c:pt idx="11">
                  <c:v>28</c:v>
                </c:pt>
                <c:pt idx="12">
                  <c:v>25</c:v>
                </c:pt>
                <c:pt idx="13">
                  <c:v>24</c:v>
                </c:pt>
                <c:pt idx="14">
                  <c:v>23</c:v>
                </c:pt>
                <c:pt idx="15">
                  <c:v>21</c:v>
                </c:pt>
                <c:pt idx="16">
                  <c:v>20</c:v>
                </c:pt>
                <c:pt idx="17">
                  <c:v>19</c:v>
                </c:pt>
                <c:pt idx="18">
                  <c:v>18</c:v>
                </c:pt>
                <c:pt idx="19">
                  <c:v>15</c:v>
                </c:pt>
                <c:pt idx="20">
                  <c:v>14</c:v>
                </c:pt>
                <c:pt idx="21">
                  <c:v>11</c:v>
                </c:pt>
                <c:pt idx="22">
                  <c:v>11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A-4293-8698-21C9D9CDD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areaChart>
      <c:barChart>
        <c:barDir val="col"/>
        <c:grouping val="clustered"/>
        <c:varyColors val="0"/>
        <c:ser>
          <c:idx val="1"/>
          <c:order val="1"/>
          <c:tx>
            <c:v>Facturación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9.282700421940928E-3"/>
                  <c:y val="-6.62878787878787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7A-4293-8698-21C9D9CDD233}"/>
                </c:ext>
              </c:extLst>
            </c:dLbl>
            <c:dLbl>
              <c:idx val="1"/>
              <c:layout>
                <c:manualLayout>
                  <c:x val="8.438818565400805E-4"/>
                  <c:y val="-5.0505050505050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7A-4293-8698-21C9D9CDD233}"/>
                </c:ext>
              </c:extLst>
            </c:dLbl>
            <c:dLbl>
              <c:idx val="3"/>
              <c:layout>
                <c:manualLayout>
                  <c:x val="5.0632911392405064E-3"/>
                  <c:y val="-1.57828282828282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7A-4293-8698-21C9D9CDD233}"/>
                </c:ext>
              </c:extLst>
            </c:dLbl>
            <c:dLbl>
              <c:idx val="4"/>
              <c:layout>
                <c:manualLayout>
                  <c:x val="2.0253164556962026E-2"/>
                  <c:y val="-1.893939393939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7A-4293-8698-21C9D9CDD23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7A-4293-8698-21C9D9CDD233}"/>
                </c:ext>
              </c:extLst>
            </c:dLbl>
            <c:dLbl>
              <c:idx val="8"/>
              <c:layout>
                <c:manualLayout>
                  <c:x val="-5.9071729957806216E-3"/>
                  <c:y val="-3.15656565656565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87A-4293-8698-21C9D9CDD233}"/>
                </c:ext>
              </c:extLst>
            </c:dLbl>
            <c:dLbl>
              <c:idx val="9"/>
              <c:layout>
                <c:manualLayout>
                  <c:x val="1.350210970464135E-2"/>
                  <c:y val="-2.20959595959596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7A-4293-8698-21C9D9CDD23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87A-4293-8698-21C9D9CDD233}"/>
                </c:ext>
              </c:extLst>
            </c:dLbl>
            <c:dLbl>
              <c:idx val="11"/>
              <c:layout>
                <c:manualLayout>
                  <c:x val="-1.565772402434536E-2"/>
                  <c:y val="-3.15656565656565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87A-4293-8698-21C9D9CDD233}"/>
                </c:ext>
              </c:extLst>
            </c:dLbl>
            <c:dLbl>
              <c:idx val="12"/>
              <c:layout>
                <c:manualLayout>
                  <c:x val="5.8246344416094671E-4"/>
                  <c:y val="-2.84090909090909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87A-4293-8698-21C9D9CDD23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7A-4293-8698-21C9D9CDD23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87A-4293-8698-21C9D9CDD23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87A-4293-8698-21C9D9CDD23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87A-4293-8698-21C9D9CDD23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87A-4293-8698-21C9D9CDD23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87A-4293-8698-21C9D9CDD233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87A-4293-8698-21C9D9CDD23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87A-4293-8698-21C9D9CDD233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87A-4293-8698-21C9D9CDD233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87A-4293-8698-21C9D9CDD233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87A-4293-8698-21C9D9CDD23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87A-4293-8698-21C9D9CDD233}"/>
                </c:ext>
              </c:extLst>
            </c:dLbl>
            <c:spPr>
              <a:solidFill>
                <a:srgbClr val="4472C4">
                  <a:lumMod val="40000"/>
                  <a:lumOff val="60000"/>
                  <a:alpha val="70000"/>
                </a:srgbClr>
              </a:solidFill>
              <a:ln w="6350">
                <a:solidFill>
                  <a:srgbClr val="00206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'Altas x ejecutivo'!$H$4:$H$31</c:f>
              <c:strCache>
                <c:ptCount val="28"/>
                <c:pt idx="0">
                  <c:v>Yareli Flores</c:v>
                </c:pt>
                <c:pt idx="1">
                  <c:v>Ricardo Vidal</c:v>
                </c:pt>
                <c:pt idx="2">
                  <c:v>Marcos López</c:v>
                </c:pt>
                <c:pt idx="3">
                  <c:v>Alfredo Almaráz</c:v>
                </c:pt>
                <c:pt idx="4">
                  <c:v>Miguel Romero</c:v>
                </c:pt>
                <c:pt idx="5">
                  <c:v>Genaro Castro</c:v>
                </c:pt>
                <c:pt idx="6">
                  <c:v>Christian Castellanos</c:v>
                </c:pt>
                <c:pt idx="7">
                  <c:v>Rubí Rodríguez</c:v>
                </c:pt>
                <c:pt idx="8">
                  <c:v>Dolores Jiménez</c:v>
                </c:pt>
                <c:pt idx="9">
                  <c:v>Iván Luna</c:v>
                </c:pt>
                <c:pt idx="10">
                  <c:v>Oscar Moreno</c:v>
                </c:pt>
                <c:pt idx="11">
                  <c:v>Diana Tejadilla</c:v>
                </c:pt>
                <c:pt idx="12">
                  <c:v>Yuritzi Alejo</c:v>
                </c:pt>
                <c:pt idx="13">
                  <c:v>Leonard Lule</c:v>
                </c:pt>
                <c:pt idx="14">
                  <c:v>Yuriana Argüello</c:v>
                </c:pt>
                <c:pt idx="15">
                  <c:v>Blanca Montoya</c:v>
                </c:pt>
                <c:pt idx="16">
                  <c:v>Sandra Escoto</c:v>
                </c:pt>
                <c:pt idx="17">
                  <c:v>Noemí Castillo</c:v>
                </c:pt>
                <c:pt idx="18">
                  <c:v>Julio César Trejo</c:v>
                </c:pt>
                <c:pt idx="19">
                  <c:v>Giovanni Salas</c:v>
                </c:pt>
                <c:pt idx="20">
                  <c:v>Jose Carlos Orozco</c:v>
                </c:pt>
                <c:pt idx="21">
                  <c:v>Antonio Salazar</c:v>
                </c:pt>
                <c:pt idx="22">
                  <c:v>Karla Ángeles</c:v>
                </c:pt>
                <c:pt idx="23">
                  <c:v>Dulce González</c:v>
                </c:pt>
                <c:pt idx="24">
                  <c:v>Roger Gómez</c:v>
                </c:pt>
                <c:pt idx="25">
                  <c:v>David Montañéz</c:v>
                </c:pt>
                <c:pt idx="26">
                  <c:v>Noe Acevedo</c:v>
                </c:pt>
                <c:pt idx="27">
                  <c:v>Antonio Hernández</c:v>
                </c:pt>
              </c:strCache>
            </c:strRef>
          </c:cat>
          <c:val>
            <c:numRef>
              <c:f>'Altas x ejecutivo'!$N$4:$N$31</c:f>
              <c:numCache>
                <c:formatCode>"$"#,##0.00</c:formatCode>
                <c:ptCount val="28"/>
                <c:pt idx="0">
                  <c:v>423867.4800000001</c:v>
                </c:pt>
                <c:pt idx="1">
                  <c:v>256792.68</c:v>
                </c:pt>
                <c:pt idx="2">
                  <c:v>312603.75999999983</c:v>
                </c:pt>
                <c:pt idx="3">
                  <c:v>461678.84</c:v>
                </c:pt>
                <c:pt idx="4">
                  <c:v>0</c:v>
                </c:pt>
                <c:pt idx="5">
                  <c:v>381845.32</c:v>
                </c:pt>
                <c:pt idx="6">
                  <c:v>836155.83999999985</c:v>
                </c:pt>
                <c:pt idx="7">
                  <c:v>219351.36</c:v>
                </c:pt>
                <c:pt idx="8">
                  <c:v>336259.64</c:v>
                </c:pt>
                <c:pt idx="9">
                  <c:v>2948272.2400000039</c:v>
                </c:pt>
                <c:pt idx="10">
                  <c:v>99958.36000000003</c:v>
                </c:pt>
                <c:pt idx="11">
                  <c:v>118622.76</c:v>
                </c:pt>
                <c:pt idx="12">
                  <c:v>772279.8599999994</c:v>
                </c:pt>
                <c:pt idx="13">
                  <c:v>0</c:v>
                </c:pt>
                <c:pt idx="14">
                  <c:v>319335.24</c:v>
                </c:pt>
                <c:pt idx="15">
                  <c:v>84231.080000000016</c:v>
                </c:pt>
                <c:pt idx="16">
                  <c:v>218030.12</c:v>
                </c:pt>
                <c:pt idx="17">
                  <c:v>86697.240000000034</c:v>
                </c:pt>
                <c:pt idx="18">
                  <c:v>251318.6400000001</c:v>
                </c:pt>
                <c:pt idx="19">
                  <c:v>263328.12</c:v>
                </c:pt>
                <c:pt idx="20">
                  <c:v>252958.88000000021</c:v>
                </c:pt>
                <c:pt idx="21">
                  <c:v>39932.999999999993</c:v>
                </c:pt>
                <c:pt idx="22">
                  <c:v>33425.400000000009</c:v>
                </c:pt>
                <c:pt idx="23">
                  <c:v>78962.209199999968</c:v>
                </c:pt>
                <c:pt idx="24">
                  <c:v>14593.96</c:v>
                </c:pt>
                <c:pt idx="25">
                  <c:v>16365.279999999999</c:v>
                </c:pt>
                <c:pt idx="26">
                  <c:v>117243.52000000002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87A-4293-8698-21C9D9CDD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481024"/>
        <c:axId val="1"/>
      </c:barChart>
      <c:barChart>
        <c:barDir val="col"/>
        <c:grouping val="clustered"/>
        <c:varyColors val="0"/>
        <c:ser>
          <c:idx val="2"/>
          <c:order val="2"/>
          <c:tx>
            <c:v>Etiqueta altas</c:v>
          </c:tx>
          <c:spPr>
            <a:noFill/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60000"/>
                  <a:lumOff val="40000"/>
                  <a:alpha val="50000"/>
                </a:schemeClr>
              </a:solidFill>
              <a:ln>
                <a:noFill/>
              </a:ln>
              <a:effectLst>
                <a:softEdge rad="2540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'Altas x ejecutivo'!$H$4:$H$31</c:f>
              <c:strCache>
                <c:ptCount val="28"/>
                <c:pt idx="0">
                  <c:v>Yareli Flores</c:v>
                </c:pt>
                <c:pt idx="1">
                  <c:v>Ricardo Vidal</c:v>
                </c:pt>
                <c:pt idx="2">
                  <c:v>Marcos López</c:v>
                </c:pt>
                <c:pt idx="3">
                  <c:v>Alfredo Almaráz</c:v>
                </c:pt>
                <c:pt idx="4">
                  <c:v>Miguel Romero</c:v>
                </c:pt>
                <c:pt idx="5">
                  <c:v>Genaro Castro</c:v>
                </c:pt>
                <c:pt idx="6">
                  <c:v>Christian Castellanos</c:v>
                </c:pt>
                <c:pt idx="7">
                  <c:v>Rubí Rodríguez</c:v>
                </c:pt>
                <c:pt idx="8">
                  <c:v>Dolores Jiménez</c:v>
                </c:pt>
                <c:pt idx="9">
                  <c:v>Iván Luna</c:v>
                </c:pt>
                <c:pt idx="10">
                  <c:v>Oscar Moreno</c:v>
                </c:pt>
                <c:pt idx="11">
                  <c:v>Diana Tejadilla</c:v>
                </c:pt>
                <c:pt idx="12">
                  <c:v>Yuritzi Alejo</c:v>
                </c:pt>
                <c:pt idx="13">
                  <c:v>Leonard Lule</c:v>
                </c:pt>
                <c:pt idx="14">
                  <c:v>Yuriana Argüello</c:v>
                </c:pt>
                <c:pt idx="15">
                  <c:v>Blanca Montoya</c:v>
                </c:pt>
                <c:pt idx="16">
                  <c:v>Sandra Escoto</c:v>
                </c:pt>
                <c:pt idx="17">
                  <c:v>Noemí Castillo</c:v>
                </c:pt>
                <c:pt idx="18">
                  <c:v>Julio César Trejo</c:v>
                </c:pt>
                <c:pt idx="19">
                  <c:v>Giovanni Salas</c:v>
                </c:pt>
                <c:pt idx="20">
                  <c:v>Jose Carlos Orozco</c:v>
                </c:pt>
                <c:pt idx="21">
                  <c:v>Antonio Salazar</c:v>
                </c:pt>
                <c:pt idx="22">
                  <c:v>Karla Ángeles</c:v>
                </c:pt>
                <c:pt idx="23">
                  <c:v>Dulce González</c:v>
                </c:pt>
                <c:pt idx="24">
                  <c:v>Roger Gómez</c:v>
                </c:pt>
                <c:pt idx="25">
                  <c:v>David Montañéz</c:v>
                </c:pt>
                <c:pt idx="26">
                  <c:v>Noe Acevedo</c:v>
                </c:pt>
                <c:pt idx="27">
                  <c:v>Antonio Hernández</c:v>
                </c:pt>
              </c:strCache>
            </c:strRef>
          </c:cat>
          <c:val>
            <c:numRef>
              <c:f>'Altas x ejecutivo'!$M$4:$M$31</c:f>
              <c:numCache>
                <c:formatCode>General</c:formatCode>
                <c:ptCount val="28"/>
                <c:pt idx="0">
                  <c:v>58</c:v>
                </c:pt>
                <c:pt idx="1">
                  <c:v>54</c:v>
                </c:pt>
                <c:pt idx="2">
                  <c:v>43</c:v>
                </c:pt>
                <c:pt idx="3">
                  <c:v>43</c:v>
                </c:pt>
                <c:pt idx="4">
                  <c:v>42</c:v>
                </c:pt>
                <c:pt idx="5">
                  <c:v>42</c:v>
                </c:pt>
                <c:pt idx="6">
                  <c:v>40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  <c:pt idx="10">
                  <c:v>28</c:v>
                </c:pt>
                <c:pt idx="11">
                  <c:v>28</c:v>
                </c:pt>
                <c:pt idx="12">
                  <c:v>25</c:v>
                </c:pt>
                <c:pt idx="13">
                  <c:v>24</c:v>
                </c:pt>
                <c:pt idx="14">
                  <c:v>23</c:v>
                </c:pt>
                <c:pt idx="15">
                  <c:v>21</c:v>
                </c:pt>
                <c:pt idx="16">
                  <c:v>20</c:v>
                </c:pt>
                <c:pt idx="17">
                  <c:v>19</c:v>
                </c:pt>
                <c:pt idx="18">
                  <c:v>18</c:v>
                </c:pt>
                <c:pt idx="19">
                  <c:v>15</c:v>
                </c:pt>
                <c:pt idx="20">
                  <c:v>14</c:v>
                </c:pt>
                <c:pt idx="21">
                  <c:v>11</c:v>
                </c:pt>
                <c:pt idx="22">
                  <c:v>11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87A-4293-8698-21C9D9CDD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3"/>
          <c:order val="3"/>
          <c:tx>
            <c:strRef>
              <c:f>'Altas x ejecutivo'!$O$3</c:f>
              <c:strCache>
                <c:ptCount val="1"/>
                <c:pt idx="0">
                  <c:v>Límite</c:v>
                </c:pt>
              </c:strCache>
            </c:strRef>
          </c:tx>
          <c:spPr>
            <a:ln w="15875" cap="rnd">
              <a:solidFill>
                <a:srgbClr val="C00000">
                  <a:alpha val="69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'Altas x ejecutivo'!$O$4:$O$31</c:f>
              <c:numCache>
                <c:formatCode>"$"#,##0.00</c:formatCode>
                <c:ptCount val="28"/>
                <c:pt idx="0">
                  <c:v>423867.4800000001</c:v>
                </c:pt>
                <c:pt idx="1">
                  <c:v>423867.4800000001</c:v>
                </c:pt>
                <c:pt idx="2">
                  <c:v>423867.4800000001</c:v>
                </c:pt>
                <c:pt idx="3">
                  <c:v>423867.4800000001</c:v>
                </c:pt>
                <c:pt idx="4">
                  <c:v>423867.4800000001</c:v>
                </c:pt>
                <c:pt idx="5">
                  <c:v>423867.4800000001</c:v>
                </c:pt>
                <c:pt idx="6">
                  <c:v>423867.4800000001</c:v>
                </c:pt>
                <c:pt idx="7">
                  <c:v>423867.4800000001</c:v>
                </c:pt>
                <c:pt idx="8">
                  <c:v>423867.4800000001</c:v>
                </c:pt>
                <c:pt idx="9">
                  <c:v>423867.4800000001</c:v>
                </c:pt>
                <c:pt idx="10">
                  <c:v>423867.4800000001</c:v>
                </c:pt>
                <c:pt idx="11">
                  <c:v>423867.4800000001</c:v>
                </c:pt>
                <c:pt idx="12">
                  <c:v>423867.4800000001</c:v>
                </c:pt>
                <c:pt idx="13">
                  <c:v>423867.4800000001</c:v>
                </c:pt>
                <c:pt idx="14">
                  <c:v>423867.4800000001</c:v>
                </c:pt>
                <c:pt idx="15">
                  <c:v>423867.4800000001</c:v>
                </c:pt>
                <c:pt idx="16">
                  <c:v>423867.4800000001</c:v>
                </c:pt>
                <c:pt idx="17">
                  <c:v>423867.4800000001</c:v>
                </c:pt>
                <c:pt idx="18">
                  <c:v>423867.4800000001</c:v>
                </c:pt>
                <c:pt idx="19">
                  <c:v>423867.4800000001</c:v>
                </c:pt>
                <c:pt idx="20">
                  <c:v>423867.4800000001</c:v>
                </c:pt>
                <c:pt idx="21">
                  <c:v>423867.4800000001</c:v>
                </c:pt>
                <c:pt idx="22">
                  <c:v>423867.4800000001</c:v>
                </c:pt>
                <c:pt idx="23">
                  <c:v>423867.4800000001</c:v>
                </c:pt>
                <c:pt idx="24">
                  <c:v>423867.4800000001</c:v>
                </c:pt>
                <c:pt idx="25">
                  <c:v>423867.4800000001</c:v>
                </c:pt>
                <c:pt idx="26">
                  <c:v>423867.4800000001</c:v>
                </c:pt>
                <c:pt idx="27">
                  <c:v>423867.4800000001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87A-4293-8698-21C9D9CDD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481024"/>
        <c:axId val="1"/>
      </c:lineChart>
      <c:catAx>
        <c:axId val="37648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200"/>
        <c:noMultiLvlLbl val="0"/>
      </c:catAx>
      <c:valAx>
        <c:axId val="1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8102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6190647693701967"/>
          <c:y val="2.7303423009623799E-2"/>
          <c:w val="7.4440795797386272E-2"/>
          <c:h val="0.14441354986876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270000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484376</xdr:colOff>
      <xdr:row>14</xdr:row>
      <xdr:rowOff>12198</xdr:rowOff>
    </xdr:from>
    <xdr:ext cx="11223265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D8CEA69-FE47-077C-2D19-4615DCECB13A}"/>
            </a:ext>
          </a:extLst>
        </xdr:cNvPr>
        <xdr:cNvSpPr/>
      </xdr:nvSpPr>
      <xdr:spPr>
        <a:xfrm>
          <a:off x="484376" y="2145798"/>
          <a:ext cx="1122326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Altas y nueva</a:t>
          </a:r>
          <a:r>
            <a:rPr lang="es-ES" sz="5400" b="1" cap="none" spc="0" baseline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 venta de agosto de 2022</a:t>
          </a:r>
          <a:endParaRPr lang="es-ES" sz="54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15</xdr:row>
      <xdr:rowOff>0</xdr:rowOff>
    </xdr:from>
    <xdr:to>
      <xdr:col>26</xdr:col>
      <xdr:colOff>0</xdr:colOff>
      <xdr:row>21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A64388D7-3200-BD05-92AF-673BCCA05EDC}"/>
            </a:ext>
          </a:extLst>
        </xdr:cNvPr>
        <xdr:cNvSpPr/>
      </xdr:nvSpPr>
      <xdr:spPr>
        <a:xfrm>
          <a:off x="6621780" y="167640"/>
          <a:ext cx="6964680" cy="9906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/>
        <a:lstStyle/>
        <a:p>
          <a:endParaRPr lang="es-MX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2F75B66F-F75B-B407-6B48-FEFE8561431C}"/>
            </a:ext>
          </a:extLst>
        </xdr:cNvPr>
        <xdr:cNvSpPr/>
      </xdr:nvSpPr>
      <xdr:spPr>
        <a:xfrm>
          <a:off x="1341120" y="167640"/>
          <a:ext cx="3451860" cy="134112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27</xdr:row>
      <xdr:rowOff>0</xdr:rowOff>
    </xdr:from>
    <xdr:to>
      <xdr:col>26</xdr:col>
      <xdr:colOff>0</xdr:colOff>
      <xdr:row>31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4DFB74F-C6C8-BA78-8E55-13EE1DD0C0C3}"/>
            </a:ext>
          </a:extLst>
        </xdr:cNvPr>
        <xdr:cNvSpPr/>
      </xdr:nvSpPr>
      <xdr:spPr>
        <a:xfrm>
          <a:off x="6621780" y="1455420"/>
          <a:ext cx="5669280" cy="7620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035" name="Gráfico 12">
          <a:extLst>
            <a:ext uri="{FF2B5EF4-FFF2-40B4-BE49-F238E27FC236}">
              <a16:creationId xmlns:a16="http://schemas.microsoft.com/office/drawing/2014/main" id="{65E67C3E-A98B-62D7-7A32-CD53B5E5D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22</xdr:row>
      <xdr:rowOff>0</xdr:rowOff>
    </xdr:from>
    <xdr:to>
      <xdr:col>26</xdr:col>
      <xdr:colOff>0</xdr:colOff>
      <xdr:row>26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EB3B8B53-9FA4-C89D-0287-A462288ED1E8}"/>
            </a:ext>
          </a:extLst>
        </xdr:cNvPr>
        <xdr:cNvSpPr/>
      </xdr:nvSpPr>
      <xdr:spPr>
        <a:xfrm>
          <a:off x="6385560" y="167640"/>
          <a:ext cx="6964680" cy="9906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32</xdr:row>
      <xdr:rowOff>0</xdr:rowOff>
    </xdr:from>
    <xdr:to>
      <xdr:col>26</xdr:col>
      <xdr:colOff>0</xdr:colOff>
      <xdr:row>36</xdr:row>
      <xdr:rowOff>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EDC3828-FB31-A8BD-61E8-E9B36650C777}"/>
            </a:ext>
          </a:extLst>
        </xdr:cNvPr>
        <xdr:cNvSpPr/>
      </xdr:nvSpPr>
      <xdr:spPr>
        <a:xfrm>
          <a:off x="6385560" y="2346960"/>
          <a:ext cx="6964680" cy="79248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23</xdr:col>
      <xdr:colOff>552450</xdr:colOff>
      <xdr:row>14</xdr:row>
      <xdr:rowOff>0</xdr:rowOff>
    </xdr:to>
    <xdr:graphicFrame macro="">
      <xdr:nvGraphicFramePr>
        <xdr:cNvPr id="1038" name="Gráfico 16">
          <a:extLst>
            <a:ext uri="{FF2B5EF4-FFF2-40B4-BE49-F238E27FC236}">
              <a16:creationId xmlns:a16="http://schemas.microsoft.com/office/drawing/2014/main" id="{279B5C31-86DA-F7A1-6F9C-5B9CC90EF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35</xdr:row>
      <xdr:rowOff>0</xdr:rowOff>
    </xdr:from>
    <xdr:to>
      <xdr:col>22</xdr:col>
      <xdr:colOff>342900</xdr:colOff>
      <xdr:row>59</xdr:row>
      <xdr:rowOff>0</xdr:rowOff>
    </xdr:to>
    <xdr:graphicFrame macro="">
      <xdr:nvGraphicFramePr>
        <xdr:cNvPr id="3075" name="Gráfico 6">
          <a:extLst>
            <a:ext uri="{FF2B5EF4-FFF2-40B4-BE49-F238E27FC236}">
              <a16:creationId xmlns:a16="http://schemas.microsoft.com/office/drawing/2014/main" id="{EE89EE3F-95A6-CA21-F0E8-30D1BB789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Campos" refreshedDate="44802.641164236113" createdVersion="4" refreshedVersion="4" minRefreshableVersion="3" recordCount="558" xr:uid="{C79E865D-9BC5-4555-BC6B-A8751900A04C}">
  <cacheSource type="worksheet">
    <worksheetSource ref="A1:AC559" sheet="Datos"/>
  </cacheSource>
  <cacheFields count="29">
    <cacheField name="Fecha de alta" numFmtId="0">
      <sharedItems containsSemiMixedTypes="0" containsNonDate="0" containsDate="1" containsString="0" minDate="2022-01-03T00:00:00" maxDate="2022-07-02T00:00:00"/>
    </cacheField>
    <cacheField name="Mes" numFmtId="0">
      <sharedItems containsBlank="1" count="8">
        <s v="Enero"/>
        <s v="Febrero"/>
        <s v="Marzo"/>
        <s v="Abril"/>
        <s v="Mayo"/>
        <s v="Junio"/>
        <s v="Julio"/>
        <m u="1"/>
      </sharedItems>
    </cacheField>
    <cacheField name="Ejecutivo" numFmtId="0">
      <sharedItems count="35">
        <s v="Miguel Ángel Romero"/>
        <s v="Sandra Escoto"/>
        <s v="Marcos López"/>
        <s v="Yuriana Argüello"/>
        <s v="Yareli Flores"/>
        <s v="Yuritzi Alejo"/>
        <s v="Genaro Castro"/>
        <s v="Dulce González"/>
        <s v="Iván Luna"/>
        <s v="Dolores Jiménez"/>
        <s v="Karla Ángeles"/>
        <s v="Alfredo Almaráz"/>
        <s v="Rubí Rodríguez"/>
        <s v="Christian Castellanos"/>
        <s v="Jose Carlos Orozco"/>
        <s v="Ricardo Vidal"/>
        <s v="Julio César Trejo"/>
        <s v="Diana Tejadilla"/>
        <s v="Noe Acevedo"/>
        <s v="CANCELADA"/>
        <s v="Alondra Díaz"/>
        <s v="MOSTRADOR"/>
        <s v="Noemí Castillo"/>
        <s v="Oscar Moreno"/>
        <s v="RECEPCION"/>
        <s v="Antonio Salazar"/>
        <s v="Leonar Lule"/>
        <s v="Giovanni Salas"/>
        <s v="Blanca Montoya"/>
        <s v="Carlos Guerra"/>
        <s v="David Montañéz"/>
        <s v="Roger Gómez"/>
        <s v="Rubi Rodríguez" u="1"/>
        <s v="Miguel Angel Romero" u="1"/>
        <s v="BEST" u="1"/>
      </sharedItems>
    </cacheField>
    <cacheField name="Región" numFmtId="0">
      <sharedItems/>
    </cacheField>
    <cacheField name="Núm. De cliente" numFmtId="0">
      <sharedItems containsSemiMixedTypes="0" containsString="0" containsNumber="1" containsInteger="1" minValue="23080" maxValue="23643"/>
    </cacheField>
    <cacheField name="Categoría" numFmtId="0">
      <sharedItems count="3">
        <s v="Alta sin facturar"/>
        <s v="Cliente"/>
        <s v="Cliente nuevo"/>
      </sharedItems>
    </cacheField>
    <cacheField name="Estatus" numFmtId="0">
      <sharedItems containsNonDate="0" containsString="0" containsBlank="1"/>
    </cacheField>
    <cacheField name="Meses facturados" numFmtId="0">
      <sharedItems containsString="0" containsBlank="1" containsNumber="1" containsInteger="1" minValue="0" maxValue="7"/>
    </cacheField>
    <cacheField name="Enero" numFmtId="0">
      <sharedItems containsSemiMixedTypes="0" containsString="0" containsNumber="1" minValue="0" maxValue="927884"/>
    </cacheField>
    <cacheField name="Febrero" numFmtId="0">
      <sharedItems containsSemiMixedTypes="0" containsString="0" containsNumber="1" minValue="0" maxValue="380995.04"/>
    </cacheField>
    <cacheField name="Marzo" numFmtId="0">
      <sharedItems containsSemiMixedTypes="0" containsString="0" containsNumber="1" minValue="0" maxValue="370562"/>
    </cacheField>
    <cacheField name="Abril" numFmtId="0">
      <sharedItems containsSemiMixedTypes="0" containsString="0" containsNumber="1" minValue="0" maxValue="496108.79999999999"/>
    </cacheField>
    <cacheField name="Mayo" numFmtId="0">
      <sharedItems containsSemiMixedTypes="0" containsString="0" containsNumber="1" minValue="0" maxValue="292277.08"/>
    </cacheField>
    <cacheField name="Junio" numFmtId="0">
      <sharedItems containsSemiMixedTypes="0" containsString="0" containsNumber="1" minValue="0" maxValue="453933.52"/>
    </cacheField>
    <cacheField name="Julio" numFmtId="0">
      <sharedItems containsSemiMixedTypes="0" containsString="0" containsNumber="1" minValue="0" maxValue="387232.36"/>
    </cacheField>
    <cacheField name="Agosto" numFmtId="0">
      <sharedItems containsString="0" containsBlank="1" containsNumber="1" containsInteger="1" minValue="1" maxValue="1"/>
    </cacheField>
    <cacheField name="Suma de ventas" numFmtId="0">
      <sharedItems containsSemiMixedTypes="0" containsString="0" containsNumber="1" minValue="0" maxValue="2406503.52"/>
    </cacheField>
    <cacheField name="Saldo pdte. a junio" numFmtId="0">
      <sharedItems containsString="0" containsBlank="1" containsNumber="1" minValue="0" maxValue="841165.88000000012"/>
    </cacheField>
    <cacheField name="Meses facturados2" numFmtId="0">
      <sharedItems containsSemiMixedTypes="0" containsString="0" containsNumber="1" containsInteger="1" minValue="0" maxValue="7"/>
    </cacheField>
    <cacheField name="Pagado a junio" numFmtId="0">
      <sharedItems containsSemiMixedTypes="0" containsString="0" containsNumber="1" minValue="-219567.12" maxValue="2191762"/>
    </cacheField>
    <cacheField name="% de deuda" numFmtId="0">
      <sharedItems containsSemiMixedTypes="0" containsString="0" containsNumber="1" minValue="0" maxValue="1324.6503496503497"/>
    </cacheField>
    <cacheField name="Categoría2" numFmtId="0">
      <sharedItems/>
    </cacheField>
    <cacheField name="Categoría de pago" numFmtId="0">
      <sharedItems count="3">
        <s v="Sin pago"/>
        <s v="Ha pagado"/>
        <e v="#REF!" u="1"/>
      </sharedItems>
    </cacheField>
    <cacheField name="Saldo enero" numFmtId="0">
      <sharedItems containsNonDate="0" containsString="0" containsBlank="1"/>
    </cacheField>
    <cacheField name="Saldo febrero" numFmtId="0">
      <sharedItems containsNonDate="0" containsString="0" containsBlank="1"/>
    </cacheField>
    <cacheField name="Saldo marzo" numFmtId="0">
      <sharedItems containsNonDate="0" containsString="0" containsBlank="1"/>
    </cacheField>
    <cacheField name="Saldo abril" numFmtId="0">
      <sharedItems containsNonDate="0" containsString="0" containsBlank="1"/>
    </cacheField>
    <cacheField name="Saldo Mayo" numFmtId="0">
      <sharedItems containsNonDate="0" containsString="0" containsBlank="1"/>
    </cacheField>
    <cacheField name="Saldo Jun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Campos" refreshedDate="44802.641169097224" createdVersion="4" refreshedVersion="4" minRefreshableVersion="3" recordCount="650" xr:uid="{FC1A54A0-6774-480C-86D3-010EDD67DFFB}">
  <cacheSource type="worksheet">
    <worksheetSource ref="A1:Z65536" sheet="Datos"/>
  </cacheSource>
  <cacheFields count="26">
    <cacheField name="Fecha de alta" numFmtId="0">
      <sharedItems containsNonDate="0" containsDate="1" containsString="0" containsBlank="1" minDate="2022-01-03T00:00:00" maxDate="2022-08-02T00:00:00"/>
    </cacheField>
    <cacheField name="Mes" numFmtId="0">
      <sharedItems containsBlank="1" count="9">
        <s v="Enero"/>
        <s v="Febrero"/>
        <s v="Marzo"/>
        <s v="Abril"/>
        <s v="Mayo"/>
        <s v="Junio"/>
        <s v="Julio"/>
        <s v="Agosto"/>
        <m/>
      </sharedItems>
    </cacheField>
    <cacheField name="Ejecutivo" numFmtId="0">
      <sharedItems containsBlank="1"/>
    </cacheField>
    <cacheField name="Región" numFmtId="0">
      <sharedItems containsBlank="1"/>
    </cacheField>
    <cacheField name="Núm. De cliente" numFmtId="0">
      <sharedItems containsString="0" containsBlank="1" containsNumber="1" containsInteger="1" minValue="11111" maxValue="32655"/>
    </cacheField>
    <cacheField name="Categoría" numFmtId="0">
      <sharedItems containsBlank="1"/>
    </cacheField>
    <cacheField name="Estatus" numFmtId="0">
      <sharedItems containsNonDate="0" containsString="0" containsBlank="1"/>
    </cacheField>
    <cacheField name="Meses facturados" numFmtId="0">
      <sharedItems containsString="0" containsBlank="1" containsNumber="1" containsInteger="1" minValue="0" maxValue="7"/>
    </cacheField>
    <cacheField name="Enero" numFmtId="0">
      <sharedItems containsString="0" containsBlank="1" containsNumber="1" minValue="0" maxValue="927884"/>
    </cacheField>
    <cacheField name="Febrero" numFmtId="0">
      <sharedItems containsString="0" containsBlank="1" containsNumber="1" minValue="0" maxValue="380995.04"/>
    </cacheField>
    <cacheField name="Marzo" numFmtId="0">
      <sharedItems containsString="0" containsBlank="1" containsNumber="1" minValue="0" maxValue="370562"/>
    </cacheField>
    <cacheField name="Abril" numFmtId="0">
      <sharedItems containsString="0" containsBlank="1" containsNumber="1" minValue="0" maxValue="496108.79999999999"/>
    </cacheField>
    <cacheField name="Mayo" numFmtId="0">
      <sharedItems containsString="0" containsBlank="1" containsNumber="1" minValue="0" maxValue="292277.08"/>
    </cacheField>
    <cacheField name="Junio" numFmtId="0">
      <sharedItems containsString="0" containsBlank="1" containsNumber="1" minValue="0" maxValue="453933.52"/>
    </cacheField>
    <cacheField name="Julio" numFmtId="0">
      <sharedItems containsString="0" containsBlank="1" containsNumber="1" minValue="0" maxValue="387232.36"/>
    </cacheField>
    <cacheField name="Agosto" numFmtId="0">
      <sharedItems containsString="0" containsBlank="1" containsNumber="1" containsInteger="1" minValue="1" maxValue="1"/>
    </cacheField>
    <cacheField name="Suma de ventas" numFmtId="0">
      <sharedItems containsString="0" containsBlank="1" containsNumber="1" minValue="0" maxValue="2406503.52"/>
    </cacheField>
    <cacheField name="Saldo pdte. a junio" numFmtId="0">
      <sharedItems containsString="0" containsBlank="1" containsNumber="1" minValue="0" maxValue="841165.88000000012"/>
    </cacheField>
    <cacheField name="Meses facturados2" numFmtId="0">
      <sharedItems containsString="0" containsBlank="1" containsNumber="1" containsInteger="1" minValue="0" maxValue="7"/>
    </cacheField>
    <cacheField name="Pagado a junio" numFmtId="0">
      <sharedItems containsString="0" containsBlank="1" containsNumber="1" minValue="-219567.12" maxValue="2191762"/>
    </cacheField>
    <cacheField name="% de deuda" numFmtId="0">
      <sharedItems containsString="0" containsBlank="1" containsNumber="1" minValue="0" maxValue="1324.6503496503497"/>
    </cacheField>
    <cacheField name="Categoría2" numFmtId="0">
      <sharedItems containsBlank="1"/>
    </cacheField>
    <cacheField name="Categoría de pago" numFmtId="0">
      <sharedItems containsBlank="1"/>
    </cacheField>
    <cacheField name="Saldo enero" numFmtId="0">
      <sharedItems containsNonDate="0" containsString="0" containsBlank="1"/>
    </cacheField>
    <cacheField name="Saldo febrero" numFmtId="0">
      <sharedItems containsNonDate="0" containsString="0" containsBlank="1"/>
    </cacheField>
    <cacheField name="Saldo marz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Campos" refreshedDate="44810.424545023146" createdVersion="4" refreshedVersion="4" minRefreshableVersion="3" recordCount="726" xr:uid="{CA8C6CF8-E461-4971-81E6-3DC58219FB95}">
  <cacheSource type="worksheet">
    <worksheetSource name="Altas"/>
  </cacheSource>
  <cacheFields count="17">
    <cacheField name="Fecha de alta" numFmtId="0">
      <sharedItems containsSemiMixedTypes="0" containsNonDate="0" containsDate="1" containsString="0" minDate="2022-01-03T00:00:00" maxDate="2022-08-31T00:00:00"/>
    </cacheField>
    <cacheField name="Mes" numFmtId="0">
      <sharedItems containsBlank="1" count="9">
        <s v="Enero"/>
        <s v="Febrero"/>
        <s v="Marzo"/>
        <s v="Abril"/>
        <s v="Mayo"/>
        <s v="Junio"/>
        <s v="Julio"/>
        <s v="Agosto"/>
        <m u="1"/>
      </sharedItems>
    </cacheField>
    <cacheField name="Ejecutivo" numFmtId="0">
      <sharedItems containsBlank="1" count="43">
        <s v="Miguel Romero"/>
        <s v="Sandra Escoto"/>
        <s v="Marcos López"/>
        <s v="Yuriana Argüello"/>
        <s v="Yareli Flores"/>
        <s v="Yuritzi Alejo"/>
        <s v="Genaro Castro"/>
        <s v="Dulce González"/>
        <s v="Iván Luna"/>
        <s v="Dolores Jiménez"/>
        <s v="Karla Ángeles"/>
        <s v="Alfredo Almaráz"/>
        <s v="Rubí Rodríguez"/>
        <s v="Christian Castellanos"/>
        <s v="Jose Carlos Orozco"/>
        <s v="Ricardo Vidal"/>
        <s v="Julio César Trejo"/>
        <s v="Best"/>
        <s v="Diana Tejadilla"/>
        <s v="Noe Acevedo"/>
        <s v="Cancelada"/>
        <s v="Alondra Díaz"/>
        <s v="Mostrador"/>
        <s v="Noemí Castillo"/>
        <s v="Oscar Moreno"/>
        <s v="Recepción"/>
        <s v="Antonio Salazar"/>
        <s v="Leonard Lule"/>
        <s v="Giovanni Salas"/>
        <s v="Blanca Montoya"/>
        <s v="Carlos Guerra"/>
        <s v="David Montañéz"/>
        <s v="Roger Gómez"/>
        <s v="Margarita González"/>
        <s v="Antonio Hernández"/>
        <s v="Carlos Díaz"/>
        <m u="1"/>
        <s v="Rubi Rodríguez" u="1"/>
        <s v="Pedro" u="1"/>
        <s v="Miguel Angel Romero" u="1"/>
        <s v="Miguel Ángel Romero" u="1"/>
        <s v="RECEPCION" u="1"/>
        <s v="Leonar Lule" u="1"/>
      </sharedItems>
    </cacheField>
    <cacheField name="Región" numFmtId="0">
      <sharedItems containsBlank="1" count="8">
        <s v="Centro"/>
        <s v="Sur"/>
        <s v="Norte"/>
        <s v="Magallanes"/>
        <e v="#N/A"/>
        <m u="1"/>
        <s v="-" u="1"/>
        <s v="BEST" u="1"/>
      </sharedItems>
    </cacheField>
    <cacheField name="Núm. De cliente" numFmtId="0">
      <sharedItems containsSemiMixedTypes="0" containsString="0" containsNumber="1" containsInteger="1" minValue="23080" maxValue="23881"/>
    </cacheField>
    <cacheField name="Categoría" numFmtId="0">
      <sharedItems containsBlank="1" count="4">
        <s v="Alta sin facturar"/>
        <s v="Cliente"/>
        <s v="Cliente nuevo"/>
        <m u="1"/>
      </sharedItems>
    </cacheField>
    <cacheField name="Estatus" numFmtId="0">
      <sharedItems containsNonDate="0" containsString="0" containsBlank="1"/>
    </cacheField>
    <cacheField name="Meses facturados" numFmtId="0">
      <sharedItems containsSemiMixedTypes="0" containsString="0" containsNumber="1" containsInteger="1" minValue="0" maxValue="8"/>
    </cacheField>
    <cacheField name="Enero" numFmtId="0">
      <sharedItems containsSemiMixedTypes="0" containsString="0" containsNumber="1" minValue="0" maxValue="205253.88000000006"/>
    </cacheField>
    <cacheField name="Febrero" numFmtId="0">
      <sharedItems containsSemiMixedTypes="0" containsString="0" containsNumber="1" minValue="0" maxValue="380995.04000000091"/>
    </cacheField>
    <cacheField name="Marzo" numFmtId="0">
      <sharedItems containsSemiMixedTypes="0" containsString="0" containsNumber="1" minValue="0" maxValue="335546.24000000028"/>
    </cacheField>
    <cacheField name="Abril" numFmtId="0">
      <sharedItems containsSemiMixedTypes="0" containsString="0" containsNumber="1" minValue="0" maxValue="351265.4000000009"/>
    </cacheField>
    <cacheField name="Mayo" numFmtId="0">
      <sharedItems containsSemiMixedTypes="0" containsString="0" containsNumber="1" minValue="0" maxValue="292277.0799999999"/>
    </cacheField>
    <cacheField name="Junio" numFmtId="0">
      <sharedItems containsSemiMixedTypes="0" containsString="0" containsNumber="1" minValue="0" maxValue="453933.52"/>
    </cacheField>
    <cacheField name="Julio" numFmtId="0">
      <sharedItems containsSemiMixedTypes="0" containsString="0" containsNumber="1" minValue="0" maxValue="387232.36000000197"/>
    </cacheField>
    <cacheField name="Agosto" numFmtId="0">
      <sharedItems containsSemiMixedTypes="0" containsString="0" containsNumber="1" minValue="0" maxValue="313720.83999999997"/>
    </cacheField>
    <cacheField name="Suma de ventas" numFmtId="0">
      <sharedItems containsSemiMixedTypes="0" containsString="0" containsNumber="1" minValue="0" maxValue="2720224.36000000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8">
  <r>
    <d v="2022-01-03T00:00:00"/>
    <x v="0"/>
    <x v="0"/>
    <s v="CENTRO"/>
    <n v="23080"/>
    <x v="0"/>
    <m/>
    <n v="0"/>
    <n v="0"/>
    <n v="0"/>
    <n v="0"/>
    <n v="0"/>
    <n v="0"/>
    <n v="0"/>
    <n v="0"/>
    <n v="1"/>
    <n v="0"/>
    <m/>
    <n v="0"/>
    <n v="0"/>
    <n v="0"/>
    <s v="Alta sin facturar"/>
    <x v="0"/>
    <m/>
    <m/>
    <m/>
    <m/>
    <m/>
    <m/>
  </r>
  <r>
    <d v="2022-01-03T00:00:00"/>
    <x v="0"/>
    <x v="1"/>
    <s v="CENTRO"/>
    <n v="23081"/>
    <x v="1"/>
    <m/>
    <n v="7"/>
    <n v="5336"/>
    <n v="5744.32"/>
    <n v="9239.4"/>
    <n v="8745.24"/>
    <n v="6961.16"/>
    <n v="8067.8"/>
    <n v="9052.6400000000012"/>
    <m/>
    <n v="53146.559999999998"/>
    <n v="228.52"/>
    <n v="7"/>
    <n v="52918.04"/>
    <n v="4.2998079273616208E-3"/>
    <s v="Cliente"/>
    <x v="1"/>
    <m/>
    <m/>
    <m/>
    <m/>
    <m/>
    <m/>
  </r>
  <r>
    <d v="2022-01-03T00:00:00"/>
    <x v="0"/>
    <x v="1"/>
    <s v="CENTRO"/>
    <n v="23082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04T00:00:00"/>
    <x v="0"/>
    <x v="2"/>
    <s v="SUR"/>
    <n v="23083"/>
    <x v="1"/>
    <m/>
    <n v="4"/>
    <n v="1740"/>
    <n v="0"/>
    <n v="0"/>
    <n v="610.16000000000008"/>
    <n v="0"/>
    <n v="690.2"/>
    <n v="511.56"/>
    <m/>
    <n v="3551.9199999999996"/>
    <n v="302.76"/>
    <n v="4"/>
    <n v="3249.16"/>
    <n v="8.5238406270411501E-2"/>
    <s v="Cliente"/>
    <x v="1"/>
    <m/>
    <m/>
    <m/>
    <m/>
    <m/>
    <m/>
  </r>
  <r>
    <d v="2022-01-04T00:00:00"/>
    <x v="0"/>
    <x v="3"/>
    <s v="CENTRO"/>
    <n v="23084"/>
    <x v="1"/>
    <m/>
    <n v="4"/>
    <n v="0"/>
    <n v="1401.28"/>
    <n v="0"/>
    <n v="772.56"/>
    <n v="0"/>
    <n v="9320.6"/>
    <n v="2934.8"/>
    <m/>
    <n v="14429.240000000002"/>
    <n v="324.8"/>
    <n v="4"/>
    <n v="14104.440000000002"/>
    <n v="2.2509848058525603E-2"/>
    <s v="Cliente"/>
    <x v="1"/>
    <m/>
    <m/>
    <m/>
    <m/>
    <m/>
    <m/>
  </r>
  <r>
    <d v="2022-01-04T00:00:00"/>
    <x v="0"/>
    <x v="4"/>
    <s v="CENTRO"/>
    <n v="23085"/>
    <x v="2"/>
    <m/>
    <n v="1"/>
    <n v="8700"/>
    <n v="0"/>
    <n v="0"/>
    <n v="0"/>
    <n v="0"/>
    <n v="0"/>
    <n v="0"/>
    <m/>
    <n v="8700"/>
    <n v="8700"/>
    <n v="1"/>
    <n v="0"/>
    <n v="1"/>
    <s v="Cliente nuevo"/>
    <x v="0"/>
    <m/>
    <m/>
    <m/>
    <m/>
    <m/>
    <m/>
  </r>
  <r>
    <d v="2022-01-06T00:00:00"/>
    <x v="0"/>
    <x v="5"/>
    <s v="CENTRO"/>
    <n v="23086"/>
    <x v="1"/>
    <m/>
    <n v="4"/>
    <n v="63512.32"/>
    <n v="0"/>
    <n v="0"/>
    <n v="0"/>
    <n v="4640"/>
    <n v="21460"/>
    <n v="11310"/>
    <m/>
    <n v="100922.32"/>
    <n v="3480"/>
    <n v="4"/>
    <n v="97442.32"/>
    <n v="3.4481965931817654E-2"/>
    <s v="Cliente"/>
    <x v="1"/>
    <m/>
    <m/>
    <m/>
    <m/>
    <m/>
    <m/>
  </r>
  <r>
    <d v="2022-01-06T00:00:00"/>
    <x v="0"/>
    <x v="4"/>
    <s v="CENTRO"/>
    <n v="23087"/>
    <x v="1"/>
    <m/>
    <n v="5"/>
    <n v="56028"/>
    <n v="15428"/>
    <n v="0"/>
    <n v="870"/>
    <n v="0"/>
    <n v="5684"/>
    <n v="14674"/>
    <m/>
    <n v="92684"/>
    <n v="2494"/>
    <n v="5"/>
    <n v="90190"/>
    <n v="2.6908635794743431E-2"/>
    <s v="Cliente"/>
    <x v="1"/>
    <m/>
    <m/>
    <m/>
    <m/>
    <m/>
    <m/>
  </r>
  <r>
    <d v="2022-01-06T00:00:00"/>
    <x v="0"/>
    <x v="6"/>
    <s v="SUR"/>
    <n v="23088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06T00:00:00"/>
    <x v="0"/>
    <x v="2"/>
    <s v="SUR"/>
    <n v="23089"/>
    <x v="1"/>
    <m/>
    <n v="3"/>
    <n v="0"/>
    <n v="0"/>
    <n v="0"/>
    <n v="0"/>
    <n v="1422.16"/>
    <n v="2304.92"/>
    <n v="2180.8000000000002"/>
    <m/>
    <n v="5907.88"/>
    <n v="428.03999999999996"/>
    <n v="3"/>
    <n v="5479.84"/>
    <n v="7.2452385627331625E-2"/>
    <s v="Cliente"/>
    <x v="1"/>
    <m/>
    <m/>
    <m/>
    <m/>
    <m/>
    <m/>
  </r>
  <r>
    <d v="2022-01-06T00:00:00"/>
    <x v="0"/>
    <x v="7"/>
    <s v="NORTE"/>
    <n v="23090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06T00:00:00"/>
    <x v="0"/>
    <x v="4"/>
    <s v="CENTRO"/>
    <n v="23091"/>
    <x v="1"/>
    <m/>
    <n v="6"/>
    <n v="4872"/>
    <n v="3248"/>
    <n v="747.04"/>
    <n v="174"/>
    <n v="0"/>
    <n v="1624"/>
    <n v="1624"/>
    <m/>
    <n v="12289.04"/>
    <n v="2371.04"/>
    <n v="6"/>
    <n v="9918"/>
    <n v="0.192939399660185"/>
    <s v="Cliente"/>
    <x v="1"/>
    <m/>
    <m/>
    <m/>
    <m/>
    <m/>
    <m/>
  </r>
  <r>
    <d v="2022-01-06T00:00:00"/>
    <x v="0"/>
    <x v="8"/>
    <s v="NORTE"/>
    <n v="23092"/>
    <x v="1"/>
    <m/>
    <n v="7"/>
    <n v="205253.88"/>
    <n v="380995.04"/>
    <n v="335546.24"/>
    <n v="351265.4"/>
    <n v="292277.08"/>
    <n v="453933.52"/>
    <n v="387232.36"/>
    <m/>
    <n v="2406503.52"/>
    <n v="841165.88000000012"/>
    <n v="7"/>
    <n v="1565337.64"/>
    <n v="0.34953860362522976"/>
    <s v="Cliente"/>
    <x v="1"/>
    <m/>
    <m/>
    <m/>
    <m/>
    <m/>
    <m/>
  </r>
  <r>
    <d v="2022-01-06T00:00:00"/>
    <x v="0"/>
    <x v="9"/>
    <s v="NORTE"/>
    <n v="23093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07T00:00:00"/>
    <x v="0"/>
    <x v="3"/>
    <s v="CENTRO"/>
    <n v="23094"/>
    <x v="1"/>
    <m/>
    <n v="7"/>
    <n v="927884"/>
    <n v="379088"/>
    <n v="370562"/>
    <n v="63394"/>
    <n v="82650"/>
    <n v="262392"/>
    <n v="155382"/>
    <m/>
    <n v="2241352"/>
    <n v="49590"/>
    <n v="7"/>
    <n v="2191762"/>
    <n v="2.2125038815857572E-2"/>
    <s v="Cliente"/>
    <x v="1"/>
    <m/>
    <m/>
    <m/>
    <m/>
    <m/>
    <m/>
  </r>
  <r>
    <d v="2022-01-07T00:00:00"/>
    <x v="0"/>
    <x v="10"/>
    <s v="CENTRO"/>
    <n v="23095"/>
    <x v="1"/>
    <m/>
    <n v="4"/>
    <n v="4594.76"/>
    <n v="17110"/>
    <n v="4060"/>
    <n v="0"/>
    <n v="0"/>
    <n v="1102"/>
    <n v="0"/>
    <m/>
    <n v="26866.760000000002"/>
    <n v="1102"/>
    <n v="4"/>
    <n v="25764.760000000002"/>
    <n v="4.101722723543888E-2"/>
    <s v="Cliente"/>
    <x v="1"/>
    <m/>
    <m/>
    <m/>
    <m/>
    <m/>
    <m/>
  </r>
  <r>
    <d v="2022-01-08T00:00:00"/>
    <x v="0"/>
    <x v="5"/>
    <s v="CENTRO"/>
    <n v="23096"/>
    <x v="2"/>
    <m/>
    <n v="1"/>
    <n v="928"/>
    <n v="0"/>
    <n v="0"/>
    <n v="0"/>
    <n v="0"/>
    <n v="0"/>
    <n v="0"/>
    <m/>
    <n v="928"/>
    <n v="928"/>
    <n v="1"/>
    <n v="0"/>
    <n v="1"/>
    <s v="Cliente nuevo"/>
    <x v="0"/>
    <m/>
    <m/>
    <m/>
    <m/>
    <m/>
    <m/>
  </r>
  <r>
    <d v="2022-01-08T00:00:00"/>
    <x v="0"/>
    <x v="11"/>
    <s v="MAGALLANES"/>
    <n v="23097"/>
    <x v="2"/>
    <m/>
    <n v="1"/>
    <n v="10211.48"/>
    <n v="0"/>
    <n v="0"/>
    <n v="0"/>
    <n v="0"/>
    <n v="0"/>
    <n v="0"/>
    <m/>
    <n v="10211.48"/>
    <n v="10211.48"/>
    <n v="1"/>
    <n v="0"/>
    <n v="1"/>
    <s v="Cliente nuevo"/>
    <x v="0"/>
    <m/>
    <m/>
    <m/>
    <m/>
    <m/>
    <m/>
  </r>
  <r>
    <d v="2022-01-08T00:00:00"/>
    <x v="0"/>
    <x v="11"/>
    <s v="MAGALLANES"/>
    <n v="23098"/>
    <x v="2"/>
    <m/>
    <n v="1"/>
    <n v="836.36"/>
    <n v="0"/>
    <n v="0"/>
    <n v="0"/>
    <n v="0"/>
    <n v="0"/>
    <n v="0"/>
    <m/>
    <n v="836.36"/>
    <n v="24.36"/>
    <n v="1"/>
    <n v="812"/>
    <n v="2.9126213592233007E-2"/>
    <s v="Cliente nuevo"/>
    <x v="1"/>
    <m/>
    <m/>
    <m/>
    <m/>
    <m/>
    <m/>
  </r>
  <r>
    <d v="2022-01-08T00:00:00"/>
    <x v="0"/>
    <x v="11"/>
    <s v="MAGALLANES"/>
    <n v="23099"/>
    <x v="1"/>
    <m/>
    <n v="7"/>
    <n v="6681.6"/>
    <n v="2853.6000000000004"/>
    <n v="835.2"/>
    <n v="4036.8"/>
    <n v="951.2"/>
    <n v="395.56"/>
    <n v="4803.5600000000004"/>
    <m/>
    <n v="20557.52"/>
    <n v="696"/>
    <n v="7"/>
    <n v="19861.52"/>
    <n v="3.3856223902494077E-2"/>
    <s v="Cliente"/>
    <x v="1"/>
    <m/>
    <m/>
    <m/>
    <m/>
    <m/>
    <m/>
  </r>
  <r>
    <d v="2022-01-10T00:00:00"/>
    <x v="0"/>
    <x v="5"/>
    <s v="CENTRO"/>
    <n v="23100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0T00:00:00"/>
    <x v="0"/>
    <x v="5"/>
    <s v="CENTRO"/>
    <n v="23101"/>
    <x v="2"/>
    <m/>
    <n v="1"/>
    <n v="928"/>
    <n v="0"/>
    <n v="0"/>
    <n v="0"/>
    <n v="0"/>
    <n v="0"/>
    <n v="0"/>
    <m/>
    <n v="928"/>
    <n v="0"/>
    <n v="1"/>
    <n v="928"/>
    <n v="0"/>
    <s v="Cliente nuevo"/>
    <x v="1"/>
    <m/>
    <m/>
    <m/>
    <m/>
    <m/>
    <m/>
  </r>
  <r>
    <d v="2022-01-10T00:00:00"/>
    <x v="0"/>
    <x v="1"/>
    <s v="CENTRO"/>
    <n v="23102"/>
    <x v="1"/>
    <m/>
    <n v="6"/>
    <n v="725"/>
    <n v="0"/>
    <n v="3528.7200000000003"/>
    <n v="5274.52"/>
    <n v="2395.4"/>
    <n v="1633.2800000000002"/>
    <n v="5761.7199999999993"/>
    <m/>
    <n v="19318.64"/>
    <n v="0"/>
    <n v="6"/>
    <n v="19318.64"/>
    <n v="0"/>
    <s v="Cliente"/>
    <x v="1"/>
    <m/>
    <m/>
    <m/>
    <m/>
    <m/>
    <m/>
  </r>
  <r>
    <d v="2022-01-10T00:00:00"/>
    <x v="0"/>
    <x v="1"/>
    <s v="CENTRO"/>
    <n v="23103"/>
    <x v="1"/>
    <m/>
    <n v="7"/>
    <n v="11368"/>
    <n v="26796"/>
    <n v="12180"/>
    <n v="4060"/>
    <n v="11368"/>
    <n v="9686"/>
    <n v="21228"/>
    <m/>
    <n v="96686"/>
    <n v="0"/>
    <n v="7"/>
    <n v="96686"/>
    <n v="0"/>
    <s v="Cliente"/>
    <x v="1"/>
    <m/>
    <m/>
    <m/>
    <m/>
    <m/>
    <m/>
  </r>
  <r>
    <d v="2022-01-10T00:00:00"/>
    <x v="0"/>
    <x v="9"/>
    <s v="NORTE"/>
    <n v="23104"/>
    <x v="1"/>
    <m/>
    <n v="7"/>
    <n v="16512.599999999999"/>
    <n v="14645"/>
    <n v="2308.4"/>
    <n v="5104"/>
    <n v="10540.92"/>
    <n v="3289.76"/>
    <n v="7108.4800000000005"/>
    <m/>
    <n v="59509.16"/>
    <n v="0"/>
    <n v="7"/>
    <n v="59509.16"/>
    <n v="0"/>
    <s v="Cliente"/>
    <x v="1"/>
    <m/>
    <m/>
    <m/>
    <m/>
    <m/>
    <m/>
  </r>
  <r>
    <d v="2022-01-11T00:00:00"/>
    <x v="0"/>
    <x v="12"/>
    <s v="CENTRO"/>
    <n v="23105"/>
    <x v="1"/>
    <m/>
    <n v="6"/>
    <n v="9952.7999999999993"/>
    <n v="9048"/>
    <n v="904.8"/>
    <n v="580"/>
    <n v="0"/>
    <n v="580"/>
    <n v="904.8"/>
    <m/>
    <n v="21970.399999999998"/>
    <n v="0"/>
    <n v="6"/>
    <n v="21970.399999999998"/>
    <n v="0"/>
    <s v="Cliente"/>
    <x v="1"/>
    <m/>
    <m/>
    <m/>
    <m/>
    <m/>
    <m/>
  </r>
  <r>
    <d v="2022-01-11T00:00:00"/>
    <x v="0"/>
    <x v="5"/>
    <s v="CENTRO"/>
    <n v="23106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1T00:00:00"/>
    <x v="0"/>
    <x v="13"/>
    <s v="NORTE"/>
    <n v="23107"/>
    <x v="1"/>
    <m/>
    <n v="7"/>
    <n v="34333.68"/>
    <n v="22338.12"/>
    <n v="34126.04"/>
    <n v="26899.239999999998"/>
    <n v="17278.2"/>
    <n v="46328.08"/>
    <n v="24364.639999999999"/>
    <m/>
    <n v="205668"/>
    <n v="15179.76"/>
    <n v="7"/>
    <n v="190488.24"/>
    <n v="7.3807106598984776E-2"/>
    <s v="Cliente"/>
    <x v="1"/>
    <m/>
    <m/>
    <m/>
    <m/>
    <m/>
    <m/>
  </r>
  <r>
    <d v="2022-01-11T00:00:00"/>
    <x v="0"/>
    <x v="5"/>
    <s v="CENTRO"/>
    <n v="23108"/>
    <x v="1"/>
    <m/>
    <n v="6"/>
    <n v="0"/>
    <n v="2148.3199999999997"/>
    <n v="1717.96"/>
    <n v="909.44"/>
    <n v="1039.3599999999999"/>
    <n v="6173.5199999999995"/>
    <n v="1209.8800000000001"/>
    <m/>
    <n v="13198.48"/>
    <n v="0"/>
    <n v="6"/>
    <n v="13198.48"/>
    <n v="0"/>
    <s v="Cliente"/>
    <x v="1"/>
    <m/>
    <m/>
    <m/>
    <m/>
    <m/>
    <m/>
  </r>
  <r>
    <d v="2022-01-12T00:00:00"/>
    <x v="0"/>
    <x v="2"/>
    <s v="SUR"/>
    <n v="23109"/>
    <x v="1"/>
    <m/>
    <n v="7"/>
    <n v="38634.959999999999"/>
    <n v="7589.88"/>
    <n v="559.12"/>
    <n v="812"/>
    <n v="2094.96"/>
    <n v="546.36"/>
    <n v="291.16000000000003"/>
    <m/>
    <n v="50528.44"/>
    <n v="291.16000000000003"/>
    <n v="7"/>
    <n v="50237.279999999999"/>
    <n v="5.7622994099956384E-3"/>
    <s v="Cliente"/>
    <x v="1"/>
    <m/>
    <m/>
    <m/>
    <m/>
    <m/>
    <m/>
  </r>
  <r>
    <d v="2022-01-12T00:00:00"/>
    <x v="0"/>
    <x v="14"/>
    <s v="CENTRO"/>
    <n v="23110"/>
    <x v="1"/>
    <m/>
    <n v="6"/>
    <n v="2343.1999999999998"/>
    <n v="3413.88"/>
    <n v="1485.96"/>
    <n v="435"/>
    <n v="403.68"/>
    <n v="351.48"/>
    <n v="0"/>
    <m/>
    <n v="8433.2000000000007"/>
    <n v="857.24"/>
    <n v="6"/>
    <n v="7575.9600000000009"/>
    <n v="0.10165061898211829"/>
    <s v="Cliente"/>
    <x v="1"/>
    <m/>
    <m/>
    <m/>
    <m/>
    <m/>
    <m/>
  </r>
  <r>
    <d v="2022-01-12T00:00:00"/>
    <x v="0"/>
    <x v="12"/>
    <s v="CENTRO"/>
    <n v="23111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2T00:00:00"/>
    <x v="0"/>
    <x v="3"/>
    <s v="CENTRO"/>
    <n v="23112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2T00:00:00"/>
    <x v="0"/>
    <x v="3"/>
    <s v="CENTRO"/>
    <n v="23113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2T00:00:00"/>
    <x v="0"/>
    <x v="6"/>
    <s v="SUR"/>
    <n v="23114"/>
    <x v="1"/>
    <m/>
    <n v="3"/>
    <n v="0"/>
    <n v="0"/>
    <n v="0"/>
    <n v="430.36"/>
    <n v="0"/>
    <n v="91.64"/>
    <n v="183.28"/>
    <m/>
    <n v="705.28"/>
    <n v="0"/>
    <n v="3"/>
    <n v="705.28"/>
    <n v="0"/>
    <s v="Cliente"/>
    <x v="1"/>
    <m/>
    <m/>
    <m/>
    <m/>
    <m/>
    <m/>
  </r>
  <r>
    <d v="2022-01-12T00:00:00"/>
    <x v="0"/>
    <x v="12"/>
    <s v="CENTRO"/>
    <n v="23115"/>
    <x v="2"/>
    <m/>
    <n v="2"/>
    <n v="0"/>
    <n v="904.8"/>
    <n v="0"/>
    <n v="3424.32"/>
    <n v="0"/>
    <n v="0"/>
    <n v="0"/>
    <m/>
    <n v="4329.12"/>
    <n v="290"/>
    <n v="2"/>
    <n v="4039.12"/>
    <n v="6.6988210075026797E-2"/>
    <s v="Cliente nuevo"/>
    <x v="1"/>
    <m/>
    <m/>
    <m/>
    <m/>
    <m/>
    <m/>
  </r>
  <r>
    <d v="2022-01-12T00:00:00"/>
    <x v="0"/>
    <x v="1"/>
    <s v="CENTRO"/>
    <n v="23116"/>
    <x v="1"/>
    <m/>
    <n v="3"/>
    <n v="276.08000000000004"/>
    <n v="310.88"/>
    <n v="926.83999999999992"/>
    <n v="0"/>
    <n v="0"/>
    <n v="0"/>
    <n v="0"/>
    <m/>
    <n v="1513.8"/>
    <n v="0"/>
    <n v="3"/>
    <n v="1513.8"/>
    <n v="0"/>
    <s v="Cliente"/>
    <x v="1"/>
    <m/>
    <m/>
    <m/>
    <m/>
    <m/>
    <m/>
  </r>
  <r>
    <d v="2022-01-13T00:00:00"/>
    <x v="0"/>
    <x v="15"/>
    <s v="MAGALLANES"/>
    <n v="23117"/>
    <x v="1"/>
    <m/>
    <n v="5"/>
    <n v="0"/>
    <n v="15219.199999999999"/>
    <n v="0"/>
    <n v="928"/>
    <n v="280.72000000000003"/>
    <n v="1968.52"/>
    <n v="8451.76"/>
    <m/>
    <n v="26848.199999999997"/>
    <n v="1856"/>
    <n v="5"/>
    <n v="24992.199999999997"/>
    <n v="6.9129401598617413E-2"/>
    <s v="Cliente"/>
    <x v="1"/>
    <m/>
    <m/>
    <m/>
    <m/>
    <m/>
    <m/>
  </r>
  <r>
    <d v="2022-01-13T00:00:00"/>
    <x v="0"/>
    <x v="4"/>
    <s v="CENTRO"/>
    <n v="23118"/>
    <x v="1"/>
    <m/>
    <n v="6"/>
    <n v="28420"/>
    <n v="155092"/>
    <n v="159152"/>
    <n v="48488"/>
    <n v="4060"/>
    <n v="12992"/>
    <n v="0"/>
    <m/>
    <n v="408204"/>
    <n v="0"/>
    <n v="6"/>
    <n v="408204"/>
    <n v="0"/>
    <s v="Cliente"/>
    <x v="1"/>
    <m/>
    <m/>
    <m/>
    <m/>
    <m/>
    <m/>
  </r>
  <r>
    <d v="2022-01-13T00:00:00"/>
    <x v="0"/>
    <x v="1"/>
    <s v="CENTRO"/>
    <n v="23119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4T00:00:00"/>
    <x v="0"/>
    <x v="2"/>
    <s v="SUR"/>
    <n v="23120"/>
    <x v="1"/>
    <m/>
    <n v="7"/>
    <n v="5155.04"/>
    <n v="11957.280000000002"/>
    <n v="20412.519999999997"/>
    <n v="8471.48"/>
    <n v="16582.2"/>
    <n v="13014.039999999999"/>
    <n v="15498.76"/>
    <m/>
    <n v="91091.319999999978"/>
    <n v="5.28"/>
    <n v="7"/>
    <n v="91086.039999999979"/>
    <n v="5.7963810382811461E-5"/>
    <s v="Cliente"/>
    <x v="1"/>
    <m/>
    <m/>
    <m/>
    <m/>
    <m/>
    <m/>
  </r>
  <r>
    <d v="2022-01-14T00:00:00"/>
    <x v="0"/>
    <x v="8"/>
    <s v="NORTE"/>
    <n v="23121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4T00:00:00"/>
    <x v="0"/>
    <x v="15"/>
    <s v="MAGALLANES"/>
    <n v="23122"/>
    <x v="1"/>
    <m/>
    <n v="3"/>
    <n v="556.79999999999995"/>
    <n v="907.11999999999989"/>
    <n v="556.79999999999995"/>
    <n v="0"/>
    <n v="0"/>
    <n v="0"/>
    <n v="0"/>
    <m/>
    <n v="2020.7199999999998"/>
    <n v="556.79999999999995"/>
    <n v="3"/>
    <n v="1463.9199999999998"/>
    <n v="0.27554535017221587"/>
    <s v="Cliente"/>
    <x v="1"/>
    <m/>
    <m/>
    <m/>
    <m/>
    <m/>
    <m/>
  </r>
  <r>
    <d v="2022-01-14T00:00:00"/>
    <x v="0"/>
    <x v="13"/>
    <s v="NORTE"/>
    <n v="23123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4T00:00:00"/>
    <x v="0"/>
    <x v="13"/>
    <s v="NORTE"/>
    <n v="23124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4T00:00:00"/>
    <x v="0"/>
    <x v="13"/>
    <s v="NORTE"/>
    <n v="23125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4T00:00:00"/>
    <x v="0"/>
    <x v="5"/>
    <s v="CENTRO"/>
    <n v="23126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4T00:00:00"/>
    <x v="0"/>
    <x v="5"/>
    <s v="CENTRO"/>
    <n v="23127"/>
    <x v="2"/>
    <m/>
    <n v="1"/>
    <n v="4640"/>
    <n v="0"/>
    <n v="0"/>
    <n v="0"/>
    <n v="0"/>
    <n v="0"/>
    <n v="0"/>
    <m/>
    <n v="4640"/>
    <n v="0"/>
    <n v="1"/>
    <n v="4640"/>
    <n v="0"/>
    <s v="Cliente nuevo"/>
    <x v="1"/>
    <m/>
    <m/>
    <m/>
    <m/>
    <m/>
    <m/>
  </r>
  <r>
    <d v="2022-01-14T00:00:00"/>
    <x v="0"/>
    <x v="16"/>
    <s v="NORTE"/>
    <n v="23128"/>
    <x v="2"/>
    <m/>
    <n v="2"/>
    <n v="1270.2"/>
    <n v="214.6"/>
    <n v="0"/>
    <n v="0"/>
    <n v="0"/>
    <n v="0"/>
    <n v="0"/>
    <m/>
    <n v="1484.8"/>
    <n v="1484.8"/>
    <n v="2"/>
    <n v="0"/>
    <n v="1"/>
    <s v="Cliente nuevo"/>
    <x v="0"/>
    <m/>
    <m/>
    <m/>
    <m/>
    <m/>
    <m/>
  </r>
  <r>
    <d v="2022-01-14T00:00:00"/>
    <x v="0"/>
    <x v="3"/>
    <s v="CENTRO"/>
    <n v="23129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5T00:00:00"/>
    <x v="0"/>
    <x v="13"/>
    <s v="NORTE"/>
    <n v="23132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5T00:00:00"/>
    <x v="0"/>
    <x v="13"/>
    <s v="NORTE"/>
    <n v="23133"/>
    <x v="0"/>
    <m/>
    <n v="1"/>
    <n v="1624"/>
    <n v="0"/>
    <n v="0"/>
    <n v="0"/>
    <n v="0"/>
    <n v="0"/>
    <n v="0"/>
    <m/>
    <n v="1624"/>
    <m/>
    <n v="1"/>
    <n v="1624"/>
    <n v="0"/>
    <s v="Cliente nuevo"/>
    <x v="1"/>
    <m/>
    <m/>
    <m/>
    <m/>
    <m/>
    <m/>
  </r>
  <r>
    <d v="2022-01-15T00:00:00"/>
    <x v="0"/>
    <x v="3"/>
    <s v="CENTRO"/>
    <n v="23134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5T00:00:00"/>
    <x v="0"/>
    <x v="3"/>
    <s v="CENTRO"/>
    <n v="23135"/>
    <x v="0"/>
    <m/>
    <n v="0"/>
    <n v="0"/>
    <n v="0"/>
    <n v="0"/>
    <n v="0"/>
    <n v="0"/>
    <n v="0"/>
    <n v="0"/>
    <m/>
    <n v="0"/>
    <n v="1624"/>
    <n v="0"/>
    <n v="-1624"/>
    <n v="0"/>
    <s v="Alta sin facturar"/>
    <x v="0"/>
    <m/>
    <m/>
    <m/>
    <m/>
    <m/>
    <m/>
  </r>
  <r>
    <d v="2022-01-15T00:00:00"/>
    <x v="0"/>
    <x v="13"/>
    <s v="NORTE"/>
    <n v="23136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5T00:00:00"/>
    <x v="0"/>
    <x v="13"/>
    <s v="NORTE"/>
    <n v="23137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5T00:00:00"/>
    <x v="0"/>
    <x v="13"/>
    <s v="NORTE"/>
    <n v="23138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5T00:00:00"/>
    <x v="0"/>
    <x v="9"/>
    <s v="NORTE"/>
    <n v="23139"/>
    <x v="1"/>
    <m/>
    <n v="5"/>
    <n v="0"/>
    <n v="17666.8"/>
    <n v="3462.6000000000004"/>
    <n v="116"/>
    <n v="0"/>
    <n v="3589.0399999999995"/>
    <n v="10073.44"/>
    <m/>
    <n v="34907.880000000005"/>
    <m/>
    <n v="5"/>
    <n v="34907.880000000005"/>
    <n v="0"/>
    <s v="Cliente"/>
    <x v="1"/>
    <m/>
    <m/>
    <m/>
    <m/>
    <m/>
    <m/>
  </r>
  <r>
    <d v="2022-01-15T00:00:00"/>
    <x v="0"/>
    <x v="11"/>
    <s v="MAGALLANES"/>
    <n v="23140"/>
    <x v="2"/>
    <m/>
    <n v="7"/>
    <n v="14621.8"/>
    <n v="32857"/>
    <n v="47590.16"/>
    <n v="32242.199999999997"/>
    <n v="24063.040000000001"/>
    <n v="14834.08"/>
    <n v="33223.56"/>
    <m/>
    <n v="199431.84"/>
    <m/>
    <n v="7"/>
    <n v="199431.84"/>
    <n v="0"/>
    <s v="Cliente"/>
    <x v="1"/>
    <m/>
    <m/>
    <m/>
    <m/>
    <m/>
    <m/>
  </r>
  <r>
    <d v="2022-01-15T00:00:00"/>
    <x v="0"/>
    <x v="11"/>
    <s v="MAGALLANES"/>
    <n v="23141"/>
    <x v="1"/>
    <m/>
    <n v="3"/>
    <n v="0"/>
    <n v="0"/>
    <n v="0"/>
    <n v="0"/>
    <n v="389.76"/>
    <n v="1180.8800000000001"/>
    <n v="4810.5200000000004"/>
    <m/>
    <n v="6381.1600000000008"/>
    <n v="3475.36"/>
    <n v="3"/>
    <n v="2905.8000000000006"/>
    <n v="0.5446282494091983"/>
    <s v="Cliente"/>
    <x v="1"/>
    <m/>
    <m/>
    <m/>
    <m/>
    <m/>
    <m/>
  </r>
  <r>
    <d v="2022-01-15T00:00:00"/>
    <x v="0"/>
    <x v="3"/>
    <s v="CENTRO"/>
    <n v="23142"/>
    <x v="1"/>
    <m/>
    <n v="1"/>
    <n v="0"/>
    <n v="0"/>
    <n v="0"/>
    <n v="3712"/>
    <n v="0"/>
    <n v="0"/>
    <n v="0"/>
    <m/>
    <n v="3712"/>
    <n v="18884.8"/>
    <n v="1"/>
    <n v="-15172.8"/>
    <n v="5.0874999999999995"/>
    <s v="Cliente nuevo"/>
    <x v="0"/>
    <m/>
    <m/>
    <m/>
    <m/>
    <m/>
    <m/>
  </r>
  <r>
    <d v="2022-01-17T00:00:00"/>
    <x v="0"/>
    <x v="11"/>
    <s v="MAGALLANES"/>
    <n v="23143"/>
    <x v="1"/>
    <m/>
    <n v="7"/>
    <n v="3483.48"/>
    <n v="567.2399999999999"/>
    <n v="8246.4399999999987"/>
    <n v="2687.7200000000003"/>
    <n v="2553.16"/>
    <n v="6919.4"/>
    <n v="2155.2800000000002"/>
    <m/>
    <n v="26612.719999999994"/>
    <n v="685.56"/>
    <n v="7"/>
    <n v="25927.159999999993"/>
    <n v="2.5760613721558717E-2"/>
    <s v="Cliente"/>
    <x v="1"/>
    <m/>
    <m/>
    <m/>
    <m/>
    <m/>
    <m/>
  </r>
  <r>
    <d v="2022-01-17T00:00:00"/>
    <x v="0"/>
    <x v="14"/>
    <s v="CENTRO"/>
    <n v="23144"/>
    <x v="1"/>
    <m/>
    <n v="7"/>
    <n v="25172"/>
    <n v="17632"/>
    <n v="1624"/>
    <n v="9744"/>
    <n v="1044"/>
    <n v="7308"/>
    <n v="7540"/>
    <m/>
    <n v="70064"/>
    <n v="0"/>
    <n v="7"/>
    <n v="70064"/>
    <n v="0"/>
    <s v="Cliente"/>
    <x v="1"/>
    <m/>
    <m/>
    <m/>
    <m/>
    <m/>
    <m/>
  </r>
  <r>
    <d v="2022-01-17T00:00:00"/>
    <x v="0"/>
    <x v="12"/>
    <s v="CENTRO"/>
    <n v="23145"/>
    <x v="1"/>
    <m/>
    <n v="3"/>
    <n v="1809.6"/>
    <n v="0"/>
    <n v="1359.52"/>
    <n v="247.08"/>
    <n v="0"/>
    <n v="0"/>
    <n v="0"/>
    <m/>
    <n v="3416.2"/>
    <n v="1318.6"/>
    <n v="3"/>
    <n v="2097.6"/>
    <n v="0.38598442714126807"/>
    <s v="Cliente"/>
    <x v="1"/>
    <m/>
    <m/>
    <m/>
    <m/>
    <m/>
    <m/>
  </r>
  <r>
    <d v="2022-01-17T00:00:00"/>
    <x v="0"/>
    <x v="5"/>
    <s v="CENTRO"/>
    <n v="23146"/>
    <x v="0"/>
    <m/>
    <n v="6"/>
    <n v="11137.16"/>
    <n v="5568"/>
    <n v="3712"/>
    <n v="1856"/>
    <n v="0"/>
    <n v="5568"/>
    <n v="11484"/>
    <m/>
    <n v="39325.160000000003"/>
    <n v="2436"/>
    <n v="6"/>
    <n v="36889.160000000003"/>
    <n v="6.1945075366508354E-2"/>
    <s v="Cliente"/>
    <x v="1"/>
    <m/>
    <m/>
    <m/>
    <m/>
    <m/>
    <m/>
  </r>
  <r>
    <d v="2022-01-17T00:00:00"/>
    <x v="0"/>
    <x v="17"/>
    <s v="CENTRO"/>
    <n v="23147"/>
    <x v="0"/>
    <m/>
    <n v="5"/>
    <n v="0"/>
    <n v="0"/>
    <n v="6296.48"/>
    <n v="9632.64"/>
    <n v="10268.32"/>
    <n v="5230.4399999999996"/>
    <n v="8150.1599999999989"/>
    <m/>
    <n v="39578.039999999994"/>
    <n v="3416.2"/>
    <n v="5"/>
    <n v="36161.839999999997"/>
    <n v="8.6315542659515229E-2"/>
    <s v="Cliente"/>
    <x v="1"/>
    <m/>
    <m/>
    <m/>
    <m/>
    <m/>
    <m/>
  </r>
  <r>
    <d v="2022-01-17T00:00:00"/>
    <x v="0"/>
    <x v="17"/>
    <s v="CENTRO"/>
    <n v="23148"/>
    <x v="0"/>
    <m/>
    <n v="0"/>
    <n v="0"/>
    <n v="0"/>
    <n v="0"/>
    <n v="0"/>
    <n v="0"/>
    <n v="0"/>
    <n v="0"/>
    <m/>
    <n v="0"/>
    <n v="1624"/>
    <n v="0"/>
    <n v="-1624"/>
    <n v="0"/>
    <s v="Alta sin facturar"/>
    <x v="0"/>
    <m/>
    <m/>
    <m/>
    <m/>
    <m/>
    <m/>
  </r>
  <r>
    <d v="2022-01-17T00:00:00"/>
    <x v="0"/>
    <x v="1"/>
    <s v="CENTRO"/>
    <n v="23149"/>
    <x v="1"/>
    <m/>
    <n v="0"/>
    <n v="0"/>
    <n v="0"/>
    <n v="0"/>
    <n v="0"/>
    <n v="0"/>
    <n v="0"/>
    <n v="0"/>
    <m/>
    <n v="0"/>
    <n v="5944.9999999999991"/>
    <n v="0"/>
    <n v="-5944.9999999999991"/>
    <n v="0"/>
    <s v="Alta sin facturar"/>
    <x v="0"/>
    <m/>
    <m/>
    <m/>
    <m/>
    <m/>
    <m/>
  </r>
  <r>
    <d v="2022-01-17T00:00:00"/>
    <x v="0"/>
    <x v="1"/>
    <s v="CENTRO"/>
    <n v="23150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7T00:00:00"/>
    <x v="0"/>
    <x v="11"/>
    <s v="MAGALLANES"/>
    <n v="23151"/>
    <x v="2"/>
    <m/>
    <n v="7"/>
    <n v="3712"/>
    <n v="3129.6800000000003"/>
    <n v="12921.24"/>
    <n v="6644.4800000000005"/>
    <n v="8032.9999999999991"/>
    <n v="8111.8799999999992"/>
    <n v="11451.519999999999"/>
    <m/>
    <n v="54003.799999999988"/>
    <m/>
    <n v="7"/>
    <n v="54003.799999999988"/>
    <n v="0"/>
    <s v="Cliente"/>
    <x v="1"/>
    <m/>
    <m/>
    <m/>
    <m/>
    <m/>
    <m/>
  </r>
  <r>
    <d v="2022-01-18T00:00:00"/>
    <x v="0"/>
    <x v="2"/>
    <s v="SUR"/>
    <n v="23152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8T00:00:00"/>
    <x v="0"/>
    <x v="2"/>
    <s v="SUR"/>
    <n v="23153"/>
    <x v="1"/>
    <m/>
    <n v="1"/>
    <n v="837.52"/>
    <n v="0"/>
    <n v="0"/>
    <n v="0"/>
    <n v="0"/>
    <n v="0"/>
    <n v="0"/>
    <m/>
    <n v="837.52"/>
    <n v="3526.4"/>
    <n v="1"/>
    <n v="-2688.88"/>
    <n v="4.2105263157894735"/>
    <s v="Cliente nuevo"/>
    <x v="0"/>
    <m/>
    <m/>
    <m/>
    <m/>
    <m/>
    <m/>
  </r>
  <r>
    <d v="2022-01-18T00:00:00"/>
    <x v="0"/>
    <x v="11"/>
    <s v="MAGALLANES"/>
    <n v="23154"/>
    <x v="2"/>
    <m/>
    <n v="7"/>
    <n v="1643.7199999999998"/>
    <n v="1966.1999999999998"/>
    <n v="5735.0399999999981"/>
    <n v="3177.24"/>
    <n v="3874.4"/>
    <n v="2753.84"/>
    <n v="1780.6000000000001"/>
    <m/>
    <n v="20931.039999999997"/>
    <m/>
    <n v="7"/>
    <n v="20931.039999999997"/>
    <n v="0"/>
    <s v="Cliente"/>
    <x v="1"/>
    <m/>
    <m/>
    <m/>
    <m/>
    <m/>
    <m/>
  </r>
  <r>
    <d v="2022-01-18T00:00:00"/>
    <x v="0"/>
    <x v="18"/>
    <s v="NORTE"/>
    <n v="23155"/>
    <x v="2"/>
    <m/>
    <n v="7"/>
    <n v="1392"/>
    <n v="5990.24"/>
    <n v="8325.32"/>
    <n v="15277.2"/>
    <n v="14458.240000000002"/>
    <n v="20869.559999999998"/>
    <n v="12753.04"/>
    <m/>
    <n v="79065.600000000006"/>
    <n v="0"/>
    <n v="7"/>
    <n v="79065.600000000006"/>
    <n v="0"/>
    <s v="Cliente"/>
    <x v="1"/>
    <m/>
    <m/>
    <m/>
    <m/>
    <m/>
    <m/>
  </r>
  <r>
    <d v="2022-01-18T00:00:00"/>
    <x v="0"/>
    <x v="12"/>
    <s v="CENTRO"/>
    <n v="23156"/>
    <x v="1"/>
    <m/>
    <n v="1"/>
    <n v="0"/>
    <n v="0"/>
    <n v="0"/>
    <n v="0"/>
    <n v="0"/>
    <n v="5800"/>
    <n v="0"/>
    <m/>
    <n v="5800"/>
    <n v="389.76"/>
    <n v="1"/>
    <n v="5410.24"/>
    <n v="6.7199999999999996E-2"/>
    <s v="Cliente nuevo"/>
    <x v="1"/>
    <m/>
    <m/>
    <m/>
    <m/>
    <m/>
    <m/>
  </r>
  <r>
    <d v="2022-01-18T00:00:00"/>
    <x v="0"/>
    <x v="3"/>
    <s v="CENTRO"/>
    <n v="23157"/>
    <x v="1"/>
    <m/>
    <n v="1"/>
    <n v="1102"/>
    <n v="0"/>
    <n v="0"/>
    <n v="0"/>
    <n v="0"/>
    <n v="0"/>
    <n v="0"/>
    <m/>
    <n v="1102"/>
    <n v="4692.2"/>
    <n v="1"/>
    <n v="-3590.2"/>
    <n v="4.257894736842105"/>
    <s v="Cliente nuevo"/>
    <x v="0"/>
    <m/>
    <m/>
    <m/>
    <m/>
    <m/>
    <m/>
  </r>
  <r>
    <d v="2022-01-18T00:00:00"/>
    <x v="0"/>
    <x v="1"/>
    <s v="CENTRO"/>
    <n v="23158"/>
    <x v="2"/>
    <m/>
    <n v="6"/>
    <n v="0"/>
    <n v="12992"/>
    <n v="34916"/>
    <n v="47154"/>
    <n v="36076"/>
    <n v="24302"/>
    <n v="103704"/>
    <m/>
    <n v="259144"/>
    <n v="5800"/>
    <n v="6"/>
    <n v="253344"/>
    <n v="2.2381378692927483E-2"/>
    <s v="Cliente"/>
    <x v="1"/>
    <m/>
    <m/>
    <m/>
    <m/>
    <m/>
    <m/>
  </r>
  <r>
    <d v="2022-01-19T00:00:00"/>
    <x v="0"/>
    <x v="1"/>
    <s v="CENTRO"/>
    <n v="23159"/>
    <x v="0"/>
    <m/>
    <n v="7"/>
    <n v="78.88"/>
    <n v="1122.8799999999999"/>
    <n v="105.56"/>
    <n v="66.12"/>
    <n v="1517.28"/>
    <n v="3485.8"/>
    <n v="12193.92"/>
    <m/>
    <n v="18570.439999999999"/>
    <n v="0"/>
    <n v="7"/>
    <n v="18570.439999999999"/>
    <n v="0"/>
    <s v="Cliente"/>
    <x v="1"/>
    <m/>
    <m/>
    <m/>
    <m/>
    <m/>
    <m/>
  </r>
  <r>
    <d v="2022-01-19T00:00:00"/>
    <x v="0"/>
    <x v="16"/>
    <s v="NORTE"/>
    <n v="23160"/>
    <x v="1"/>
    <m/>
    <n v="1"/>
    <n v="0"/>
    <n v="0"/>
    <n v="0"/>
    <n v="116"/>
    <n v="0"/>
    <n v="0"/>
    <n v="0"/>
    <m/>
    <n v="116"/>
    <n v="66352"/>
    <n v="1"/>
    <n v="-66236"/>
    <n v="572"/>
    <s v="Cliente nuevo"/>
    <x v="0"/>
    <m/>
    <m/>
    <m/>
    <m/>
    <m/>
    <m/>
  </r>
  <r>
    <d v="2022-01-19T00:00:00"/>
    <x v="0"/>
    <x v="13"/>
    <s v="NORTE"/>
    <n v="23161"/>
    <x v="0"/>
    <m/>
    <n v="0"/>
    <n v="0"/>
    <n v="0"/>
    <n v="0"/>
    <n v="0"/>
    <n v="0"/>
    <n v="0"/>
    <n v="0"/>
    <m/>
    <n v="0"/>
    <n v="6439.16"/>
    <n v="0"/>
    <n v="-6439.16"/>
    <n v="0"/>
    <s v="Alta sin facturar"/>
    <x v="0"/>
    <m/>
    <m/>
    <m/>
    <m/>
    <m/>
    <m/>
  </r>
  <r>
    <d v="2022-01-19T00:00:00"/>
    <x v="0"/>
    <x v="18"/>
    <s v="NORTE"/>
    <n v="23162"/>
    <x v="1"/>
    <m/>
    <n v="7"/>
    <n v="324.8"/>
    <n v="1231.92"/>
    <n v="2019.56"/>
    <n v="2323.48"/>
    <n v="2730.64"/>
    <n v="3636.6000000000004"/>
    <n v="4815.16"/>
    <m/>
    <n v="17082.16"/>
    <n v="116"/>
    <n v="7"/>
    <n v="16966.16"/>
    <n v="6.7907103082982482E-3"/>
    <s v="Cliente"/>
    <x v="1"/>
    <m/>
    <m/>
    <m/>
    <m/>
    <m/>
    <m/>
  </r>
  <r>
    <d v="2022-01-19T00:00:00"/>
    <x v="0"/>
    <x v="13"/>
    <s v="NORTE"/>
    <n v="23163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19T00:00:00"/>
    <x v="0"/>
    <x v="6"/>
    <s v="SUR"/>
    <n v="23164"/>
    <x v="1"/>
    <m/>
    <n v="7"/>
    <n v="1930.24"/>
    <n v="1831.6399999999999"/>
    <n v="3650.52"/>
    <n v="2807.2"/>
    <n v="5747.8"/>
    <n v="5635.28"/>
    <n v="6911.2799999999988"/>
    <m/>
    <n v="28513.959999999995"/>
    <n v="0"/>
    <n v="7"/>
    <n v="28513.959999999995"/>
    <n v="0"/>
    <s v="Cliente"/>
    <x v="1"/>
    <m/>
    <m/>
    <m/>
    <m/>
    <m/>
    <m/>
  </r>
  <r>
    <d v="2022-01-20T00:00:00"/>
    <x v="0"/>
    <x v="12"/>
    <s v="CENTRO"/>
    <n v="23165"/>
    <x v="0"/>
    <m/>
    <n v="7"/>
    <n v="60323.48"/>
    <n v="318313.28000000003"/>
    <n v="66816"/>
    <n v="25520"/>
    <n v="27840"/>
    <n v="37700"/>
    <n v="1856"/>
    <m/>
    <n v="538368.76"/>
    <m/>
    <n v="7"/>
    <n v="538368.76"/>
    <n v="0"/>
    <s v="Cliente"/>
    <x v="1"/>
    <m/>
    <m/>
    <m/>
    <m/>
    <m/>
    <m/>
  </r>
  <r>
    <d v="2022-01-20T00:00:00"/>
    <x v="0"/>
    <x v="14"/>
    <s v="CENTRO"/>
    <n v="23166"/>
    <x v="1"/>
    <m/>
    <n v="3"/>
    <n v="0"/>
    <n v="127.6"/>
    <n v="0"/>
    <n v="0"/>
    <n v="0"/>
    <n v="14290.04"/>
    <n v="881.6"/>
    <m/>
    <n v="15299.240000000002"/>
    <n v="5754.76"/>
    <n v="3"/>
    <n v="9544.4800000000014"/>
    <n v="0.37614678899082565"/>
    <s v="Cliente"/>
    <x v="1"/>
    <m/>
    <m/>
    <m/>
    <m/>
    <m/>
    <m/>
  </r>
  <r>
    <d v="2022-01-20T00:00:00"/>
    <x v="0"/>
    <x v="13"/>
    <s v="NORTE"/>
    <n v="23167"/>
    <x v="1"/>
    <m/>
    <n v="0"/>
    <n v="0"/>
    <n v="0"/>
    <n v="0"/>
    <n v="0"/>
    <n v="0"/>
    <n v="0"/>
    <n v="0"/>
    <m/>
    <n v="0"/>
    <n v="28304"/>
    <n v="0"/>
    <n v="-28304"/>
    <n v="0"/>
    <s v="Alta sin facturar"/>
    <x v="0"/>
    <m/>
    <m/>
    <m/>
    <m/>
    <m/>
    <m/>
  </r>
  <r>
    <d v="2022-01-21T00:00:00"/>
    <x v="0"/>
    <x v="12"/>
    <s v="CENTRO"/>
    <n v="23168"/>
    <x v="1"/>
    <m/>
    <n v="6"/>
    <n v="1193.6399999999999"/>
    <n v="671.64"/>
    <n v="3731.7200000000003"/>
    <n v="925.68000000000006"/>
    <n v="814.31999999999994"/>
    <n v="15864.16"/>
    <n v="0"/>
    <m/>
    <n v="23201.16"/>
    <n v="0"/>
    <n v="6"/>
    <n v="23201.16"/>
    <n v="0"/>
    <s v="Cliente"/>
    <x v="1"/>
    <m/>
    <m/>
    <m/>
    <m/>
    <m/>
    <m/>
  </r>
  <r>
    <d v="2022-01-21T00:00:00"/>
    <x v="0"/>
    <x v="5"/>
    <s v="CENTRO"/>
    <n v="23169"/>
    <x v="0"/>
    <m/>
    <n v="7"/>
    <n v="468.64"/>
    <n v="8683.76"/>
    <n v="5373.12"/>
    <n v="17345.48"/>
    <n v="22040"/>
    <n v="4290.84"/>
    <n v="512.72"/>
    <m/>
    <n v="58714.559999999998"/>
    <m/>
    <n v="7"/>
    <n v="58714.559999999998"/>
    <n v="0"/>
    <s v="Cliente"/>
    <x v="1"/>
    <m/>
    <m/>
    <m/>
    <m/>
    <m/>
    <m/>
  </r>
  <r>
    <d v="2022-01-21T00:00:00"/>
    <x v="0"/>
    <x v="1"/>
    <s v="CENTRO"/>
    <n v="23170"/>
    <x v="1"/>
    <m/>
    <n v="6"/>
    <n v="4640"/>
    <n v="1856"/>
    <n v="11136"/>
    <n v="4735.12"/>
    <n v="4060"/>
    <n v="1856"/>
    <n v="0"/>
    <m/>
    <n v="28283.119999999999"/>
    <n v="16681.439999999999"/>
    <n v="6"/>
    <n v="11601.68"/>
    <n v="0.58980197375678489"/>
    <s v="Cliente"/>
    <x v="1"/>
    <m/>
    <m/>
    <m/>
    <m/>
    <m/>
    <m/>
  </r>
  <r>
    <d v="2022-01-21T00:00:00"/>
    <x v="0"/>
    <x v="19"/>
    <e v="#N/A"/>
    <n v="23171"/>
    <x v="0"/>
    <m/>
    <n v="0"/>
    <n v="0"/>
    <n v="0"/>
    <n v="0"/>
    <n v="0"/>
    <n v="0"/>
    <n v="0"/>
    <n v="0"/>
    <m/>
    <n v="0"/>
    <n v="512.72"/>
    <n v="0"/>
    <n v="-512.72"/>
    <n v="0"/>
    <s v="Alta sin facturar"/>
    <x v="0"/>
    <m/>
    <m/>
    <m/>
    <m/>
    <m/>
    <m/>
  </r>
  <r>
    <d v="2022-01-21T00:00:00"/>
    <x v="0"/>
    <x v="13"/>
    <s v="NORTE"/>
    <n v="23172"/>
    <x v="1"/>
    <m/>
    <n v="6"/>
    <n v="0"/>
    <n v="3252.6400000000003"/>
    <n v="9841.4399999999987"/>
    <n v="5623.68"/>
    <n v="2709.76"/>
    <n v="5238.5599999999995"/>
    <n v="8530.64"/>
    <m/>
    <n v="35196.719999999994"/>
    <n v="1376"/>
    <n v="6"/>
    <n v="33820.719999999994"/>
    <n v="3.9094551992344746E-2"/>
    <s v="Cliente"/>
    <x v="1"/>
    <m/>
    <m/>
    <m/>
    <m/>
    <m/>
    <m/>
  </r>
  <r>
    <d v="2022-01-21T00:00:00"/>
    <x v="0"/>
    <x v="13"/>
    <s v="NORTE"/>
    <n v="23173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21T00:00:00"/>
    <x v="0"/>
    <x v="12"/>
    <s v="CENTRO"/>
    <n v="23174"/>
    <x v="1"/>
    <m/>
    <n v="5"/>
    <n v="1923.28"/>
    <n v="4456.72"/>
    <n v="0"/>
    <n v="530.12"/>
    <n v="1786.4"/>
    <n v="962.8"/>
    <n v="0"/>
    <m/>
    <n v="9659.32"/>
    <n v="676.28"/>
    <n v="5"/>
    <n v="8983.0399999999991"/>
    <n v="7.0013210039630125E-2"/>
    <s v="Cliente"/>
    <x v="1"/>
    <m/>
    <m/>
    <m/>
    <m/>
    <m/>
    <m/>
  </r>
  <r>
    <d v="2022-01-21T00:00:00"/>
    <x v="0"/>
    <x v="15"/>
    <s v="MAGALLANES"/>
    <n v="23175"/>
    <x v="0"/>
    <m/>
    <n v="5"/>
    <n v="1624"/>
    <n v="2437.16"/>
    <n v="3248"/>
    <n v="0"/>
    <n v="0"/>
    <n v="2494"/>
    <n v="1624"/>
    <m/>
    <n v="11427.16"/>
    <m/>
    <n v="5"/>
    <n v="11427.16"/>
    <n v="0"/>
    <s v="Cliente"/>
    <x v="1"/>
    <m/>
    <m/>
    <m/>
    <m/>
    <m/>
    <m/>
  </r>
  <r>
    <d v="2022-01-22T00:00:00"/>
    <x v="0"/>
    <x v="6"/>
    <s v="SUR"/>
    <n v="23176"/>
    <x v="2"/>
    <m/>
    <n v="6"/>
    <n v="0"/>
    <n v="6496"/>
    <n v="9744"/>
    <n v="6799.92"/>
    <n v="2622.76"/>
    <n v="2215.6"/>
    <n v="2680.7599999999998"/>
    <m/>
    <n v="30559.039999999997"/>
    <n v="962.8"/>
    <n v="6"/>
    <n v="29596.239999999998"/>
    <n v="3.1506225326450046E-2"/>
    <s v="Cliente"/>
    <x v="1"/>
    <m/>
    <m/>
    <m/>
    <m/>
    <m/>
    <m/>
  </r>
  <r>
    <d v="2022-01-22T00:00:00"/>
    <x v="0"/>
    <x v="3"/>
    <s v="CENTRO"/>
    <n v="23177"/>
    <x v="1"/>
    <m/>
    <n v="0"/>
    <n v="0"/>
    <n v="0"/>
    <n v="0"/>
    <n v="0"/>
    <n v="0"/>
    <n v="0"/>
    <n v="0"/>
    <m/>
    <n v="0"/>
    <n v="1682"/>
    <n v="0"/>
    <n v="-1682"/>
    <n v="0"/>
    <s v="Alta sin facturar"/>
    <x v="0"/>
    <m/>
    <m/>
    <m/>
    <m/>
    <m/>
    <m/>
  </r>
  <r>
    <d v="2022-01-24T00:00:00"/>
    <x v="0"/>
    <x v="5"/>
    <s v="CENTRO"/>
    <n v="23178"/>
    <x v="1"/>
    <m/>
    <n v="2"/>
    <n v="2204"/>
    <n v="3074"/>
    <n v="0"/>
    <n v="0"/>
    <n v="0"/>
    <n v="0"/>
    <n v="0"/>
    <m/>
    <n v="5278"/>
    <n v="0"/>
    <n v="2"/>
    <n v="5278"/>
    <n v="0"/>
    <s v="Cliente nuevo"/>
    <x v="1"/>
    <m/>
    <m/>
    <m/>
    <m/>
    <m/>
    <m/>
  </r>
  <r>
    <d v="2022-01-24T00:00:00"/>
    <x v="0"/>
    <x v="2"/>
    <s v="SUR"/>
    <n v="23179"/>
    <x v="1"/>
    <m/>
    <n v="6"/>
    <n v="0"/>
    <n v="11484"/>
    <n v="12528"/>
    <n v="12698.52"/>
    <n v="10336.76"/>
    <n v="20880"/>
    <n v="16704"/>
    <m/>
    <n v="84631.28"/>
    <m/>
    <n v="6"/>
    <n v="84631.28"/>
    <n v="0"/>
    <s v="Cliente"/>
    <x v="1"/>
    <m/>
    <m/>
    <m/>
    <m/>
    <m/>
    <m/>
  </r>
  <r>
    <d v="2022-01-24T00:00:00"/>
    <x v="0"/>
    <x v="2"/>
    <s v="SUR"/>
    <n v="23180"/>
    <x v="0"/>
    <m/>
    <n v="4"/>
    <n v="0"/>
    <n v="0"/>
    <n v="564.91999999999996"/>
    <n v="0"/>
    <n v="383.96"/>
    <n v="1407.08"/>
    <n v="660.04"/>
    <m/>
    <n v="3016"/>
    <n v="0"/>
    <n v="4"/>
    <n v="3016"/>
    <n v="0"/>
    <s v="Cliente"/>
    <x v="1"/>
    <m/>
    <m/>
    <m/>
    <m/>
    <m/>
    <m/>
  </r>
  <r>
    <d v="2022-01-24T00:00:00"/>
    <x v="0"/>
    <x v="9"/>
    <s v="NORTE"/>
    <n v="23181"/>
    <x v="1"/>
    <m/>
    <n v="3"/>
    <n v="0"/>
    <n v="5677.04"/>
    <n v="5529.72"/>
    <n v="1154.2"/>
    <n v="0"/>
    <n v="0"/>
    <n v="0"/>
    <m/>
    <n v="12360.960000000001"/>
    <n v="6554"/>
    <n v="3"/>
    <n v="5806.9600000000009"/>
    <n v="0.53021771771771764"/>
    <s v="Cliente"/>
    <x v="1"/>
    <m/>
    <m/>
    <m/>
    <m/>
    <m/>
    <m/>
  </r>
  <r>
    <d v="2022-01-24T00:00:00"/>
    <x v="0"/>
    <x v="8"/>
    <s v="NORTE"/>
    <n v="23182"/>
    <x v="1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1-25T00:00:00"/>
    <x v="0"/>
    <x v="16"/>
    <s v="NORTE"/>
    <n v="23183"/>
    <x v="0"/>
    <m/>
    <n v="7"/>
    <n v="5852.2"/>
    <n v="11030.44"/>
    <n v="4498.4800000000005"/>
    <n v="1926.76"/>
    <n v="10829.76"/>
    <n v="13775"/>
    <n v="30328.199999999997"/>
    <m/>
    <n v="78240.84"/>
    <n v="0"/>
    <n v="7"/>
    <n v="78240.84"/>
    <n v="0"/>
    <s v="Cliente"/>
    <x v="1"/>
    <m/>
    <m/>
    <m/>
    <m/>
    <m/>
    <m/>
  </r>
  <r>
    <d v="2022-01-25T00:00:00"/>
    <x v="0"/>
    <x v="5"/>
    <s v="CENTRO"/>
    <n v="23184"/>
    <x v="1"/>
    <m/>
    <n v="4"/>
    <n v="0"/>
    <n v="4285.04"/>
    <n v="640.32000000000005"/>
    <n v="0"/>
    <n v="1316.6"/>
    <n v="2833.88"/>
    <n v="0"/>
    <m/>
    <n v="9075.84"/>
    <m/>
    <n v="4"/>
    <n v="9075.84"/>
    <n v="0"/>
    <s v="Cliente"/>
    <x v="1"/>
    <m/>
    <m/>
    <m/>
    <m/>
    <m/>
    <m/>
  </r>
  <r>
    <d v="2022-01-26T00:00:00"/>
    <x v="0"/>
    <x v="3"/>
    <s v="CENTRO"/>
    <n v="23185"/>
    <x v="2"/>
    <m/>
    <n v="0"/>
    <n v="0"/>
    <n v="0"/>
    <n v="0"/>
    <n v="0"/>
    <n v="0"/>
    <n v="0"/>
    <n v="0"/>
    <m/>
    <n v="0"/>
    <n v="13183.4"/>
    <n v="0"/>
    <n v="-13183.4"/>
    <n v="0"/>
    <s v="Alta sin facturar"/>
    <x v="0"/>
    <m/>
    <m/>
    <m/>
    <m/>
    <m/>
    <m/>
  </r>
  <r>
    <d v="2022-01-26T00:00:00"/>
    <x v="0"/>
    <x v="11"/>
    <s v="MAGALLANES"/>
    <n v="23186"/>
    <x v="0"/>
    <m/>
    <n v="3"/>
    <n v="0"/>
    <n v="0"/>
    <n v="0"/>
    <n v="430.36"/>
    <n v="143.84"/>
    <n v="0"/>
    <n v="612.48"/>
    <m/>
    <n v="1186.68"/>
    <n v="2833.88"/>
    <n v="3"/>
    <n v="-1647.2"/>
    <n v="2.3880742913000979"/>
    <s v="Cliente"/>
    <x v="0"/>
    <m/>
    <m/>
    <m/>
    <m/>
    <m/>
    <m/>
  </r>
  <r>
    <d v="2022-01-26T00:00:00"/>
    <x v="0"/>
    <x v="15"/>
    <s v="MAGALLANES"/>
    <n v="23187"/>
    <x v="1"/>
    <m/>
    <n v="2"/>
    <n v="812"/>
    <n v="812"/>
    <n v="0"/>
    <n v="0"/>
    <n v="0"/>
    <n v="0"/>
    <n v="0"/>
    <m/>
    <n v="1624"/>
    <m/>
    <n v="2"/>
    <n v="1624"/>
    <n v="0"/>
    <s v="Cliente nuevo"/>
    <x v="1"/>
    <m/>
    <m/>
    <m/>
    <m/>
    <m/>
    <m/>
  </r>
  <r>
    <d v="2022-01-26T00:00:00"/>
    <x v="0"/>
    <x v="15"/>
    <s v="MAGALLANES"/>
    <n v="23188"/>
    <x v="1"/>
    <m/>
    <n v="0"/>
    <n v="0"/>
    <n v="0"/>
    <n v="0"/>
    <n v="0"/>
    <n v="0"/>
    <n v="0"/>
    <n v="0"/>
    <m/>
    <n v="0"/>
    <n v="287.68"/>
    <n v="0"/>
    <n v="-287.68"/>
    <n v="0"/>
    <s v="Alta sin facturar"/>
    <x v="0"/>
    <m/>
    <m/>
    <m/>
    <m/>
    <m/>
    <m/>
  </r>
  <r>
    <d v="2022-01-26T00:00:00"/>
    <x v="0"/>
    <x v="20"/>
    <s v="SUR"/>
    <n v="23189"/>
    <x v="2"/>
    <m/>
    <n v="4"/>
    <n v="1044"/>
    <n v="3390.68"/>
    <n v="1276"/>
    <n v="0"/>
    <n v="0"/>
    <n v="580"/>
    <n v="0"/>
    <m/>
    <n v="6290.68"/>
    <n v="1624"/>
    <n v="4"/>
    <n v="4666.68"/>
    <n v="0.25815969020837176"/>
    <s v="Cliente"/>
    <x v="1"/>
    <m/>
    <m/>
    <m/>
    <m/>
    <m/>
    <m/>
  </r>
  <r>
    <d v="2022-01-26T00:00:00"/>
    <x v="0"/>
    <x v="2"/>
    <s v="SUR"/>
    <n v="23190"/>
    <x v="1"/>
    <m/>
    <n v="7"/>
    <n v="204.16"/>
    <n v="2547.3599999999997"/>
    <n v="5858"/>
    <n v="1948.8"/>
    <n v="6710.6"/>
    <n v="7215.2000000000007"/>
    <n v="4325.6400000000003"/>
    <m/>
    <n v="28809.759999999998"/>
    <m/>
    <n v="7"/>
    <n v="28809.759999999998"/>
    <n v="0"/>
    <s v="Cliente"/>
    <x v="1"/>
    <m/>
    <m/>
    <m/>
    <m/>
    <m/>
    <m/>
  </r>
  <r>
    <d v="2022-01-26T00:00:00"/>
    <x v="0"/>
    <x v="21"/>
    <e v="#N/A"/>
    <n v="23191"/>
    <x v="1"/>
    <m/>
    <n v="1"/>
    <n v="1.1599999999999999"/>
    <n v="0"/>
    <n v="0"/>
    <n v="0"/>
    <n v="0"/>
    <n v="0"/>
    <n v="0"/>
    <m/>
    <n v="1.1599999999999999"/>
    <n v="0"/>
    <n v="1"/>
    <n v="1.1599999999999999"/>
    <n v="0"/>
    <s v="Cliente nuevo"/>
    <x v="1"/>
    <m/>
    <m/>
    <m/>
    <m/>
    <m/>
    <m/>
  </r>
  <r>
    <d v="2022-01-26T00:00:00"/>
    <x v="0"/>
    <x v="4"/>
    <s v="CENTRO"/>
    <n v="23192"/>
    <x v="1"/>
    <m/>
    <n v="4"/>
    <n v="0"/>
    <n v="0"/>
    <n v="0"/>
    <n v="2562.44"/>
    <n v="11895.8"/>
    <n v="24863.439999999999"/>
    <n v="10320.52"/>
    <m/>
    <n v="49642.2"/>
    <n v="0"/>
    <n v="4"/>
    <n v="49642.2"/>
    <n v="0"/>
    <s v="Cliente"/>
    <x v="1"/>
    <m/>
    <m/>
    <m/>
    <m/>
    <m/>
    <m/>
  </r>
  <r>
    <d v="2022-01-26T00:00:00"/>
    <x v="0"/>
    <x v="4"/>
    <s v="CENTRO"/>
    <n v="23193"/>
    <x v="1"/>
    <m/>
    <n v="6"/>
    <n v="0"/>
    <n v="4640"/>
    <n v="14285.4"/>
    <n v="6496"/>
    <n v="1611.24"/>
    <n v="1426.8"/>
    <n v="8932"/>
    <m/>
    <n v="37391.440000000002"/>
    <n v="0"/>
    <n v="6"/>
    <n v="37391.440000000002"/>
    <n v="0"/>
    <s v="Cliente"/>
    <x v="1"/>
    <m/>
    <m/>
    <m/>
    <m/>
    <m/>
    <m/>
  </r>
  <r>
    <d v="2022-01-27T00:00:00"/>
    <x v="0"/>
    <x v="6"/>
    <s v="SUR"/>
    <n v="23194"/>
    <x v="1"/>
    <m/>
    <n v="6"/>
    <n v="0"/>
    <n v="3201.6"/>
    <n v="8245.2799999999988"/>
    <n v="5044.84"/>
    <n v="7002.92"/>
    <n v="3809.44"/>
    <n v="4304.76"/>
    <m/>
    <n v="31608.839999999997"/>
    <n v="10320.52"/>
    <n v="6"/>
    <n v="21288.319999999996"/>
    <n v="0.32650739476678048"/>
    <s v="Cliente"/>
    <x v="1"/>
    <m/>
    <m/>
    <m/>
    <m/>
    <m/>
    <m/>
  </r>
  <r>
    <d v="2022-01-27T00:00:00"/>
    <x v="0"/>
    <x v="14"/>
    <s v="CENTRO"/>
    <n v="23195"/>
    <x v="1"/>
    <m/>
    <n v="3"/>
    <n v="0"/>
    <n v="0"/>
    <n v="352.64"/>
    <n v="266.8"/>
    <n v="907.12"/>
    <n v="0"/>
    <n v="0"/>
    <m/>
    <n v="1526.56"/>
    <n v="8932"/>
    <n v="3"/>
    <n v="-7405.4400000000005"/>
    <n v="5.8510638297872344"/>
    <s v="Cliente"/>
    <x v="0"/>
    <m/>
    <m/>
    <m/>
    <m/>
    <m/>
    <m/>
  </r>
  <r>
    <d v="2022-01-27T00:00:00"/>
    <x v="0"/>
    <x v="6"/>
    <s v="SUR"/>
    <n v="23196"/>
    <x v="1"/>
    <m/>
    <n v="5"/>
    <n v="0"/>
    <n v="0"/>
    <n v="422.24"/>
    <n v="2054.3599999999997"/>
    <n v="1190.1599999999999"/>
    <n v="777.19999999999993"/>
    <n v="279.56"/>
    <m/>
    <n v="4723.5199999999995"/>
    <n v="9019"/>
    <n v="5"/>
    <n v="-4295.4800000000005"/>
    <n v="1.9093811394891946"/>
    <s v="Cliente"/>
    <x v="0"/>
    <m/>
    <m/>
    <m/>
    <m/>
    <m/>
    <m/>
  </r>
  <r>
    <d v="2022-01-27T00:00:00"/>
    <x v="0"/>
    <x v="2"/>
    <s v="SUR"/>
    <n v="23197"/>
    <x v="0"/>
    <m/>
    <n v="6"/>
    <n v="0"/>
    <n v="2471.96"/>
    <n v="7415.88"/>
    <n v="4943.92"/>
    <n v="10051.400000000001"/>
    <n v="6261.68"/>
    <n v="7305.68"/>
    <m/>
    <n v="38450.520000000004"/>
    <n v="0"/>
    <n v="6"/>
    <n v="38450.520000000004"/>
    <n v="0"/>
    <s v="Cliente"/>
    <x v="1"/>
    <m/>
    <m/>
    <m/>
    <m/>
    <m/>
    <m/>
  </r>
  <r>
    <d v="2022-01-27T00:00:00"/>
    <x v="0"/>
    <x v="20"/>
    <s v="SUR"/>
    <n v="23198"/>
    <x v="2"/>
    <m/>
    <n v="6"/>
    <n v="0"/>
    <n v="221.56"/>
    <n v="78.88"/>
    <n v="223.88"/>
    <n v="1015"/>
    <n v="2291"/>
    <n v="663.52"/>
    <m/>
    <n v="4493.84"/>
    <n v="0"/>
    <n v="6"/>
    <n v="4493.84"/>
    <n v="0"/>
    <s v="Cliente"/>
    <x v="1"/>
    <m/>
    <m/>
    <m/>
    <m/>
    <m/>
    <m/>
  </r>
  <r>
    <d v="2022-01-27T00:00:00"/>
    <x v="0"/>
    <x v="12"/>
    <s v="CENTRO"/>
    <n v="23199"/>
    <x v="1"/>
    <m/>
    <n v="0"/>
    <n v="0"/>
    <n v="0"/>
    <n v="0"/>
    <n v="0"/>
    <n v="0"/>
    <n v="0"/>
    <n v="0"/>
    <m/>
    <n v="0"/>
    <n v="3652.84"/>
    <n v="0"/>
    <n v="-3652.84"/>
    <n v="0"/>
    <s v="Alta sin facturar"/>
    <x v="0"/>
    <m/>
    <m/>
    <m/>
    <m/>
    <m/>
    <m/>
  </r>
  <r>
    <d v="2022-01-28T00:00:00"/>
    <x v="0"/>
    <x v="13"/>
    <s v="NORTE"/>
    <n v="23200"/>
    <x v="2"/>
    <m/>
    <n v="1"/>
    <n v="0"/>
    <n v="812"/>
    <n v="0"/>
    <n v="0"/>
    <n v="0"/>
    <n v="0"/>
    <n v="0"/>
    <m/>
    <n v="812"/>
    <n v="0"/>
    <n v="1"/>
    <n v="812"/>
    <n v="0"/>
    <s v="Cliente nuevo"/>
    <x v="1"/>
    <m/>
    <m/>
    <m/>
    <m/>
    <m/>
    <m/>
  </r>
  <r>
    <d v="2022-01-28T00:00:00"/>
    <x v="0"/>
    <x v="8"/>
    <s v="NORTE"/>
    <n v="23201"/>
    <x v="1"/>
    <m/>
    <n v="5"/>
    <n v="0"/>
    <n v="203"/>
    <n v="2291"/>
    <n v="1237.72"/>
    <n v="527.79999999999995"/>
    <n v="213.44"/>
    <n v="0"/>
    <m/>
    <n v="4472.96"/>
    <m/>
    <n v="5"/>
    <n v="4472.96"/>
    <n v="0"/>
    <s v="Cliente"/>
    <x v="1"/>
    <m/>
    <m/>
    <m/>
    <m/>
    <m/>
    <m/>
  </r>
  <r>
    <d v="2022-01-29T00:00:00"/>
    <x v="0"/>
    <x v="0"/>
    <s v="CENTRO"/>
    <n v="23202"/>
    <x v="0"/>
    <m/>
    <n v="2"/>
    <n v="0"/>
    <n v="0"/>
    <n v="0"/>
    <n v="481.4"/>
    <n v="388.6"/>
    <n v="0"/>
    <n v="0"/>
    <m/>
    <n v="870"/>
    <n v="0"/>
    <n v="2"/>
    <n v="870"/>
    <n v="0"/>
    <s v="Cliente nuevo"/>
    <x v="1"/>
    <m/>
    <m/>
    <m/>
    <m/>
    <m/>
    <m/>
  </r>
  <r>
    <d v="2022-01-29T00:00:00"/>
    <x v="0"/>
    <x v="0"/>
    <s v="CENTRO"/>
    <n v="23203"/>
    <x v="0"/>
    <m/>
    <n v="5"/>
    <n v="0"/>
    <n v="812"/>
    <n v="0"/>
    <n v="1624"/>
    <n v="812"/>
    <n v="1624"/>
    <n v="9222"/>
    <m/>
    <n v="14094"/>
    <n v="1978.96"/>
    <n v="5"/>
    <n v="12115.04"/>
    <n v="0.14041152263374485"/>
    <s v="Cliente"/>
    <x v="1"/>
    <m/>
    <m/>
    <m/>
    <m/>
    <m/>
    <m/>
  </r>
  <r>
    <d v="2022-01-31T00:00:00"/>
    <x v="0"/>
    <x v="21"/>
    <e v="#N/A"/>
    <n v="23204"/>
    <x v="1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1-31T00:00:00"/>
    <x v="0"/>
    <x v="18"/>
    <s v="NORTE"/>
    <n v="23205"/>
    <x v="0"/>
    <m/>
    <n v="0"/>
    <n v="0"/>
    <n v="0"/>
    <n v="0"/>
    <n v="0"/>
    <n v="0"/>
    <n v="0"/>
    <n v="0"/>
    <m/>
    <n v="0"/>
    <n v="1972"/>
    <n v="0"/>
    <n v="-1972"/>
    <n v="0"/>
    <s v="Alta sin facturar"/>
    <x v="0"/>
    <m/>
    <m/>
    <m/>
    <m/>
    <m/>
    <m/>
  </r>
  <r>
    <d v="2022-01-31T00:00:00"/>
    <x v="0"/>
    <x v="1"/>
    <s v="CENTRO"/>
    <n v="23206"/>
    <x v="1"/>
    <m/>
    <n v="6"/>
    <n v="0"/>
    <n v="1862.96"/>
    <n v="2056.6799999999998"/>
    <n v="1484.8"/>
    <n v="1291.08"/>
    <n v="2115.8399999999997"/>
    <n v="1930.24"/>
    <m/>
    <n v="10741.599999999999"/>
    <m/>
    <n v="6"/>
    <n v="10741.599999999999"/>
    <n v="0"/>
    <s v="Cliente"/>
    <x v="1"/>
    <m/>
    <m/>
    <m/>
    <m/>
    <m/>
    <m/>
  </r>
  <r>
    <d v="2022-01-31T00:00:00"/>
    <x v="0"/>
    <x v="1"/>
    <s v="CENTRO"/>
    <n v="23207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1-31T00:00:00"/>
    <x v="0"/>
    <x v="15"/>
    <s v="MAGALLANES"/>
    <n v="23208"/>
    <x v="1"/>
    <m/>
    <n v="5"/>
    <n v="0"/>
    <n v="4060"/>
    <n v="1624"/>
    <n v="0"/>
    <n v="1914"/>
    <n v="8120"/>
    <n v="3248"/>
    <m/>
    <n v="18966"/>
    <n v="116"/>
    <n v="5"/>
    <n v="18850"/>
    <n v="6.1162079510703364E-3"/>
    <s v="Cliente"/>
    <x v="1"/>
    <m/>
    <m/>
    <m/>
    <m/>
    <m/>
    <m/>
  </r>
  <r>
    <d v="2022-01-31T00:00:00"/>
    <x v="0"/>
    <x v="3"/>
    <s v="CENTRO"/>
    <n v="23209"/>
    <x v="0"/>
    <m/>
    <n v="2"/>
    <n v="0"/>
    <n v="1434.92"/>
    <n v="13001.28"/>
    <n v="0"/>
    <n v="0"/>
    <n v="0"/>
    <n v="0"/>
    <m/>
    <n v="14436.2"/>
    <m/>
    <n v="2"/>
    <n v="14436.2"/>
    <n v="0"/>
    <s v="Cliente nuevo"/>
    <x v="1"/>
    <m/>
    <m/>
    <m/>
    <m/>
    <m/>
    <m/>
  </r>
  <r>
    <d v="2022-02-01T00:00:00"/>
    <x v="1"/>
    <x v="6"/>
    <s v="SUR"/>
    <n v="23210"/>
    <x v="0"/>
    <m/>
    <n v="6"/>
    <n v="0"/>
    <n v="3902.24"/>
    <n v="3169.12"/>
    <n v="2436"/>
    <n v="2864.04"/>
    <n v="9335.6800000000021"/>
    <n v="13075.519999999997"/>
    <m/>
    <n v="34782.6"/>
    <n v="9744"/>
    <n v="6"/>
    <n v="25038.6"/>
    <n v="0.28014007003501751"/>
    <s v="Cliente"/>
    <x v="1"/>
    <m/>
    <m/>
    <m/>
    <m/>
    <m/>
    <m/>
  </r>
  <r>
    <d v="2022-02-01T00:00:00"/>
    <x v="1"/>
    <x v="0"/>
    <s v="CENTRO"/>
    <n v="23211"/>
    <x v="1"/>
    <m/>
    <n v="0"/>
    <n v="0"/>
    <n v="0"/>
    <n v="0"/>
    <n v="0"/>
    <n v="0"/>
    <n v="0"/>
    <n v="0"/>
    <m/>
    <n v="0"/>
    <n v="13001.28"/>
    <n v="0"/>
    <n v="-13001.28"/>
    <n v="0"/>
    <s v="Alta sin facturar"/>
    <x v="0"/>
    <m/>
    <m/>
    <m/>
    <m/>
    <m/>
    <m/>
  </r>
  <r>
    <d v="2022-02-01T00:00:00"/>
    <x v="1"/>
    <x v="0"/>
    <s v="CENTRO"/>
    <n v="23212"/>
    <x v="1"/>
    <m/>
    <n v="0"/>
    <n v="0"/>
    <n v="0"/>
    <n v="0"/>
    <n v="0"/>
    <n v="0"/>
    <n v="0"/>
    <n v="0"/>
    <m/>
    <n v="0"/>
    <n v="6866.04"/>
    <n v="0"/>
    <n v="-6866.04"/>
    <n v="0"/>
    <s v="Alta sin facturar"/>
    <x v="0"/>
    <m/>
    <m/>
    <m/>
    <m/>
    <m/>
    <m/>
  </r>
  <r>
    <d v="2022-02-01T00:00:00"/>
    <x v="1"/>
    <x v="2"/>
    <s v="SUR"/>
    <n v="23213"/>
    <x v="2"/>
    <m/>
    <n v="6"/>
    <n v="0"/>
    <n v="47200.4"/>
    <n v="7301.0399999999991"/>
    <n v="14508.12"/>
    <n v="9639.6"/>
    <n v="12935.16"/>
    <n v="6101.6"/>
    <m/>
    <n v="97685.920000000013"/>
    <m/>
    <n v="6"/>
    <n v="97685.920000000013"/>
    <n v="0"/>
    <s v="Cliente"/>
    <x v="1"/>
    <m/>
    <m/>
    <m/>
    <m/>
    <m/>
    <m/>
  </r>
  <r>
    <d v="2022-02-01T00:00:00"/>
    <x v="1"/>
    <x v="6"/>
    <s v="SUR"/>
    <n v="23214"/>
    <x v="0"/>
    <m/>
    <n v="6"/>
    <n v="0"/>
    <n v="4098.28"/>
    <n v="11290.279999999999"/>
    <n v="9840.2799999999988"/>
    <n v="7647.88"/>
    <n v="10455.080000000002"/>
    <n v="5797.68"/>
    <m/>
    <n v="49129.479999999996"/>
    <m/>
    <n v="6"/>
    <n v="49129.479999999996"/>
    <n v="0"/>
    <s v="Cliente"/>
    <x v="1"/>
    <m/>
    <m/>
    <m/>
    <m/>
    <m/>
    <m/>
  </r>
  <r>
    <d v="2022-02-01T00:00:00"/>
    <x v="1"/>
    <x v="13"/>
    <s v="NORTE"/>
    <n v="23215"/>
    <x v="2"/>
    <m/>
    <n v="1"/>
    <n v="0"/>
    <n v="2436"/>
    <n v="0"/>
    <n v="0"/>
    <n v="0"/>
    <n v="0"/>
    <n v="0"/>
    <m/>
    <n v="2436"/>
    <n v="1272.52"/>
    <n v="1"/>
    <n v="1163.48"/>
    <n v="0.52238095238095239"/>
    <s v="Cliente nuevo"/>
    <x v="1"/>
    <m/>
    <m/>
    <m/>
    <m/>
    <m/>
    <m/>
  </r>
  <r>
    <d v="2022-02-01T00:00:00"/>
    <x v="1"/>
    <x v="22"/>
    <s v="NORTE"/>
    <n v="23216"/>
    <x v="1"/>
    <m/>
    <n v="0"/>
    <n v="0"/>
    <n v="0"/>
    <n v="0"/>
    <n v="0"/>
    <n v="0"/>
    <n v="0"/>
    <n v="0"/>
    <m/>
    <n v="0"/>
    <n v="4363.8"/>
    <n v="0"/>
    <n v="-4363.8"/>
    <n v="0"/>
    <s v="Alta sin facturar"/>
    <x v="0"/>
    <m/>
    <m/>
    <m/>
    <m/>
    <m/>
    <m/>
  </r>
  <r>
    <d v="2022-02-01T00:00:00"/>
    <x v="1"/>
    <x v="12"/>
    <s v="CENTRO"/>
    <n v="23217"/>
    <x v="0"/>
    <m/>
    <n v="1"/>
    <n v="0"/>
    <n v="0"/>
    <n v="1809.6"/>
    <n v="0"/>
    <n v="0"/>
    <n v="0"/>
    <n v="0"/>
    <m/>
    <n v="1809.6"/>
    <n v="2436"/>
    <n v="1"/>
    <n v="-626.40000000000009"/>
    <n v="1.3461538461538463"/>
    <s v="Cliente nuevo"/>
    <x v="0"/>
    <m/>
    <m/>
    <m/>
    <m/>
    <m/>
    <m/>
  </r>
  <r>
    <d v="2022-02-01T00:00:00"/>
    <x v="1"/>
    <x v="4"/>
    <s v="CENTRO"/>
    <n v="23218"/>
    <x v="1"/>
    <m/>
    <n v="3"/>
    <n v="0"/>
    <n v="0"/>
    <n v="943.08"/>
    <n v="0"/>
    <n v="346.84"/>
    <n v="303.92"/>
    <n v="0"/>
    <m/>
    <n v="1593.8400000000001"/>
    <m/>
    <n v="3"/>
    <n v="1593.8400000000001"/>
    <n v="0"/>
    <s v="Cliente"/>
    <x v="1"/>
    <m/>
    <m/>
    <m/>
    <m/>
    <m/>
    <m/>
  </r>
  <r>
    <d v="2022-02-01T00:00:00"/>
    <x v="1"/>
    <x v="4"/>
    <s v="CENTRO"/>
    <n v="23219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2-02T00:00:00"/>
    <x v="1"/>
    <x v="9"/>
    <s v="NORTE"/>
    <n v="23220"/>
    <x v="1"/>
    <m/>
    <n v="4"/>
    <n v="0"/>
    <n v="214.6"/>
    <n v="1523.08"/>
    <n v="0"/>
    <n v="1502.1999999999998"/>
    <n v="174"/>
    <n v="0"/>
    <m/>
    <n v="3413.8799999999997"/>
    <n v="0"/>
    <n v="4"/>
    <n v="3413.8799999999997"/>
    <n v="0"/>
    <s v="Cliente"/>
    <x v="1"/>
    <m/>
    <m/>
    <m/>
    <m/>
    <m/>
    <m/>
  </r>
  <r>
    <d v="2022-02-02T00:00:00"/>
    <x v="1"/>
    <x v="15"/>
    <s v="MAGALLANES"/>
    <n v="23221"/>
    <x v="1"/>
    <m/>
    <n v="1"/>
    <n v="0"/>
    <n v="287.68"/>
    <n v="0"/>
    <n v="0"/>
    <n v="0"/>
    <n v="0"/>
    <n v="0"/>
    <m/>
    <n v="287.68"/>
    <m/>
    <n v="1"/>
    <n v="287.68"/>
    <n v="0"/>
    <s v="Cliente nuevo"/>
    <x v="1"/>
    <m/>
    <m/>
    <m/>
    <m/>
    <m/>
    <m/>
  </r>
  <r>
    <d v="2022-02-02T00:00:00"/>
    <x v="1"/>
    <x v="15"/>
    <s v="MAGALLANES"/>
    <n v="23222"/>
    <x v="0"/>
    <m/>
    <n v="6"/>
    <n v="0"/>
    <n v="9349.6"/>
    <n v="15074.2"/>
    <n v="2586.8000000000002"/>
    <n v="5745.48"/>
    <n v="4909.12"/>
    <n v="18167.919999999998"/>
    <m/>
    <n v="55833.120000000003"/>
    <n v="0"/>
    <n v="6"/>
    <n v="55833.120000000003"/>
    <n v="0"/>
    <s v="Cliente"/>
    <x v="1"/>
    <m/>
    <m/>
    <m/>
    <m/>
    <m/>
    <m/>
  </r>
  <r>
    <d v="2022-02-02T00:00:00"/>
    <x v="1"/>
    <x v="6"/>
    <s v="SUR"/>
    <n v="23223"/>
    <x v="1"/>
    <m/>
    <n v="4"/>
    <n v="0"/>
    <n v="3248"/>
    <n v="1624"/>
    <n v="0"/>
    <n v="0"/>
    <n v="3248"/>
    <n v="812"/>
    <m/>
    <n v="8932"/>
    <n v="287.68"/>
    <n v="4"/>
    <n v="8644.32"/>
    <n v="3.2207792207792206E-2"/>
    <s v="Cliente"/>
    <x v="1"/>
    <m/>
    <m/>
    <m/>
    <m/>
    <m/>
    <m/>
  </r>
  <r>
    <d v="2022-02-03T00:00:00"/>
    <x v="1"/>
    <x v="23"/>
    <s v="MAGALLANES"/>
    <n v="23224"/>
    <x v="0"/>
    <m/>
    <n v="0"/>
    <n v="0"/>
    <n v="0"/>
    <n v="0"/>
    <n v="0"/>
    <n v="0"/>
    <n v="0"/>
    <n v="0"/>
    <m/>
    <n v="0"/>
    <n v="1734.2"/>
    <n v="0"/>
    <n v="-1734.2"/>
    <n v="0"/>
    <s v="Alta sin facturar"/>
    <x v="0"/>
    <m/>
    <m/>
    <m/>
    <m/>
    <m/>
    <m/>
  </r>
  <r>
    <d v="2022-02-03T00:00:00"/>
    <x v="1"/>
    <x v="4"/>
    <s v="CENTRO"/>
    <n v="23225"/>
    <x v="1"/>
    <m/>
    <n v="5"/>
    <n v="0"/>
    <n v="0"/>
    <n v="488.36"/>
    <n v="600.88"/>
    <n v="1238.8800000000001"/>
    <n v="1460.44"/>
    <n v="1881.52"/>
    <m/>
    <n v="5670.08"/>
    <n v="0"/>
    <n v="5"/>
    <n v="5670.08"/>
    <n v="0"/>
    <s v="Cliente"/>
    <x v="1"/>
    <m/>
    <m/>
    <m/>
    <m/>
    <m/>
    <m/>
  </r>
  <r>
    <d v="2022-02-03T00:00:00"/>
    <x v="1"/>
    <x v="4"/>
    <s v="CENTRO"/>
    <n v="23226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2-04T00:00:00"/>
    <x v="1"/>
    <x v="9"/>
    <s v="NORTE"/>
    <n v="23227"/>
    <x v="1"/>
    <m/>
    <n v="5"/>
    <n v="0"/>
    <n v="0"/>
    <n v="1212.2"/>
    <n v="1930.24"/>
    <n v="58"/>
    <n v="2606.52"/>
    <n v="3099.5200000000004"/>
    <m/>
    <n v="8906.48"/>
    <n v="1881.52"/>
    <n v="5"/>
    <n v="7024.9599999999991"/>
    <n v="0.2112529304506382"/>
    <s v="Cliente"/>
    <x v="1"/>
    <m/>
    <m/>
    <m/>
    <m/>
    <m/>
    <m/>
  </r>
  <r>
    <d v="2022-02-04T00:00:00"/>
    <x v="1"/>
    <x v="6"/>
    <s v="SUR"/>
    <n v="23228"/>
    <x v="2"/>
    <m/>
    <n v="5"/>
    <n v="0"/>
    <n v="0"/>
    <n v="5157.3599999999997"/>
    <n v="1756.24"/>
    <n v="2133.2399999999998"/>
    <n v="887.40000000000009"/>
    <n v="7436.76"/>
    <m/>
    <n v="17371"/>
    <m/>
    <n v="5"/>
    <n v="17371"/>
    <n v="0"/>
    <s v="Cliente"/>
    <x v="1"/>
    <m/>
    <m/>
    <m/>
    <m/>
    <m/>
    <m/>
  </r>
  <r>
    <d v="2022-02-08T00:00:00"/>
    <x v="1"/>
    <x v="9"/>
    <s v="NORTE"/>
    <n v="23229"/>
    <x v="2"/>
    <m/>
    <n v="4"/>
    <n v="0"/>
    <n v="396.72"/>
    <n v="2056.6799999999998"/>
    <n v="972.08"/>
    <n v="2713.2400000000002"/>
    <n v="0"/>
    <n v="0"/>
    <m/>
    <n v="6138.7199999999993"/>
    <n v="976.72"/>
    <n v="4"/>
    <n v="5161.9999999999991"/>
    <n v="0.15910808767951629"/>
    <s v="Cliente"/>
    <x v="1"/>
    <m/>
    <m/>
    <m/>
    <m/>
    <m/>
    <m/>
  </r>
  <r>
    <d v="2022-02-08T00:00:00"/>
    <x v="1"/>
    <x v="17"/>
    <s v="CENTRO"/>
    <n v="23230"/>
    <x v="1"/>
    <m/>
    <n v="1"/>
    <n v="0"/>
    <n v="0"/>
    <n v="0"/>
    <n v="151.96"/>
    <n v="0"/>
    <n v="0"/>
    <n v="0"/>
    <m/>
    <n v="151.96"/>
    <n v="3077.48"/>
    <n v="1"/>
    <n v="-2925.52"/>
    <n v="20.251908396946565"/>
    <s v="Cliente nuevo"/>
    <x v="0"/>
    <m/>
    <m/>
    <m/>
    <m/>
    <m/>
    <m/>
  </r>
  <r>
    <d v="2022-02-08T00:00:00"/>
    <x v="1"/>
    <x v="17"/>
    <s v="CENTRO"/>
    <n v="23231"/>
    <x v="1"/>
    <m/>
    <n v="2"/>
    <n v="0"/>
    <n v="0"/>
    <n v="2784"/>
    <n v="0"/>
    <n v="928"/>
    <n v="0"/>
    <n v="0"/>
    <m/>
    <n v="3712"/>
    <n v="0"/>
    <n v="2"/>
    <n v="3712"/>
    <n v="0"/>
    <s v="Cliente nuevo"/>
    <x v="1"/>
    <m/>
    <m/>
    <m/>
    <m/>
    <m/>
    <m/>
  </r>
  <r>
    <d v="2022-01-08T00:00:00"/>
    <x v="0"/>
    <x v="11"/>
    <s v="MAGALLANES"/>
    <n v="23232"/>
    <x v="1"/>
    <m/>
    <n v="6"/>
    <n v="0"/>
    <n v="70.760000000000005"/>
    <n v="605.52"/>
    <n v="464"/>
    <n v="1021.96"/>
    <n v="832.88"/>
    <n v="807.36"/>
    <m/>
    <n v="3802.48"/>
    <n v="0"/>
    <n v="6"/>
    <n v="3802.48"/>
    <n v="0"/>
    <s v="Cliente"/>
    <x v="1"/>
    <m/>
    <m/>
    <m/>
    <m/>
    <m/>
    <m/>
  </r>
  <r>
    <d v="2022-02-08T00:00:00"/>
    <x v="1"/>
    <x v="7"/>
    <s v="NORTE"/>
    <n v="23233"/>
    <x v="2"/>
    <m/>
    <n v="5"/>
    <n v="0"/>
    <n v="20880"/>
    <n v="0"/>
    <n v="19488"/>
    <n v="198.36"/>
    <n v="3717.8"/>
    <n v="696"/>
    <m/>
    <n v="44980.160000000003"/>
    <n v="0"/>
    <n v="5"/>
    <n v="44980.160000000003"/>
    <n v="0"/>
    <s v="Cliente"/>
    <x v="1"/>
    <m/>
    <m/>
    <m/>
    <m/>
    <m/>
    <m/>
  </r>
  <r>
    <d v="2022-02-08T00:00:00"/>
    <x v="1"/>
    <x v="18"/>
    <s v="NORTE"/>
    <n v="23234"/>
    <x v="0"/>
    <m/>
    <n v="3"/>
    <n v="0"/>
    <n v="4872"/>
    <n v="1760.88"/>
    <n v="0"/>
    <n v="0"/>
    <n v="5800"/>
    <n v="0"/>
    <m/>
    <n v="12432.880000000001"/>
    <n v="0"/>
    <n v="3"/>
    <n v="12432.880000000001"/>
    <n v="0"/>
    <s v="Cliente"/>
    <x v="1"/>
    <m/>
    <m/>
    <m/>
    <m/>
    <m/>
    <m/>
  </r>
  <r>
    <d v="2022-02-09T00:00:00"/>
    <x v="1"/>
    <x v="22"/>
    <s v="NORTE"/>
    <n v="23235"/>
    <x v="0"/>
    <m/>
    <n v="2"/>
    <n v="0"/>
    <n v="0"/>
    <n v="0"/>
    <n v="0"/>
    <n v="0"/>
    <n v="1160"/>
    <n v="1624"/>
    <m/>
    <n v="2784"/>
    <n v="0"/>
    <n v="2"/>
    <n v="2784"/>
    <n v="0"/>
    <s v="Cliente nuevo"/>
    <x v="1"/>
    <m/>
    <m/>
    <m/>
    <m/>
    <m/>
    <m/>
  </r>
  <r>
    <d v="2022-02-09T00:00:00"/>
    <x v="1"/>
    <x v="15"/>
    <s v="MAGALLANES"/>
    <n v="23236"/>
    <x v="2"/>
    <m/>
    <n v="0"/>
    <n v="0"/>
    <n v="0"/>
    <n v="0"/>
    <n v="0"/>
    <n v="0"/>
    <n v="0"/>
    <n v="0"/>
    <m/>
    <n v="0"/>
    <n v="7560.88"/>
    <n v="0"/>
    <n v="-7560.88"/>
    <n v="0"/>
    <s v="Alta sin facturar"/>
    <x v="0"/>
    <m/>
    <m/>
    <m/>
    <m/>
    <m/>
    <m/>
  </r>
  <r>
    <d v="2022-02-09T00:00:00"/>
    <x v="1"/>
    <x v="10"/>
    <s v="CENTRO"/>
    <n v="23237"/>
    <x v="0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2-10T00:00:00"/>
    <x v="1"/>
    <x v="10"/>
    <s v="CENTRO"/>
    <n v="23238"/>
    <x v="1"/>
    <m/>
    <n v="1"/>
    <n v="0"/>
    <n v="0"/>
    <n v="0"/>
    <n v="0"/>
    <n v="0"/>
    <n v="11.6"/>
    <n v="0"/>
    <m/>
    <n v="11.6"/>
    <m/>
    <n v="1"/>
    <n v="11.6"/>
    <n v="0"/>
    <s v="Cliente nuevo"/>
    <x v="1"/>
    <m/>
    <m/>
    <m/>
    <m/>
    <m/>
    <m/>
  </r>
  <r>
    <d v="2022-02-10T00:00:00"/>
    <x v="1"/>
    <x v="11"/>
    <s v="MAGALLANES"/>
    <n v="23239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2-10T00:00:00"/>
    <x v="1"/>
    <x v="13"/>
    <s v="NORTE"/>
    <n v="23240"/>
    <x v="1"/>
    <m/>
    <n v="6"/>
    <n v="0"/>
    <n v="3248"/>
    <n v="11329.72"/>
    <n v="1624"/>
    <n v="7088.76"/>
    <n v="5303.52"/>
    <n v="16188.96"/>
    <m/>
    <n v="44782.96"/>
    <n v="11.6"/>
    <n v="6"/>
    <n v="44771.360000000001"/>
    <n v="2.5902709423405686E-4"/>
    <s v="Cliente"/>
    <x v="1"/>
    <m/>
    <m/>
    <m/>
    <m/>
    <m/>
    <m/>
  </r>
  <r>
    <d v="2022-02-10T00:00:00"/>
    <x v="1"/>
    <x v="16"/>
    <s v="NORTE"/>
    <n v="23241"/>
    <x v="2"/>
    <m/>
    <n v="5"/>
    <n v="0"/>
    <n v="1308.48"/>
    <n v="2300.2799999999997"/>
    <n v="2146"/>
    <n v="1006.88"/>
    <n v="2633.2000000000003"/>
    <n v="0"/>
    <m/>
    <n v="9394.84"/>
    <m/>
    <n v="5"/>
    <n v="9394.84"/>
    <n v="0"/>
    <s v="Cliente"/>
    <x v="1"/>
    <m/>
    <m/>
    <m/>
    <m/>
    <m/>
    <m/>
  </r>
  <r>
    <d v="2022-02-10T00:00:00"/>
    <x v="1"/>
    <x v="2"/>
    <s v="SUR"/>
    <n v="23242"/>
    <x v="1"/>
    <m/>
    <n v="5"/>
    <n v="0"/>
    <n v="0"/>
    <n v="269462.19999999995"/>
    <n v="27834.199999999997"/>
    <n v="12489.720000000001"/>
    <n v="27444.440000000002"/>
    <n v="4280.3999999999996"/>
    <m/>
    <n v="341510.96"/>
    <n v="16188.96"/>
    <n v="5"/>
    <n v="325322"/>
    <n v="4.7403925191742011E-2"/>
    <s v="Cliente"/>
    <x v="1"/>
    <m/>
    <m/>
    <m/>
    <m/>
    <m/>
    <m/>
  </r>
  <r>
    <d v="2022-02-11T00:00:00"/>
    <x v="1"/>
    <x v="24"/>
    <e v="#N/A"/>
    <n v="23243"/>
    <x v="0"/>
    <m/>
    <n v="1"/>
    <n v="0"/>
    <n v="0"/>
    <n v="0"/>
    <n v="0"/>
    <n v="44011.31"/>
    <n v="0"/>
    <n v="0"/>
    <m/>
    <n v="44011.31"/>
    <n v="2633.2000000000003"/>
    <n v="1"/>
    <n v="41378.11"/>
    <n v="5.9830075496503064E-2"/>
    <s v="Cliente nuevo"/>
    <x v="1"/>
    <m/>
    <m/>
    <m/>
    <m/>
    <m/>
    <m/>
  </r>
  <r>
    <d v="2022-02-11T00:00:00"/>
    <x v="1"/>
    <x v="13"/>
    <s v="NORTE"/>
    <n v="23244"/>
    <x v="2"/>
    <m/>
    <n v="6"/>
    <n v="0"/>
    <n v="1648.36"/>
    <n v="3821.04"/>
    <n v="6950.72"/>
    <n v="5675.88"/>
    <n v="3829.16"/>
    <n v="6290.68"/>
    <m/>
    <n v="28215.84"/>
    <n v="3424.3199999999997"/>
    <n v="6"/>
    <n v="24791.52"/>
    <n v="0.12136161815490872"/>
    <s v="Cliente"/>
    <x v="1"/>
    <m/>
    <m/>
    <m/>
    <m/>
    <m/>
    <m/>
  </r>
  <r>
    <d v="2022-02-11T00:00:00"/>
    <x v="1"/>
    <x v="8"/>
    <s v="NORTE"/>
    <n v="23245"/>
    <x v="1"/>
    <m/>
    <n v="0"/>
    <n v="0"/>
    <n v="0"/>
    <n v="0"/>
    <n v="0"/>
    <n v="0"/>
    <n v="0"/>
    <n v="0"/>
    <m/>
    <n v="0"/>
    <n v="44011.31"/>
    <n v="0"/>
    <n v="-44011.31"/>
    <n v="0"/>
    <s v="Alta sin facturar"/>
    <x v="0"/>
    <m/>
    <m/>
    <m/>
    <m/>
    <m/>
    <m/>
  </r>
  <r>
    <d v="2022-02-11T00:00:00"/>
    <x v="1"/>
    <x v="8"/>
    <s v="NORTE"/>
    <n v="23246"/>
    <x v="0"/>
    <m/>
    <n v="2"/>
    <n v="0"/>
    <n v="8120"/>
    <n v="8932"/>
    <n v="0"/>
    <n v="0"/>
    <n v="0"/>
    <n v="0"/>
    <m/>
    <n v="17052"/>
    <n v="1647.2"/>
    <n v="2"/>
    <n v="15404.8"/>
    <n v="9.6598639455782315E-2"/>
    <s v="Cliente nuevo"/>
    <x v="1"/>
    <m/>
    <m/>
    <m/>
    <m/>
    <m/>
    <m/>
  </r>
  <r>
    <d v="2022-02-11T00:00:00"/>
    <x v="1"/>
    <x v="7"/>
    <s v="NORTE"/>
    <n v="23247"/>
    <x v="2"/>
    <m/>
    <n v="3"/>
    <n v="0"/>
    <n v="11413.240000000002"/>
    <n v="17606.480000000003"/>
    <n v="14146.2"/>
    <n v="0"/>
    <n v="0"/>
    <n v="0"/>
    <m/>
    <n v="43165.920000000006"/>
    <m/>
    <n v="3"/>
    <n v="43165.920000000006"/>
    <n v="0"/>
    <s v="Cliente"/>
    <x v="1"/>
    <m/>
    <m/>
    <m/>
    <m/>
    <m/>
    <m/>
  </r>
  <r>
    <d v="2022-02-12T00:00:00"/>
    <x v="1"/>
    <x v="2"/>
    <s v="SUR"/>
    <n v="23248"/>
    <x v="1"/>
    <m/>
    <n v="0"/>
    <n v="0"/>
    <n v="0"/>
    <n v="0"/>
    <n v="0"/>
    <n v="0"/>
    <n v="0"/>
    <n v="0"/>
    <m/>
    <n v="0"/>
    <n v="17052"/>
    <n v="0"/>
    <n v="-17052"/>
    <n v="0"/>
    <s v="Alta sin facturar"/>
    <x v="0"/>
    <m/>
    <m/>
    <m/>
    <m/>
    <m/>
    <m/>
  </r>
  <r>
    <d v="2022-02-12T00:00:00"/>
    <x v="1"/>
    <x v="9"/>
    <s v="NORTE"/>
    <n v="23249"/>
    <x v="1"/>
    <m/>
    <n v="2"/>
    <n v="0"/>
    <n v="0"/>
    <n v="2308.4"/>
    <n v="0"/>
    <n v="0"/>
    <n v="580"/>
    <n v="0"/>
    <m/>
    <n v="2888.4"/>
    <n v="0"/>
    <n v="2"/>
    <n v="2888.4"/>
    <n v="0"/>
    <s v="Cliente nuevo"/>
    <x v="1"/>
    <m/>
    <m/>
    <m/>
    <m/>
    <m/>
    <m/>
  </r>
  <r>
    <d v="2022-02-12T00:00:00"/>
    <x v="1"/>
    <x v="8"/>
    <s v="NORTE"/>
    <n v="23250"/>
    <x v="1"/>
    <m/>
    <n v="4"/>
    <n v="0"/>
    <n v="0"/>
    <n v="1237.72"/>
    <n v="0"/>
    <n v="2207.48"/>
    <n v="1227.28"/>
    <n v="11254.32"/>
    <m/>
    <n v="15926.8"/>
    <m/>
    <n v="4"/>
    <n v="15926.8"/>
    <n v="0"/>
    <s v="Cliente"/>
    <x v="1"/>
    <m/>
    <m/>
    <m/>
    <m/>
    <m/>
    <m/>
  </r>
  <r>
    <d v="2022-02-12T00:00:00"/>
    <x v="1"/>
    <x v="13"/>
    <s v="NORTE"/>
    <n v="23251"/>
    <x v="2"/>
    <m/>
    <n v="3"/>
    <n v="0"/>
    <n v="0"/>
    <n v="4776.88"/>
    <n v="676.28"/>
    <n v="2533.44"/>
    <n v="0"/>
    <n v="0"/>
    <m/>
    <n v="7986.6"/>
    <n v="580"/>
    <n v="3"/>
    <n v="7406.6"/>
    <n v="7.262164124909222E-2"/>
    <s v="Cliente"/>
    <x v="1"/>
    <m/>
    <m/>
    <m/>
    <m/>
    <m/>
    <m/>
  </r>
  <r>
    <d v="2022-02-12T00:00:00"/>
    <x v="1"/>
    <x v="6"/>
    <s v="SUR"/>
    <n v="23252"/>
    <x v="1"/>
    <m/>
    <n v="5"/>
    <n v="0"/>
    <n v="546.36"/>
    <n v="1422.1599999999999"/>
    <n v="0"/>
    <n v="2396.56"/>
    <n v="1211.04"/>
    <n v="751.68"/>
    <m/>
    <n v="6327.8"/>
    <n v="11627.84"/>
    <n v="5"/>
    <n v="-5300.04"/>
    <n v="1.8375802016498626"/>
    <s v="Cliente"/>
    <x v="0"/>
    <m/>
    <m/>
    <m/>
    <m/>
    <m/>
    <m/>
  </r>
  <r>
    <d v="2022-02-15T00:00:00"/>
    <x v="1"/>
    <x v="13"/>
    <s v="NORTE"/>
    <n v="23253"/>
    <x v="0"/>
    <m/>
    <n v="1"/>
    <n v="0"/>
    <n v="0"/>
    <n v="0"/>
    <n v="0"/>
    <n v="0"/>
    <n v="0"/>
    <n v="866.52"/>
    <m/>
    <n v="866.52"/>
    <n v="0"/>
    <n v="1"/>
    <n v="866.52"/>
    <n v="0"/>
    <s v="Cliente nuevo"/>
    <x v="1"/>
    <m/>
    <m/>
    <m/>
    <m/>
    <m/>
    <m/>
  </r>
  <r>
    <d v="2022-01-15T00:00:00"/>
    <x v="0"/>
    <x v="15"/>
    <s v="MAGALLANES"/>
    <n v="23255"/>
    <x v="1"/>
    <m/>
    <n v="4"/>
    <n v="0"/>
    <n v="928"/>
    <n v="6352.16"/>
    <n v="1856"/>
    <n v="0"/>
    <n v="3016"/>
    <n v="0"/>
    <m/>
    <n v="12152.16"/>
    <n v="0"/>
    <n v="4"/>
    <n v="12152.16"/>
    <n v="0"/>
    <s v="Cliente"/>
    <x v="1"/>
    <m/>
    <m/>
    <m/>
    <m/>
    <m/>
    <m/>
  </r>
  <r>
    <d v="2022-02-15T00:00:00"/>
    <x v="1"/>
    <x v="10"/>
    <s v="CENTRO"/>
    <n v="23256"/>
    <x v="2"/>
    <m/>
    <n v="0"/>
    <n v="0"/>
    <n v="0"/>
    <n v="0"/>
    <n v="0"/>
    <n v="0"/>
    <n v="0"/>
    <n v="0"/>
    <m/>
    <n v="0"/>
    <n v="866.52"/>
    <n v="0"/>
    <n v="-866.52"/>
    <n v="0"/>
    <s v="Alta sin facturar"/>
    <x v="0"/>
    <m/>
    <m/>
    <m/>
    <m/>
    <m/>
    <m/>
  </r>
  <r>
    <d v="2022-02-15T00:00:00"/>
    <x v="1"/>
    <x v="11"/>
    <s v="MAGALLANES"/>
    <n v="23257"/>
    <x v="1"/>
    <m/>
    <n v="5"/>
    <n v="0"/>
    <n v="80736"/>
    <n v="28536"/>
    <n v="9744"/>
    <n v="4872"/>
    <n v="696"/>
    <n v="0"/>
    <m/>
    <n v="124584"/>
    <n v="0"/>
    <n v="5"/>
    <n v="124584"/>
    <n v="0"/>
    <s v="Cliente"/>
    <x v="1"/>
    <m/>
    <m/>
    <m/>
    <m/>
    <m/>
    <m/>
  </r>
  <r>
    <d v="2022-02-15T00:00:00"/>
    <x v="1"/>
    <x v="3"/>
    <s v="CENTRO"/>
    <n v="23258"/>
    <x v="1"/>
    <m/>
    <n v="1"/>
    <n v="0"/>
    <n v="0"/>
    <n v="299.27999999999997"/>
    <n v="0"/>
    <n v="0"/>
    <n v="0"/>
    <n v="0"/>
    <m/>
    <n v="299.27999999999997"/>
    <m/>
    <n v="1"/>
    <n v="299.27999999999997"/>
    <n v="0"/>
    <s v="Cliente nuevo"/>
    <x v="1"/>
    <m/>
    <m/>
    <m/>
    <m/>
    <m/>
    <m/>
  </r>
  <r>
    <d v="2022-02-16T00:00:00"/>
    <x v="1"/>
    <x v="9"/>
    <s v="NORTE"/>
    <n v="23259"/>
    <x v="0"/>
    <m/>
    <n v="3"/>
    <n v="0"/>
    <n v="2650.6"/>
    <n v="9152.4"/>
    <n v="3753.7599999999998"/>
    <n v="0"/>
    <n v="0"/>
    <n v="0"/>
    <m/>
    <n v="15556.76"/>
    <n v="696"/>
    <n v="3"/>
    <n v="14860.76"/>
    <n v="4.4739393035567815E-2"/>
    <s v="Cliente"/>
    <x v="1"/>
    <m/>
    <m/>
    <m/>
    <m/>
    <m/>
    <m/>
  </r>
  <r>
    <d v="2022-02-17T00:00:00"/>
    <x v="1"/>
    <x v="9"/>
    <s v="NORTE"/>
    <n v="23260"/>
    <x v="1"/>
    <m/>
    <n v="4"/>
    <n v="0"/>
    <n v="0"/>
    <n v="506.92"/>
    <n v="395.56"/>
    <n v="0"/>
    <n v="95.12"/>
    <n v="1131"/>
    <m/>
    <n v="2128.6"/>
    <n v="0"/>
    <n v="4"/>
    <n v="2128.6"/>
    <n v="0"/>
    <s v="Cliente"/>
    <x v="1"/>
    <m/>
    <m/>
    <m/>
    <m/>
    <m/>
    <m/>
  </r>
  <r>
    <d v="2022-02-17T00:00:00"/>
    <x v="1"/>
    <x v="12"/>
    <s v="CENTRO"/>
    <n v="23261"/>
    <x v="1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2-18T00:00:00"/>
    <x v="1"/>
    <x v="14"/>
    <s v="CENTRO"/>
    <n v="23262"/>
    <x v="2"/>
    <m/>
    <n v="5"/>
    <n v="0"/>
    <n v="0"/>
    <n v="1856"/>
    <n v="16936"/>
    <n v="8816"/>
    <n v="8352"/>
    <n v="16008"/>
    <m/>
    <n v="51968"/>
    <n v="0"/>
    <n v="5"/>
    <n v="51968"/>
    <n v="0"/>
    <s v="Cliente"/>
    <x v="1"/>
    <m/>
    <m/>
    <m/>
    <m/>
    <m/>
    <m/>
  </r>
  <r>
    <d v="2022-02-19T00:00:00"/>
    <x v="1"/>
    <x v="2"/>
    <s v="SUR"/>
    <n v="23263"/>
    <x v="1"/>
    <m/>
    <n v="6"/>
    <n v="0"/>
    <n v="526.64"/>
    <n v="1128.68"/>
    <n v="2284.04"/>
    <n v="1001.0799999999999"/>
    <n v="1624"/>
    <n v="1356.04"/>
    <m/>
    <n v="7920.4800000000005"/>
    <m/>
    <n v="6"/>
    <n v="7920.4800000000005"/>
    <n v="0"/>
    <s v="Cliente"/>
    <x v="1"/>
    <m/>
    <m/>
    <m/>
    <m/>
    <m/>
    <m/>
  </r>
  <r>
    <d v="2022-02-19T00:00:00"/>
    <x v="1"/>
    <x v="17"/>
    <s v="CENTRO"/>
    <n v="23264"/>
    <x v="1"/>
    <m/>
    <n v="2"/>
    <n v="0"/>
    <n v="0"/>
    <n v="0"/>
    <n v="2784"/>
    <n v="928"/>
    <n v="0"/>
    <n v="0"/>
    <m/>
    <n v="3712"/>
    <n v="3016"/>
    <n v="2"/>
    <n v="696"/>
    <n v="0.8125"/>
    <s v="Cliente nuevo"/>
    <x v="1"/>
    <m/>
    <m/>
    <m/>
    <m/>
    <m/>
    <m/>
  </r>
  <r>
    <d v="2022-02-19T00:00:00"/>
    <x v="1"/>
    <x v="7"/>
    <s v="NORTE"/>
    <n v="23265"/>
    <x v="2"/>
    <m/>
    <n v="4"/>
    <n v="0"/>
    <n v="0"/>
    <n v="327.12"/>
    <n v="0"/>
    <n v="93.96"/>
    <n v="81.2"/>
    <n v="3064.7200000000003"/>
    <m/>
    <n v="3567"/>
    <n v="1084.5999999999999"/>
    <n v="4"/>
    <n v="2482.4"/>
    <n v="0.30406504065040646"/>
    <s v="Cliente"/>
    <x v="1"/>
    <m/>
    <m/>
    <m/>
    <m/>
    <m/>
    <m/>
  </r>
  <r>
    <d v="2022-02-19T00:00:00"/>
    <x v="1"/>
    <x v="14"/>
    <s v="CENTRO"/>
    <n v="23266"/>
    <x v="1"/>
    <m/>
    <n v="5"/>
    <n v="0"/>
    <n v="0"/>
    <n v="2217.92"/>
    <n v="46836.159999999996"/>
    <n v="6216.44"/>
    <n v="2894.2"/>
    <n v="7970.36"/>
    <m/>
    <n v="66135.079999999987"/>
    <n v="928"/>
    <n v="5"/>
    <n v="65207.079999999987"/>
    <n v="1.403188746426254E-2"/>
    <s v="Cliente"/>
    <x v="1"/>
    <m/>
    <m/>
    <m/>
    <m/>
    <m/>
    <m/>
  </r>
  <r>
    <d v="2022-02-21T00:00:00"/>
    <x v="1"/>
    <x v="6"/>
    <s v="SUR"/>
    <n v="23267"/>
    <x v="1"/>
    <m/>
    <n v="2"/>
    <n v="0"/>
    <n v="0"/>
    <n v="194.88"/>
    <n v="0"/>
    <n v="0"/>
    <n v="0"/>
    <n v="976.72"/>
    <m/>
    <n v="1171.5999999999999"/>
    <n v="0"/>
    <n v="2"/>
    <n v="1171.5999999999999"/>
    <n v="0"/>
    <s v="Cliente nuevo"/>
    <x v="1"/>
    <m/>
    <m/>
    <m/>
    <m/>
    <m/>
    <m/>
  </r>
  <r>
    <d v="2022-02-21T00:00:00"/>
    <x v="1"/>
    <x v="2"/>
    <s v="SUR"/>
    <n v="23268"/>
    <x v="0"/>
    <m/>
    <n v="5"/>
    <n v="0"/>
    <n v="0"/>
    <n v="2724.84"/>
    <n v="1611.24"/>
    <n v="443.12"/>
    <n v="1133.3200000000002"/>
    <n v="1354.88"/>
    <m/>
    <n v="7267.4000000000005"/>
    <n v="4170.2"/>
    <n v="5"/>
    <n v="3097.2000000000007"/>
    <n v="0.57382282521947314"/>
    <s v="Cliente"/>
    <x v="1"/>
    <m/>
    <m/>
    <m/>
    <m/>
    <m/>
    <m/>
  </r>
  <r>
    <d v="2022-02-21T00:00:00"/>
    <x v="1"/>
    <x v="0"/>
    <s v="CENTRO"/>
    <n v="23269"/>
    <x v="1"/>
    <m/>
    <n v="5"/>
    <n v="0"/>
    <n v="0"/>
    <n v="50891.520000000004"/>
    <n v="7761.5599999999995"/>
    <n v="1216.8399999999999"/>
    <n v="1270.1999999999998"/>
    <n v="2842"/>
    <m/>
    <n v="63982.119999999995"/>
    <n v="976.72"/>
    <n v="5"/>
    <n v="63005.399999999994"/>
    <n v="1.5265514803198144E-2"/>
    <s v="Cliente"/>
    <x v="1"/>
    <m/>
    <m/>
    <m/>
    <m/>
    <m/>
    <m/>
  </r>
  <r>
    <d v="2022-02-22T00:00:00"/>
    <x v="1"/>
    <x v="11"/>
    <s v="MAGALLANES"/>
    <n v="23270"/>
    <x v="2"/>
    <m/>
    <n v="0"/>
    <n v="0"/>
    <n v="0"/>
    <n v="0"/>
    <n v="0"/>
    <n v="0"/>
    <n v="0"/>
    <n v="0"/>
    <m/>
    <n v="0"/>
    <n v="649.6"/>
    <n v="0"/>
    <n v="-649.6"/>
    <n v="0"/>
    <s v="Alta sin facturar"/>
    <x v="0"/>
    <m/>
    <m/>
    <m/>
    <m/>
    <m/>
    <m/>
  </r>
  <r>
    <d v="2022-02-22T00:00:00"/>
    <x v="1"/>
    <x v="4"/>
    <s v="CENTRO"/>
    <n v="23271"/>
    <x v="0"/>
    <m/>
    <n v="5"/>
    <n v="0"/>
    <n v="0"/>
    <n v="34757.08"/>
    <n v="5079.6400000000003"/>
    <n v="3853.52"/>
    <n v="5079.6400000000003"/>
    <n v="26211.360000000001"/>
    <m/>
    <n v="74981.239999999991"/>
    <n v="6101.04"/>
    <n v="5"/>
    <n v="68880.2"/>
    <n v="8.1367552737191345E-2"/>
    <s v="Cliente"/>
    <x v="1"/>
    <m/>
    <m/>
    <m/>
    <m/>
    <m/>
    <m/>
  </r>
  <r>
    <d v="2022-02-22T00:00:00"/>
    <x v="1"/>
    <x v="8"/>
    <s v="NORTE"/>
    <n v="23272"/>
    <x v="2"/>
    <m/>
    <n v="1"/>
    <n v="0"/>
    <n v="0"/>
    <n v="0"/>
    <n v="0"/>
    <n v="0"/>
    <n v="1160"/>
    <n v="0"/>
    <m/>
    <n v="1160"/>
    <m/>
    <n v="1"/>
    <n v="1160"/>
    <n v="0"/>
    <s v="Cliente nuevo"/>
    <x v="1"/>
    <m/>
    <m/>
    <m/>
    <m/>
    <m/>
    <m/>
  </r>
  <r>
    <d v="2022-02-22T00:00:00"/>
    <x v="1"/>
    <x v="17"/>
    <s v="CENTRO"/>
    <n v="23273"/>
    <x v="1"/>
    <m/>
    <n v="0"/>
    <n v="0"/>
    <n v="0"/>
    <n v="0"/>
    <n v="0"/>
    <n v="0"/>
    <n v="0"/>
    <n v="0"/>
    <m/>
    <n v="0"/>
    <n v="31291"/>
    <n v="0"/>
    <n v="-31291"/>
    <n v="0"/>
    <s v="Alta sin facturar"/>
    <x v="0"/>
    <m/>
    <m/>
    <m/>
    <m/>
    <m/>
    <m/>
  </r>
  <r>
    <d v="2022-02-22T00:00:00"/>
    <x v="1"/>
    <x v="16"/>
    <s v="NORTE"/>
    <n v="23274"/>
    <x v="0"/>
    <m/>
    <n v="2"/>
    <n v="0"/>
    <n v="0"/>
    <n v="0"/>
    <n v="116"/>
    <n v="10609.36"/>
    <n v="0"/>
    <n v="0"/>
    <m/>
    <n v="10725.36"/>
    <n v="1160"/>
    <n v="2"/>
    <n v="9565.36"/>
    <n v="0.1081548777849881"/>
    <s v="Cliente nuevo"/>
    <x v="1"/>
    <m/>
    <m/>
    <m/>
    <m/>
    <m/>
    <m/>
  </r>
  <r>
    <d v="2022-02-23T00:00:00"/>
    <x v="1"/>
    <x v="5"/>
    <s v="CENTRO"/>
    <n v="23275"/>
    <x v="1"/>
    <m/>
    <n v="5"/>
    <n v="0"/>
    <n v="0"/>
    <n v="2629.7200000000003"/>
    <n v="4724.68"/>
    <n v="1001.08"/>
    <n v="1472.04"/>
    <n v="3578.6000000000004"/>
    <m/>
    <n v="13406.12"/>
    <m/>
    <n v="5"/>
    <n v="13406.12"/>
    <n v="0"/>
    <s v="Cliente"/>
    <x v="1"/>
    <m/>
    <m/>
    <m/>
    <m/>
    <m/>
    <m/>
  </r>
  <r>
    <d v="2022-02-23T00:00:00"/>
    <x v="1"/>
    <x v="4"/>
    <s v="CENTRO"/>
    <n v="23276"/>
    <x v="0"/>
    <m/>
    <n v="0"/>
    <n v="0"/>
    <n v="0"/>
    <n v="0"/>
    <n v="0"/>
    <n v="0"/>
    <n v="0"/>
    <n v="0"/>
    <m/>
    <n v="0"/>
    <n v="5323.24"/>
    <n v="0"/>
    <n v="-5323.24"/>
    <n v="0"/>
    <s v="Alta sin facturar"/>
    <x v="0"/>
    <m/>
    <m/>
    <m/>
    <m/>
    <m/>
    <m/>
  </r>
  <r>
    <d v="2022-02-23T00:00:00"/>
    <x v="1"/>
    <x v="4"/>
    <s v="CENTRO"/>
    <n v="23277"/>
    <x v="1"/>
    <m/>
    <n v="4"/>
    <n v="0"/>
    <n v="0"/>
    <n v="2648.2799999999997"/>
    <n v="3594.84"/>
    <n v="1198.28"/>
    <n v="1198.28"/>
    <n v="0"/>
    <m/>
    <n v="8639.68"/>
    <n v="2637.84"/>
    <n v="4"/>
    <n v="6001.84"/>
    <n v="0.30531686358754029"/>
    <s v="Cliente"/>
    <x v="1"/>
    <m/>
    <m/>
    <m/>
    <m/>
    <m/>
    <m/>
  </r>
  <r>
    <d v="2022-02-23T00:00:00"/>
    <x v="1"/>
    <x v="4"/>
    <s v="CENTRO"/>
    <n v="23278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2-23T00:00:00"/>
    <x v="1"/>
    <x v="12"/>
    <s v="CENTRO"/>
    <n v="23279"/>
    <x v="1"/>
    <m/>
    <n v="5"/>
    <n v="0"/>
    <n v="0"/>
    <n v="5071.5200000000004"/>
    <n v="582.32000000000005"/>
    <n v="2324.6400000000003"/>
    <n v="2555.48"/>
    <n v="2451.08"/>
    <m/>
    <n v="12985.04"/>
    <n v="0"/>
    <n v="5"/>
    <n v="12985.04"/>
    <n v="0"/>
    <s v="Cliente"/>
    <x v="1"/>
    <m/>
    <m/>
    <m/>
    <m/>
    <m/>
    <m/>
  </r>
  <r>
    <d v="2022-02-23T00:00:00"/>
    <x v="1"/>
    <x v="6"/>
    <s v="SUR"/>
    <n v="23280"/>
    <x v="1"/>
    <m/>
    <n v="5"/>
    <n v="0"/>
    <n v="0"/>
    <n v="1763.2"/>
    <n v="2643.6400000000003"/>
    <n v="1276"/>
    <n v="1451.16"/>
    <n v="5184.0399999999991"/>
    <m/>
    <n v="12318.039999999999"/>
    <m/>
    <n v="5"/>
    <n v="12318.039999999999"/>
    <n v="0"/>
    <s v="Cliente"/>
    <x v="1"/>
    <m/>
    <m/>
    <m/>
    <m/>
    <m/>
    <m/>
  </r>
  <r>
    <d v="2022-02-23T00:00:00"/>
    <x v="1"/>
    <x v="2"/>
    <s v="SUR"/>
    <n v="23281"/>
    <x v="1"/>
    <m/>
    <n v="3"/>
    <n v="0"/>
    <n v="0"/>
    <n v="101790"/>
    <n v="0"/>
    <n v="870"/>
    <n v="870"/>
    <n v="0"/>
    <m/>
    <n v="103530"/>
    <n v="2858.24"/>
    <n v="3"/>
    <n v="100671.76"/>
    <n v="2.7607843137254898E-2"/>
    <s v="Cliente"/>
    <x v="1"/>
    <m/>
    <m/>
    <m/>
    <m/>
    <m/>
    <m/>
  </r>
  <r>
    <d v="2022-02-24T00:00:00"/>
    <x v="1"/>
    <x v="4"/>
    <s v="CENTRO"/>
    <n v="23282"/>
    <x v="1"/>
    <m/>
    <n v="5"/>
    <n v="0"/>
    <n v="0"/>
    <n v="99412"/>
    <n v="27956"/>
    <n v="37062"/>
    <n v="6960"/>
    <n v="9280"/>
    <m/>
    <n v="180670"/>
    <n v="2446.44"/>
    <n v="5"/>
    <n v="178223.56"/>
    <n v="1.3540930979133227E-2"/>
    <s v="Cliente"/>
    <x v="1"/>
    <m/>
    <m/>
    <m/>
    <m/>
    <m/>
    <m/>
  </r>
  <r>
    <d v="2022-02-24T00:00:00"/>
    <x v="1"/>
    <x v="5"/>
    <s v="CENTRO"/>
    <n v="23283"/>
    <x v="0"/>
    <m/>
    <n v="5"/>
    <n v="0"/>
    <n v="0"/>
    <n v="28776.12"/>
    <n v="72748.240000000005"/>
    <n v="76254.92"/>
    <n v="117447.67999999999"/>
    <n v="75260.800000000003"/>
    <m/>
    <n v="370487.75999999995"/>
    <n v="0"/>
    <n v="5"/>
    <n v="370487.75999999995"/>
    <n v="0"/>
    <s v="Cliente"/>
    <x v="1"/>
    <m/>
    <m/>
    <m/>
    <m/>
    <m/>
    <m/>
  </r>
  <r>
    <d v="2022-02-24T00:00:00"/>
    <x v="1"/>
    <x v="4"/>
    <s v="CENTRO"/>
    <n v="23284"/>
    <x v="2"/>
    <m/>
    <n v="5"/>
    <n v="0"/>
    <n v="0"/>
    <n v="2556.64"/>
    <n v="994.12"/>
    <n v="157.76"/>
    <n v="423.40000000000003"/>
    <n v="157.76"/>
    <m/>
    <n v="4289.6799999999994"/>
    <n v="11542"/>
    <n v="5"/>
    <n v="-7252.3200000000006"/>
    <n v="2.6906435911303412"/>
    <s v="Cliente"/>
    <x v="0"/>
    <m/>
    <m/>
    <m/>
    <m/>
    <m/>
    <m/>
  </r>
  <r>
    <d v="2022-02-24T00:00:00"/>
    <x v="1"/>
    <x v="4"/>
    <s v="CENTRO"/>
    <n v="23285"/>
    <x v="1"/>
    <m/>
    <n v="0"/>
    <n v="0"/>
    <n v="0"/>
    <n v="0"/>
    <n v="0"/>
    <n v="0"/>
    <n v="0"/>
    <n v="0"/>
    <m/>
    <n v="0"/>
    <n v="75260.800000000003"/>
    <n v="0"/>
    <n v="-75260.800000000003"/>
    <n v="0"/>
    <s v="Alta sin facturar"/>
    <x v="0"/>
    <m/>
    <m/>
    <m/>
    <m/>
    <m/>
    <m/>
  </r>
  <r>
    <d v="2022-02-24T00:00:00"/>
    <x v="1"/>
    <x v="16"/>
    <s v="NORTE"/>
    <n v="23286"/>
    <x v="2"/>
    <m/>
    <n v="2"/>
    <n v="0"/>
    <n v="0"/>
    <n v="0"/>
    <n v="928"/>
    <n v="0"/>
    <n v="0"/>
    <n v="928"/>
    <m/>
    <n v="1856"/>
    <n v="646.40000000000009"/>
    <n v="2"/>
    <n v="1209.5999999999999"/>
    <n v="0.34827586206896555"/>
    <s v="Cliente nuevo"/>
    <x v="1"/>
    <m/>
    <m/>
    <m/>
    <m/>
    <m/>
    <m/>
  </r>
  <r>
    <d v="2022-02-25T00:00:00"/>
    <x v="1"/>
    <x v="11"/>
    <s v="MAGALLANES"/>
    <n v="23287"/>
    <x v="1"/>
    <m/>
    <n v="5"/>
    <n v="0"/>
    <n v="0"/>
    <n v="2107.7199999999998"/>
    <n v="494.16"/>
    <n v="951.19999999999993"/>
    <n v="395.56000000000006"/>
    <n v="1310.8"/>
    <m/>
    <n v="5259.44"/>
    <m/>
    <n v="5"/>
    <n v="5259.44"/>
    <n v="0"/>
    <s v="Cliente"/>
    <x v="1"/>
    <m/>
    <m/>
    <m/>
    <m/>
    <m/>
    <m/>
  </r>
  <r>
    <d v="2022-02-25T00:00:00"/>
    <x v="1"/>
    <x v="11"/>
    <s v="MAGALLANES"/>
    <n v="23288"/>
    <x v="0"/>
    <m/>
    <n v="1"/>
    <n v="0"/>
    <n v="0"/>
    <n v="220.4"/>
    <n v="0"/>
    <n v="0"/>
    <n v="0"/>
    <n v="0"/>
    <m/>
    <n v="220.4"/>
    <n v="1856"/>
    <n v="1"/>
    <n v="-1635.6"/>
    <n v="8.4210526315789469"/>
    <s v="Cliente nuevo"/>
    <x v="0"/>
    <m/>
    <m/>
    <m/>
    <m/>
    <m/>
    <m/>
  </r>
  <r>
    <d v="2022-02-25T00:00:00"/>
    <x v="1"/>
    <x v="11"/>
    <s v="MAGALLANES"/>
    <n v="23289"/>
    <x v="0"/>
    <m/>
    <n v="3"/>
    <n v="0"/>
    <n v="0"/>
    <n v="0"/>
    <n v="1840.92"/>
    <n v="18684.12"/>
    <n v="1044"/>
    <n v="0"/>
    <m/>
    <n v="21569.040000000001"/>
    <n v="801.56000000000006"/>
    <n v="3"/>
    <n v="20767.48"/>
    <n v="3.7162525545875014E-2"/>
    <s v="Cliente"/>
    <x v="1"/>
    <m/>
    <m/>
    <m/>
    <m/>
    <m/>
    <m/>
  </r>
  <r>
    <d v="2022-02-28T00:00:00"/>
    <x v="1"/>
    <x v="9"/>
    <s v="NORTE"/>
    <n v="23290"/>
    <x v="1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2-28T00:00:00"/>
    <x v="1"/>
    <x v="3"/>
    <s v="CENTRO"/>
    <n v="23291"/>
    <x v="0"/>
    <m/>
    <n v="0"/>
    <n v="0"/>
    <n v="0"/>
    <n v="0"/>
    <n v="0"/>
    <n v="0"/>
    <n v="0"/>
    <n v="0"/>
    <m/>
    <n v="0"/>
    <n v="7963.4000000000005"/>
    <n v="0"/>
    <n v="-7963.4000000000005"/>
    <n v="0"/>
    <s v="Alta sin facturar"/>
    <x v="0"/>
    <m/>
    <m/>
    <m/>
    <m/>
    <m/>
    <m/>
  </r>
  <r>
    <d v="2022-03-01T00:00:00"/>
    <x v="2"/>
    <x v="22"/>
    <s v="NORTE"/>
    <n v="23292"/>
    <x v="1"/>
    <m/>
    <n v="3"/>
    <n v="0"/>
    <n v="0"/>
    <n v="1224.96"/>
    <n v="1719.12"/>
    <n v="0"/>
    <n v="0"/>
    <n v="1127.52"/>
    <m/>
    <n v="4071.6"/>
    <m/>
    <n v="3"/>
    <n v="4071.6"/>
    <n v="0"/>
    <s v="Cliente"/>
    <x v="1"/>
    <m/>
    <m/>
    <m/>
    <m/>
    <m/>
    <m/>
  </r>
  <r>
    <d v="2022-03-01T00:00:00"/>
    <x v="2"/>
    <x v="22"/>
    <s v="NORTE"/>
    <n v="23293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3-01T00:00:00"/>
    <x v="2"/>
    <x v="11"/>
    <s v="MAGALLANES"/>
    <n v="23294"/>
    <x v="2"/>
    <m/>
    <n v="4"/>
    <n v="0"/>
    <n v="0"/>
    <n v="0"/>
    <n v="610.16"/>
    <n v="293.48"/>
    <n v="3711.9999999999995"/>
    <n v="3579.7599999999993"/>
    <m/>
    <n v="8195.3999999999978"/>
    <n v="1224.96"/>
    <n v="4"/>
    <n v="6970.4399999999978"/>
    <n v="0.14946921443736735"/>
    <s v="Cliente"/>
    <x v="1"/>
    <m/>
    <m/>
    <m/>
    <m/>
    <m/>
    <m/>
  </r>
  <r>
    <d v="2022-03-01T00:00:00"/>
    <x v="2"/>
    <x v="9"/>
    <s v="NORTE"/>
    <n v="23295"/>
    <x v="1"/>
    <m/>
    <n v="3"/>
    <n v="0"/>
    <n v="0"/>
    <n v="0"/>
    <n v="0"/>
    <n v="2603.04"/>
    <n v="9184.880000000001"/>
    <n v="2583.3199999999997"/>
    <m/>
    <n v="14371.240000000002"/>
    <m/>
    <n v="3"/>
    <n v="14371.240000000002"/>
    <n v="0"/>
    <s v="Cliente"/>
    <x v="1"/>
    <m/>
    <m/>
    <m/>
    <m/>
    <m/>
    <m/>
  </r>
  <r>
    <d v="2022-03-01T00:00:00"/>
    <x v="2"/>
    <x v="15"/>
    <s v="MAGALLANES"/>
    <n v="23296"/>
    <x v="1"/>
    <m/>
    <n v="1"/>
    <n v="0"/>
    <n v="0"/>
    <n v="0"/>
    <n v="0"/>
    <n v="0"/>
    <n v="613.64"/>
    <n v="0"/>
    <m/>
    <n v="613.64"/>
    <n v="110.2"/>
    <n v="1"/>
    <n v="503.44"/>
    <n v="0.17958412098298679"/>
    <s v="Cliente nuevo"/>
    <x v="1"/>
    <m/>
    <m/>
    <m/>
    <m/>
    <m/>
    <m/>
  </r>
  <r>
    <d v="2022-03-01T00:00:00"/>
    <x v="2"/>
    <x v="11"/>
    <s v="MAGALLANES"/>
    <n v="23297"/>
    <x v="2"/>
    <m/>
    <n v="5"/>
    <n v="0"/>
    <n v="0"/>
    <n v="4932.32"/>
    <n v="4989.16"/>
    <n v="3834.96"/>
    <n v="9332.2000000000007"/>
    <n v="3270.0399999999995"/>
    <m/>
    <n v="26358.68"/>
    <n v="619.44000000000005"/>
    <n v="5"/>
    <n v="25739.24"/>
    <n v="2.3500418078598779E-2"/>
    <s v="Cliente"/>
    <x v="1"/>
    <m/>
    <m/>
    <m/>
    <m/>
    <m/>
    <m/>
  </r>
  <r>
    <d v="2022-03-01T00:00:00"/>
    <x v="2"/>
    <x v="5"/>
    <s v="CENTRO"/>
    <n v="23298"/>
    <x v="0"/>
    <m/>
    <n v="5"/>
    <n v="0"/>
    <n v="0"/>
    <n v="3602.96"/>
    <n v="2679.6"/>
    <n v="3282.8"/>
    <n v="5305.84"/>
    <n v="3336.16"/>
    <m/>
    <n v="18207.36"/>
    <n v="613.64"/>
    <n v="5"/>
    <n v="17593.72"/>
    <n v="3.3702854230377166E-2"/>
    <s v="Cliente"/>
    <x v="1"/>
    <m/>
    <m/>
    <m/>
    <m/>
    <m/>
    <m/>
  </r>
  <r>
    <d v="2022-03-02T00:00:00"/>
    <x v="2"/>
    <x v="11"/>
    <s v="MAGALLANES"/>
    <n v="23299"/>
    <x v="0"/>
    <m/>
    <n v="2"/>
    <n v="0"/>
    <n v="0"/>
    <n v="0"/>
    <n v="0"/>
    <n v="0"/>
    <n v="970.92"/>
    <n v="2674.9599999999996"/>
    <m/>
    <n v="3645.8799999999997"/>
    <n v="0"/>
    <n v="2"/>
    <n v="3645.8799999999997"/>
    <n v="0"/>
    <s v="Cliente nuevo"/>
    <x v="1"/>
    <m/>
    <m/>
    <m/>
    <m/>
    <m/>
    <m/>
  </r>
  <r>
    <d v="2022-03-02T00:00:00"/>
    <x v="2"/>
    <x v="0"/>
    <s v="CENTRO"/>
    <n v="23300"/>
    <x v="2"/>
    <m/>
    <n v="0"/>
    <n v="0"/>
    <n v="0"/>
    <n v="0"/>
    <n v="0"/>
    <n v="0"/>
    <n v="0"/>
    <n v="0"/>
    <m/>
    <n v="0"/>
    <n v="3336.16"/>
    <n v="0"/>
    <n v="-3336.16"/>
    <n v="0"/>
    <s v="Alta sin facturar"/>
    <x v="0"/>
    <m/>
    <m/>
    <m/>
    <m/>
    <m/>
    <m/>
  </r>
  <r>
    <d v="2022-03-02T00:00:00"/>
    <x v="2"/>
    <x v="0"/>
    <s v="CENTRO"/>
    <n v="23301"/>
    <x v="1"/>
    <m/>
    <n v="0"/>
    <n v="0"/>
    <n v="0"/>
    <n v="0"/>
    <n v="0"/>
    <n v="0"/>
    <n v="0"/>
    <n v="0"/>
    <m/>
    <n v="0"/>
    <n v="335.24"/>
    <n v="0"/>
    <n v="-335.24"/>
    <n v="0"/>
    <s v="Alta sin facturar"/>
    <x v="0"/>
    <m/>
    <m/>
    <m/>
    <m/>
    <m/>
    <m/>
  </r>
  <r>
    <d v="2022-03-02T00:00:00"/>
    <x v="2"/>
    <x v="8"/>
    <s v="NORTE"/>
    <n v="23302"/>
    <x v="1"/>
    <m/>
    <n v="1"/>
    <n v="0"/>
    <n v="0"/>
    <n v="1090.4000000000001"/>
    <n v="0"/>
    <n v="0"/>
    <n v="0"/>
    <n v="0"/>
    <m/>
    <n v="1090.4000000000001"/>
    <m/>
    <n v="1"/>
    <n v="1090.4000000000001"/>
    <n v="0"/>
    <s v="Cliente nuevo"/>
    <x v="1"/>
    <m/>
    <m/>
    <m/>
    <m/>
    <m/>
    <m/>
  </r>
  <r>
    <d v="2022-03-02T00:00:00"/>
    <x v="2"/>
    <x v="9"/>
    <s v="NORTE"/>
    <n v="23303"/>
    <x v="0"/>
    <m/>
    <n v="4"/>
    <n v="0"/>
    <n v="0"/>
    <n v="1562.52"/>
    <n v="6338.24"/>
    <n v="1367.64"/>
    <n v="7440.24"/>
    <n v="0"/>
    <m/>
    <n v="16708.64"/>
    <m/>
    <n v="4"/>
    <n v="16708.64"/>
    <n v="0"/>
    <s v="Cliente"/>
    <x v="1"/>
    <m/>
    <m/>
    <m/>
    <m/>
    <m/>
    <m/>
  </r>
  <r>
    <d v="2022-03-03T00:00:00"/>
    <x v="2"/>
    <x v="23"/>
    <s v="MAGALLANES"/>
    <n v="23304"/>
    <x v="0"/>
    <m/>
    <n v="3"/>
    <n v="0"/>
    <n v="0"/>
    <n v="5119.08"/>
    <n v="200.68"/>
    <n v="174"/>
    <n v="0"/>
    <n v="0"/>
    <m/>
    <n v="5493.76"/>
    <n v="1090.4000000000001"/>
    <n v="3"/>
    <n v="4403.3600000000006"/>
    <n v="0.19847972972972974"/>
    <s v="Cliente"/>
    <x v="1"/>
    <m/>
    <m/>
    <m/>
    <m/>
    <m/>
    <m/>
  </r>
  <r>
    <d v="2022-03-03T00:00:00"/>
    <x v="2"/>
    <x v="14"/>
    <s v="CENTRO"/>
    <n v="23305"/>
    <x v="0"/>
    <m/>
    <n v="0"/>
    <n v="0"/>
    <n v="0"/>
    <n v="0"/>
    <n v="0"/>
    <n v="0"/>
    <n v="0"/>
    <n v="0"/>
    <m/>
    <n v="0"/>
    <n v="7440.24"/>
    <n v="0"/>
    <n v="-7440.24"/>
    <n v="0"/>
    <s v="Alta sin facturar"/>
    <x v="0"/>
    <m/>
    <m/>
    <m/>
    <m/>
    <m/>
    <m/>
  </r>
  <r>
    <d v="2022-03-04T00:00:00"/>
    <x v="2"/>
    <x v="12"/>
    <s v="CENTRO"/>
    <n v="23306"/>
    <x v="1"/>
    <m/>
    <n v="0"/>
    <n v="0"/>
    <n v="0"/>
    <n v="0"/>
    <n v="0"/>
    <n v="0"/>
    <n v="0"/>
    <n v="0"/>
    <m/>
    <n v="0"/>
    <n v="4036.7999999999997"/>
    <n v="0"/>
    <n v="-4036.7999999999997"/>
    <n v="0"/>
    <s v="Alta sin facturar"/>
    <x v="0"/>
    <m/>
    <m/>
    <m/>
    <m/>
    <m/>
    <m/>
  </r>
  <r>
    <d v="2022-03-04T00:00:00"/>
    <x v="2"/>
    <x v="4"/>
    <s v="CENTRO"/>
    <n v="23307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3-07T00:00:00"/>
    <x v="2"/>
    <x v="6"/>
    <s v="SUR"/>
    <n v="23308"/>
    <x v="1"/>
    <m/>
    <n v="5"/>
    <n v="0"/>
    <n v="0"/>
    <n v="1676.1999999999998"/>
    <n v="3473.04"/>
    <n v="6287.2"/>
    <n v="989.48"/>
    <n v="2710.92"/>
    <m/>
    <n v="15136.839999999998"/>
    <m/>
    <n v="5"/>
    <n v="15136.839999999998"/>
    <n v="0"/>
    <s v="Cliente"/>
    <x v="1"/>
    <m/>
    <m/>
    <m/>
    <m/>
    <m/>
    <m/>
  </r>
  <r>
    <d v="2022-03-07T00:00:00"/>
    <x v="2"/>
    <x v="11"/>
    <s v="MAGALLANES"/>
    <n v="23309"/>
    <x v="2"/>
    <m/>
    <n v="3"/>
    <n v="0"/>
    <n v="0"/>
    <n v="0"/>
    <n v="0"/>
    <n v="501.12"/>
    <n v="377"/>
    <n v="377"/>
    <m/>
    <n v="1255.1199999999999"/>
    <m/>
    <n v="3"/>
    <n v="1255.1199999999999"/>
    <n v="0"/>
    <s v="Cliente"/>
    <x v="1"/>
    <m/>
    <m/>
    <m/>
    <m/>
    <m/>
    <m/>
  </r>
  <r>
    <d v="2022-03-07T00:00:00"/>
    <x v="2"/>
    <x v="6"/>
    <s v="SUR"/>
    <n v="23310"/>
    <x v="1"/>
    <m/>
    <n v="5"/>
    <n v="0"/>
    <n v="0"/>
    <n v="22187.32"/>
    <n v="8079.4000000000005"/>
    <n v="15293.439999999999"/>
    <n v="38485.320000000007"/>
    <n v="10830.92"/>
    <m/>
    <n v="94876.400000000009"/>
    <n v="0"/>
    <n v="5"/>
    <n v="94876.400000000009"/>
    <n v="0"/>
    <s v="Cliente"/>
    <x v="1"/>
    <m/>
    <m/>
    <m/>
    <m/>
    <m/>
    <m/>
  </r>
  <r>
    <d v="2022-03-08T00:00:00"/>
    <x v="2"/>
    <x v="5"/>
    <s v="CENTRO"/>
    <n v="23311"/>
    <x v="0"/>
    <m/>
    <n v="1"/>
    <n v="0"/>
    <n v="0"/>
    <n v="476.76"/>
    <n v="0"/>
    <n v="0"/>
    <n v="0"/>
    <n v="0"/>
    <m/>
    <n v="476.76"/>
    <n v="243"/>
    <n v="1"/>
    <n v="233.76"/>
    <n v="0.50969041026931794"/>
    <s v="Cliente nuevo"/>
    <x v="1"/>
    <m/>
    <m/>
    <m/>
    <m/>
    <m/>
    <m/>
  </r>
  <r>
    <d v="2022-03-08T00:00:00"/>
    <x v="2"/>
    <x v="8"/>
    <s v="NORTE"/>
    <n v="23312"/>
    <x v="0"/>
    <m/>
    <n v="3"/>
    <n v="0"/>
    <n v="0"/>
    <n v="6552.8399999999992"/>
    <n v="2313.04"/>
    <n v="1042.8400000000001"/>
    <n v="0"/>
    <n v="0"/>
    <m/>
    <n v="9908.7199999999993"/>
    <n v="0"/>
    <n v="3"/>
    <n v="9908.7199999999993"/>
    <n v="0"/>
    <s v="Cliente"/>
    <x v="1"/>
    <m/>
    <m/>
    <m/>
    <m/>
    <m/>
    <m/>
  </r>
  <r>
    <d v="2022-03-08T00:00:00"/>
    <x v="2"/>
    <x v="20"/>
    <s v="SUR"/>
    <n v="23313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3-10T00:00:00"/>
    <x v="2"/>
    <x v="7"/>
    <s v="NORTE"/>
    <n v="23314"/>
    <x v="2"/>
    <m/>
    <n v="0"/>
    <n v="0"/>
    <n v="0"/>
    <n v="0"/>
    <n v="0"/>
    <n v="0"/>
    <n v="0"/>
    <n v="0"/>
    <m/>
    <n v="0"/>
    <n v="1042.8400000000001"/>
    <n v="0"/>
    <n v="-1042.8400000000001"/>
    <n v="0"/>
    <s v="Alta sin facturar"/>
    <x v="0"/>
    <m/>
    <m/>
    <m/>
    <m/>
    <m/>
    <m/>
  </r>
  <r>
    <d v="2022-03-10T00:00:00"/>
    <x v="2"/>
    <x v="2"/>
    <s v="SUR"/>
    <n v="23315"/>
    <x v="1"/>
    <m/>
    <n v="1"/>
    <n v="0"/>
    <n v="0"/>
    <n v="251.72"/>
    <n v="0"/>
    <n v="0"/>
    <n v="0"/>
    <n v="0"/>
    <m/>
    <n v="251.72"/>
    <m/>
    <n v="1"/>
    <n v="251.72"/>
    <n v="0"/>
    <s v="Cliente nuevo"/>
    <x v="1"/>
    <m/>
    <m/>
    <m/>
    <m/>
    <m/>
    <m/>
  </r>
  <r>
    <d v="2022-03-10T00:00:00"/>
    <x v="2"/>
    <x v="25"/>
    <s v="NORTE"/>
    <n v="23316"/>
    <x v="0"/>
    <m/>
    <n v="2"/>
    <n v="0"/>
    <n v="0"/>
    <n v="791.12"/>
    <n v="169.36"/>
    <n v="0"/>
    <n v="0"/>
    <n v="0"/>
    <m/>
    <n v="960.48"/>
    <m/>
    <n v="2"/>
    <n v="960.48"/>
    <n v="0"/>
    <s v="Cliente nuevo"/>
    <x v="1"/>
    <m/>
    <m/>
    <m/>
    <m/>
    <m/>
    <m/>
  </r>
  <r>
    <d v="2022-03-10T00:00:00"/>
    <x v="2"/>
    <x v="9"/>
    <s v="NORTE"/>
    <n v="23317"/>
    <x v="1"/>
    <m/>
    <n v="5"/>
    <n v="0"/>
    <n v="0"/>
    <n v="665.84"/>
    <n v="3411.5600000000004"/>
    <n v="3933.5599999999995"/>
    <n v="2061.3199999999997"/>
    <n v="3273.52"/>
    <m/>
    <n v="13345.8"/>
    <n v="0"/>
    <n v="5"/>
    <n v="13345.8"/>
    <n v="0"/>
    <s v="Cliente"/>
    <x v="1"/>
    <m/>
    <m/>
    <m/>
    <m/>
    <m/>
    <m/>
  </r>
  <r>
    <d v="2022-03-10T00:00:00"/>
    <x v="2"/>
    <x v="9"/>
    <s v="NORTE"/>
    <n v="23318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3-10T00:00:00"/>
    <x v="2"/>
    <x v="9"/>
    <s v="NORTE"/>
    <n v="23319"/>
    <x v="0"/>
    <m/>
    <n v="4"/>
    <n v="0"/>
    <n v="0"/>
    <n v="0"/>
    <n v="287.68"/>
    <n v="588.12"/>
    <n v="346.84"/>
    <n v="385.12"/>
    <m/>
    <n v="1607.7599999999998"/>
    <n v="416.44"/>
    <n v="4"/>
    <n v="1191.3199999999997"/>
    <n v="0.25901875901875904"/>
    <s v="Cliente"/>
    <x v="1"/>
    <m/>
    <m/>
    <m/>
    <m/>
    <m/>
    <m/>
  </r>
  <r>
    <d v="2022-03-10T00:00:00"/>
    <x v="2"/>
    <x v="18"/>
    <s v="NORTE"/>
    <n v="23320"/>
    <x v="1"/>
    <m/>
    <n v="1"/>
    <n v="0"/>
    <n v="0"/>
    <n v="2436"/>
    <n v="0"/>
    <n v="0"/>
    <n v="0"/>
    <n v="0"/>
    <m/>
    <n v="2436"/>
    <m/>
    <n v="1"/>
    <n v="2436"/>
    <n v="0"/>
    <s v="Cliente nuevo"/>
    <x v="1"/>
    <m/>
    <m/>
    <m/>
    <m/>
    <m/>
    <m/>
  </r>
  <r>
    <d v="2022-03-10T00:00:00"/>
    <x v="2"/>
    <x v="1"/>
    <s v="CENTRO"/>
    <n v="23321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3-11T00:00:00"/>
    <x v="2"/>
    <x v="1"/>
    <s v="CENTRO"/>
    <n v="23322"/>
    <x v="1"/>
    <m/>
    <n v="5"/>
    <n v="0"/>
    <n v="0"/>
    <n v="1794.52"/>
    <n v="2176.16"/>
    <n v="1229.5999999999999"/>
    <n v="5766.3599999999988"/>
    <n v="3649.3599999999997"/>
    <m/>
    <n v="14616"/>
    <n v="2436"/>
    <n v="5"/>
    <n v="12180"/>
    <n v="0.16666666666666666"/>
    <s v="Cliente"/>
    <x v="1"/>
    <m/>
    <m/>
    <m/>
    <m/>
    <m/>
    <m/>
  </r>
  <r>
    <d v="2022-03-11T00:00:00"/>
    <x v="2"/>
    <x v="1"/>
    <s v="CENTRO"/>
    <n v="23323"/>
    <x v="0"/>
    <m/>
    <n v="1"/>
    <n v="0"/>
    <n v="0"/>
    <n v="0"/>
    <n v="0"/>
    <n v="0"/>
    <n v="0"/>
    <n v="928"/>
    <m/>
    <n v="928"/>
    <m/>
    <n v="1"/>
    <n v="928"/>
    <n v="0"/>
    <s v="Cliente nuevo"/>
    <x v="1"/>
    <m/>
    <m/>
    <m/>
    <m/>
    <m/>
    <m/>
  </r>
  <r>
    <d v="2022-03-11T00:00:00"/>
    <x v="2"/>
    <x v="22"/>
    <s v="NORTE"/>
    <n v="23324"/>
    <x v="0"/>
    <m/>
    <n v="5"/>
    <n v="0"/>
    <n v="0"/>
    <n v="4872"/>
    <n v="2436"/>
    <n v="812"/>
    <n v="1624"/>
    <n v="4234"/>
    <m/>
    <n v="13978"/>
    <n v="0"/>
    <n v="5"/>
    <n v="13978"/>
    <n v="0"/>
    <s v="Cliente"/>
    <x v="1"/>
    <m/>
    <m/>
    <m/>
    <m/>
    <m/>
    <m/>
  </r>
  <r>
    <d v="2022-03-11T00:00:00"/>
    <x v="2"/>
    <x v="23"/>
    <s v="MAGALLANES"/>
    <n v="23325"/>
    <x v="1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3-11T00:00:00"/>
    <x v="2"/>
    <x v="23"/>
    <s v="MAGALLANES"/>
    <n v="23326"/>
    <x v="1"/>
    <m/>
    <n v="0"/>
    <n v="0"/>
    <n v="0"/>
    <n v="0"/>
    <n v="0"/>
    <n v="0"/>
    <n v="0"/>
    <n v="0"/>
    <m/>
    <n v="0"/>
    <n v="1160"/>
    <n v="0"/>
    <n v="-1160"/>
    <n v="0"/>
    <s v="Alta sin facturar"/>
    <x v="0"/>
    <m/>
    <m/>
    <m/>
    <m/>
    <m/>
    <m/>
  </r>
  <r>
    <d v="2022-03-11T00:00:00"/>
    <x v="2"/>
    <x v="6"/>
    <s v="SUR"/>
    <n v="23327"/>
    <x v="1"/>
    <m/>
    <n v="4"/>
    <n v="0"/>
    <n v="0"/>
    <n v="380.48"/>
    <n v="380.48"/>
    <n v="380.48"/>
    <n v="0"/>
    <n v="760.96"/>
    <m/>
    <n v="1902.4"/>
    <m/>
    <n v="4"/>
    <n v="1902.4"/>
    <n v="0"/>
    <s v="Cliente"/>
    <x v="1"/>
    <m/>
    <m/>
    <m/>
    <m/>
    <m/>
    <m/>
  </r>
  <r>
    <d v="2022-03-11T00:00:00"/>
    <x v="2"/>
    <x v="26"/>
    <s v="SUR"/>
    <n v="23328"/>
    <x v="2"/>
    <m/>
    <n v="5"/>
    <n v="0"/>
    <n v="0"/>
    <n v="3307.16"/>
    <n v="10808.88"/>
    <n v="5163.16"/>
    <n v="3763.04"/>
    <n v="4130.76"/>
    <m/>
    <n v="27173"/>
    <m/>
    <n v="5"/>
    <n v="27173"/>
    <n v="0"/>
    <s v="Cliente"/>
    <x v="1"/>
    <m/>
    <m/>
    <m/>
    <m/>
    <m/>
    <m/>
  </r>
  <r>
    <d v="2022-03-11T00:00:00"/>
    <x v="2"/>
    <x v="16"/>
    <s v="NORTE"/>
    <n v="23329"/>
    <x v="2"/>
    <m/>
    <n v="5"/>
    <n v="0"/>
    <n v="0"/>
    <n v="9218.5199999999986"/>
    <n v="13668.279999999999"/>
    <n v="7151.4"/>
    <n v="12610.36"/>
    <n v="7673.4"/>
    <m/>
    <n v="50321.96"/>
    <n v="380.48"/>
    <n v="5"/>
    <n v="49941.479999999996"/>
    <n v="7.5609137640902701E-3"/>
    <s v="Cliente"/>
    <x v="1"/>
    <m/>
    <m/>
    <m/>
    <m/>
    <m/>
    <m/>
  </r>
  <r>
    <d v="2022-03-12T00:00:00"/>
    <x v="2"/>
    <x v="15"/>
    <s v="MAGALLANES"/>
    <n v="23330"/>
    <x v="1"/>
    <m/>
    <n v="1"/>
    <n v="0"/>
    <n v="0"/>
    <n v="91.64"/>
    <n v="0"/>
    <n v="0"/>
    <n v="0"/>
    <n v="0"/>
    <m/>
    <n v="91.64"/>
    <n v="668.16"/>
    <n v="1"/>
    <n v="-576.52"/>
    <n v="7.2911392405063289"/>
    <s v="Cliente nuevo"/>
    <x v="0"/>
    <m/>
    <m/>
    <m/>
    <m/>
    <m/>
    <m/>
  </r>
  <r>
    <d v="2022-03-12T00:00:00"/>
    <x v="2"/>
    <x v="15"/>
    <s v="MAGALLANES"/>
    <n v="23331"/>
    <x v="1"/>
    <m/>
    <n v="2"/>
    <n v="0"/>
    <n v="0"/>
    <n v="0"/>
    <n v="1824.68"/>
    <n v="0"/>
    <n v="136.88"/>
    <n v="0"/>
    <m/>
    <n v="1961.56"/>
    <n v="4392.92"/>
    <n v="2"/>
    <n v="-2431.36"/>
    <n v="2.2395032525133058"/>
    <s v="Cliente nuevo"/>
    <x v="0"/>
    <m/>
    <m/>
    <m/>
    <m/>
    <m/>
    <m/>
  </r>
  <r>
    <d v="2022-03-12T00:00:00"/>
    <x v="2"/>
    <x v="27"/>
    <s v="NORTE"/>
    <n v="23332"/>
    <x v="1"/>
    <m/>
    <n v="5"/>
    <n v="0"/>
    <n v="0"/>
    <n v="4629.5599999999995"/>
    <n v="5932.24"/>
    <n v="7415.88"/>
    <n v="9514.32"/>
    <n v="9385.56"/>
    <m/>
    <n v="36877.56"/>
    <n v="0"/>
    <n v="5"/>
    <n v="36877.56"/>
    <n v="0"/>
    <s v="Cliente"/>
    <x v="1"/>
    <m/>
    <m/>
    <m/>
    <m/>
    <m/>
    <m/>
  </r>
  <r>
    <d v="2022-03-14T00:00:00"/>
    <x v="2"/>
    <x v="26"/>
    <s v="SUR"/>
    <n v="23333"/>
    <x v="1"/>
    <m/>
    <n v="5"/>
    <n v="0"/>
    <n v="0"/>
    <n v="1295.72"/>
    <n v="634.52"/>
    <n v="6809.2000000000007"/>
    <n v="2589.12"/>
    <n v="6003"/>
    <m/>
    <n v="17331.560000000001"/>
    <n v="136.88"/>
    <n v="5"/>
    <n v="17194.68"/>
    <n v="7.8977310755638831E-3"/>
    <s v="Cliente"/>
    <x v="1"/>
    <m/>
    <m/>
    <m/>
    <m/>
    <m/>
    <m/>
  </r>
  <r>
    <d v="2022-03-14T00:00:00"/>
    <x v="2"/>
    <x v="15"/>
    <s v="MAGALLANES"/>
    <n v="23334"/>
    <x v="0"/>
    <m/>
    <n v="3"/>
    <n v="0"/>
    <n v="0"/>
    <n v="0"/>
    <n v="0"/>
    <n v="2751.52"/>
    <n v="6601.5599999999995"/>
    <n v="4570.3999999999996"/>
    <m/>
    <n v="13923.48"/>
    <n v="2672.64"/>
    <n v="3"/>
    <n v="11250.84"/>
    <n v="0.19195201199700074"/>
    <s v="Cliente"/>
    <x v="1"/>
    <m/>
    <m/>
    <m/>
    <m/>
    <m/>
    <m/>
  </r>
  <r>
    <d v="2022-03-14T00:00:00"/>
    <x v="2"/>
    <x v="13"/>
    <s v="NORTE"/>
    <n v="23335"/>
    <x v="1"/>
    <m/>
    <n v="4"/>
    <n v="0"/>
    <n v="0"/>
    <n v="992.95999999999992"/>
    <n v="1031.24"/>
    <n v="0"/>
    <n v="134.56"/>
    <n v="2940.6"/>
    <m/>
    <n v="5099.3599999999997"/>
    <n v="3108.8"/>
    <n v="4"/>
    <n v="1990.5599999999995"/>
    <n v="0.60964513193812564"/>
    <s v="Cliente"/>
    <x v="1"/>
    <m/>
    <m/>
    <m/>
    <m/>
    <m/>
    <m/>
  </r>
  <r>
    <d v="2022-03-16T00:00:00"/>
    <x v="2"/>
    <x v="6"/>
    <s v="SUR"/>
    <n v="23336"/>
    <x v="2"/>
    <m/>
    <n v="0"/>
    <n v="0"/>
    <n v="0"/>
    <n v="0"/>
    <n v="0"/>
    <n v="0"/>
    <n v="0"/>
    <n v="0"/>
    <m/>
    <n v="0"/>
    <n v="13668.279999999999"/>
    <n v="0"/>
    <n v="-13668.279999999999"/>
    <n v="0"/>
    <s v="Alta sin facturar"/>
    <x v="0"/>
    <m/>
    <m/>
    <m/>
    <m/>
    <m/>
    <m/>
  </r>
  <r>
    <d v="2022-03-16T00:00:00"/>
    <x v="2"/>
    <x v="23"/>
    <s v="MAGALLANES"/>
    <n v="23337"/>
    <x v="0"/>
    <m/>
    <n v="3"/>
    <n v="0"/>
    <n v="0"/>
    <n v="0"/>
    <n v="116"/>
    <n v="2842"/>
    <n v="0"/>
    <n v="812"/>
    <m/>
    <n v="3770"/>
    <n v="1387.36"/>
    <n v="3"/>
    <n v="2382.6400000000003"/>
    <n v="0.36799999999999999"/>
    <s v="Cliente"/>
    <x v="1"/>
    <m/>
    <m/>
    <m/>
    <m/>
    <m/>
    <m/>
  </r>
  <r>
    <d v="2022-03-16T00:00:00"/>
    <x v="2"/>
    <x v="27"/>
    <s v="NORTE"/>
    <n v="23338"/>
    <x v="1"/>
    <m/>
    <n v="1"/>
    <n v="0"/>
    <n v="0"/>
    <n v="0"/>
    <n v="0"/>
    <n v="0"/>
    <n v="0"/>
    <n v="1972"/>
    <m/>
    <n v="1972"/>
    <m/>
    <n v="1"/>
    <n v="1972"/>
    <n v="0"/>
    <s v="Cliente nuevo"/>
    <x v="1"/>
    <m/>
    <m/>
    <m/>
    <m/>
    <m/>
    <m/>
  </r>
  <r>
    <d v="2022-03-16T00:00:00"/>
    <x v="2"/>
    <x v="8"/>
    <s v="NORTE"/>
    <n v="23339"/>
    <x v="2"/>
    <m/>
    <n v="0"/>
    <n v="0"/>
    <n v="0"/>
    <n v="0"/>
    <n v="0"/>
    <n v="0"/>
    <n v="0"/>
    <n v="0"/>
    <m/>
    <n v="0"/>
    <n v="812"/>
    <n v="0"/>
    <n v="-812"/>
    <n v="0"/>
    <s v="Alta sin facturar"/>
    <x v="0"/>
    <m/>
    <m/>
    <m/>
    <m/>
    <m/>
    <m/>
  </r>
  <r>
    <d v="2022-03-17T00:00:00"/>
    <x v="2"/>
    <x v="12"/>
    <s v="CENTRO"/>
    <n v="23340"/>
    <x v="1"/>
    <m/>
    <n v="5"/>
    <n v="0"/>
    <n v="0"/>
    <n v="1311.96"/>
    <n v="6705.9599999999991"/>
    <n v="2549.6800000000003"/>
    <n v="4614.4799999999996"/>
    <n v="7225.64"/>
    <m/>
    <n v="22407.719999999998"/>
    <n v="0"/>
    <n v="5"/>
    <n v="22407.719999999998"/>
    <n v="0"/>
    <s v="Cliente"/>
    <x v="1"/>
    <m/>
    <m/>
    <m/>
    <m/>
    <m/>
    <m/>
  </r>
  <r>
    <d v="2022-03-17T00:00:00"/>
    <x v="2"/>
    <x v="12"/>
    <s v="CENTRO"/>
    <n v="23341"/>
    <x v="1"/>
    <m/>
    <n v="2"/>
    <n v="0"/>
    <n v="0"/>
    <n v="0"/>
    <n v="0"/>
    <n v="5860.32"/>
    <n v="1849.04"/>
    <n v="0"/>
    <m/>
    <n v="7709.36"/>
    <m/>
    <n v="2"/>
    <n v="7709.36"/>
    <n v="0"/>
    <s v="Cliente nuevo"/>
    <x v="1"/>
    <m/>
    <m/>
    <m/>
    <m/>
    <m/>
    <m/>
  </r>
  <r>
    <d v="2022-03-17T00:00:00"/>
    <x v="2"/>
    <x v="6"/>
    <s v="SUR"/>
    <n v="23342"/>
    <x v="0"/>
    <m/>
    <n v="4"/>
    <n v="0"/>
    <n v="0"/>
    <n v="0"/>
    <n v="1531.2"/>
    <n v="535.91999999999996"/>
    <n v="2119.3199999999997"/>
    <n v="1244.68"/>
    <m/>
    <n v="5431.12"/>
    <n v="0"/>
    <n v="4"/>
    <n v="5431.12"/>
    <n v="0"/>
    <s v="Cliente"/>
    <x v="1"/>
    <m/>
    <m/>
    <m/>
    <m/>
    <m/>
    <m/>
  </r>
  <r>
    <d v="2022-03-18T00:00:00"/>
    <x v="2"/>
    <x v="8"/>
    <s v="NORTE"/>
    <n v="23343"/>
    <x v="1"/>
    <m/>
    <n v="5"/>
    <n v="0"/>
    <n v="0"/>
    <n v="1263.24"/>
    <n v="16323.52"/>
    <n v="18402.239999999998"/>
    <n v="19192.2"/>
    <n v="15364.2"/>
    <m/>
    <n v="70545.399999999994"/>
    <n v="1849.04"/>
    <n v="5"/>
    <n v="68696.36"/>
    <n v="2.6210638822658887E-2"/>
    <s v="Cliente"/>
    <x v="1"/>
    <m/>
    <m/>
    <m/>
    <m/>
    <m/>
    <m/>
  </r>
  <r>
    <d v="2022-03-18T00:00:00"/>
    <x v="2"/>
    <x v="8"/>
    <s v="NORTE"/>
    <n v="23344"/>
    <x v="1"/>
    <m/>
    <n v="0"/>
    <n v="0"/>
    <n v="0"/>
    <n v="0"/>
    <n v="0"/>
    <n v="0"/>
    <n v="0"/>
    <n v="0"/>
    <m/>
    <n v="0"/>
    <n v="766.76"/>
    <n v="0"/>
    <n v="-766.76"/>
    <n v="0"/>
    <s v="Alta sin facturar"/>
    <x v="0"/>
    <m/>
    <m/>
    <m/>
    <m/>
    <m/>
    <m/>
  </r>
  <r>
    <d v="2022-03-18T00:00:00"/>
    <x v="2"/>
    <x v="9"/>
    <s v="NORTE"/>
    <n v="23345"/>
    <x v="2"/>
    <m/>
    <n v="4"/>
    <n v="0"/>
    <n v="0"/>
    <n v="0"/>
    <n v="1248.1599999999999"/>
    <n v="551"/>
    <n v="546.36"/>
    <n v="305.08000000000004"/>
    <m/>
    <n v="2650.6"/>
    <n v="12971.119999999999"/>
    <n v="4"/>
    <n v="-10320.519999999999"/>
    <n v="4.893654266958424"/>
    <s v="Cliente"/>
    <x v="0"/>
    <m/>
    <m/>
    <m/>
    <m/>
    <m/>
    <m/>
  </r>
  <r>
    <d v="2022-03-18T00:00:00"/>
    <x v="2"/>
    <x v="5"/>
    <s v="CENTRO"/>
    <n v="23346"/>
    <x v="1"/>
    <m/>
    <n v="5"/>
    <n v="0"/>
    <n v="0"/>
    <n v="3271.2"/>
    <n v="6214.12"/>
    <n v="5918.32"/>
    <n v="11386.560000000001"/>
    <n v="4972.92"/>
    <m/>
    <n v="31763.120000000003"/>
    <m/>
    <n v="5"/>
    <n v="31763.120000000003"/>
    <n v="0"/>
    <s v="Cliente"/>
    <x v="1"/>
    <m/>
    <m/>
    <m/>
    <m/>
    <m/>
    <m/>
  </r>
  <r>
    <d v="2022-03-18T00:00:00"/>
    <x v="2"/>
    <x v="8"/>
    <s v="NORTE"/>
    <n v="23347"/>
    <x v="1"/>
    <m/>
    <n v="1"/>
    <n v="0"/>
    <n v="0"/>
    <n v="1364.1599999999999"/>
    <n v="0"/>
    <n v="0"/>
    <n v="0"/>
    <n v="0"/>
    <m/>
    <n v="1364.1599999999999"/>
    <n v="851.44"/>
    <n v="1"/>
    <n v="512.7199999999998"/>
    <n v="0.62414965986394566"/>
    <s v="Cliente nuevo"/>
    <x v="1"/>
    <m/>
    <m/>
    <m/>
    <m/>
    <m/>
    <m/>
  </r>
  <r>
    <d v="2022-03-19T00:00:00"/>
    <x v="2"/>
    <x v="26"/>
    <s v="SUR"/>
    <n v="23348"/>
    <x v="1"/>
    <m/>
    <n v="5"/>
    <n v="0"/>
    <n v="0"/>
    <n v="476.76"/>
    <n v="934.95999999999992"/>
    <n v="3328.04"/>
    <n v="2676.1200000000003"/>
    <n v="2026.52"/>
    <m/>
    <n v="9442.4000000000015"/>
    <n v="230.84"/>
    <n v="5"/>
    <n v="9211.5600000000013"/>
    <n v="2.4447174447174445E-2"/>
    <s v="Cliente"/>
    <x v="1"/>
    <m/>
    <m/>
    <m/>
    <m/>
    <m/>
    <m/>
  </r>
  <r>
    <d v="2022-03-22T00:00:00"/>
    <x v="2"/>
    <x v="23"/>
    <s v="MAGALLANES"/>
    <n v="23350"/>
    <x v="1"/>
    <m/>
    <n v="5"/>
    <n v="0"/>
    <n v="0"/>
    <n v="713.4"/>
    <n v="1786.4"/>
    <n v="1990.56"/>
    <n v="3055.44"/>
    <n v="2183.12"/>
    <m/>
    <n v="9728.9200000000019"/>
    <n v="91.64"/>
    <n v="5"/>
    <n v="9637.2800000000025"/>
    <n v="9.4193394539167745E-3"/>
    <s v="Cliente"/>
    <x v="1"/>
    <m/>
    <m/>
    <m/>
    <m/>
    <m/>
    <m/>
  </r>
  <r>
    <d v="2022-03-22T00:00:00"/>
    <x v="2"/>
    <x v="13"/>
    <s v="NORTE"/>
    <n v="23351"/>
    <x v="1"/>
    <m/>
    <n v="5"/>
    <n v="0"/>
    <n v="0"/>
    <n v="3492.76"/>
    <n v="17720.16"/>
    <n v="34242.04"/>
    <n v="30349.08"/>
    <n v="20214.16"/>
    <m/>
    <n v="106018.20000000001"/>
    <n v="2026.52"/>
    <n v="5"/>
    <n v="103991.68000000001"/>
    <n v="1.9114831227091195E-2"/>
    <s v="Cliente"/>
    <x v="1"/>
    <m/>
    <m/>
    <m/>
    <m/>
    <m/>
    <m/>
  </r>
  <r>
    <d v="2022-03-22T00:00:00"/>
    <x v="2"/>
    <x v="22"/>
    <s v="NORTE"/>
    <n v="23352"/>
    <x v="0"/>
    <m/>
    <n v="3"/>
    <n v="0"/>
    <n v="0"/>
    <n v="0"/>
    <n v="0"/>
    <n v="1140.28"/>
    <n v="3622.6800000000003"/>
    <n v="8799.76"/>
    <m/>
    <n v="13562.720000000001"/>
    <n v="738.92"/>
    <n v="3"/>
    <n v="12823.800000000001"/>
    <n v="5.4481696886760168E-2"/>
    <s v="Cliente"/>
    <x v="1"/>
    <m/>
    <m/>
    <m/>
    <m/>
    <m/>
    <m/>
  </r>
  <r>
    <d v="2022-03-22T00:00:00"/>
    <x v="2"/>
    <x v="22"/>
    <s v="NORTE"/>
    <n v="23353"/>
    <x v="1"/>
    <m/>
    <n v="3"/>
    <n v="0"/>
    <n v="0"/>
    <n v="0"/>
    <n v="0"/>
    <n v="2436"/>
    <n v="1392"/>
    <n v="812"/>
    <m/>
    <n v="4640"/>
    <n v="5229.28"/>
    <n v="3"/>
    <n v="-589.27999999999975"/>
    <n v="1.127"/>
    <s v="Cliente"/>
    <x v="0"/>
    <m/>
    <m/>
    <m/>
    <m/>
    <m/>
    <m/>
  </r>
  <r>
    <d v="2022-03-22T00:00:00"/>
    <x v="2"/>
    <x v="25"/>
    <s v="NORTE"/>
    <n v="23354"/>
    <x v="1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3-22T00:00:00"/>
    <x v="2"/>
    <x v="12"/>
    <s v="CENTRO"/>
    <n v="23355"/>
    <x v="1"/>
    <m/>
    <n v="4"/>
    <n v="0"/>
    <n v="0"/>
    <n v="0"/>
    <n v="939.6"/>
    <n v="1779.44"/>
    <n v="858.4"/>
    <n v="1198.28"/>
    <m/>
    <n v="4775.72"/>
    <n v="0"/>
    <n v="4"/>
    <n v="4775.72"/>
    <n v="0"/>
    <s v="Cliente"/>
    <x v="1"/>
    <m/>
    <m/>
    <m/>
    <m/>
    <m/>
    <m/>
  </r>
  <r>
    <d v="2022-03-22T00:00:00"/>
    <x v="2"/>
    <x v="17"/>
    <s v="CENTRO"/>
    <n v="23356"/>
    <x v="1"/>
    <m/>
    <n v="3"/>
    <n v="0"/>
    <n v="0"/>
    <n v="0"/>
    <n v="0"/>
    <n v="3026.44"/>
    <n v="17673.759999999998"/>
    <n v="6468.16"/>
    <m/>
    <n v="27168.359999999997"/>
    <m/>
    <n v="3"/>
    <n v="27168.359999999997"/>
    <n v="0"/>
    <s v="Cliente"/>
    <x v="1"/>
    <m/>
    <m/>
    <m/>
    <m/>
    <m/>
    <m/>
  </r>
  <r>
    <d v="2022-03-23T00:00:00"/>
    <x v="2"/>
    <x v="23"/>
    <s v="MAGALLANES"/>
    <n v="23357"/>
    <x v="2"/>
    <m/>
    <n v="4"/>
    <n v="0"/>
    <n v="0"/>
    <n v="0"/>
    <n v="9607.1200000000008"/>
    <n v="3815.24"/>
    <n v="4999.6000000000004"/>
    <n v="12362.12"/>
    <m/>
    <n v="30784.080000000002"/>
    <n v="959.31999999999994"/>
    <n v="4"/>
    <n v="29824.760000000002"/>
    <n v="3.1162860803376286E-2"/>
    <s v="Cliente"/>
    <x v="1"/>
    <m/>
    <m/>
    <m/>
    <m/>
    <m/>
    <m/>
  </r>
  <r>
    <d v="2022-03-23T00:00:00"/>
    <x v="2"/>
    <x v="26"/>
    <s v="SUR"/>
    <n v="23358"/>
    <x v="1"/>
    <m/>
    <n v="5"/>
    <n v="0"/>
    <n v="0"/>
    <n v="618.28"/>
    <n v="5361.5199999999995"/>
    <n v="2819.96"/>
    <n v="1593.8400000000001"/>
    <n v="2202.84"/>
    <m/>
    <n v="12596.439999999999"/>
    <n v="943.07999999999993"/>
    <n v="5"/>
    <n v="11653.359999999999"/>
    <n v="7.4868772446818305E-2"/>
    <s v="Cliente"/>
    <x v="1"/>
    <m/>
    <m/>
    <m/>
    <m/>
    <m/>
    <m/>
  </r>
  <r>
    <d v="2022-03-23T00:00:00"/>
    <x v="2"/>
    <x v="4"/>
    <s v="CENTRO"/>
    <n v="23359"/>
    <x v="1"/>
    <m/>
    <n v="1"/>
    <n v="0"/>
    <n v="0"/>
    <n v="0"/>
    <n v="4176"/>
    <n v="0"/>
    <n v="0"/>
    <n v="0"/>
    <m/>
    <n v="4176"/>
    <n v="21176.959999999999"/>
    <n v="1"/>
    <n v="-17000.96"/>
    <n v="5.0711111111111107"/>
    <s v="Cliente nuevo"/>
    <x v="0"/>
    <m/>
    <m/>
    <m/>
    <m/>
    <m/>
    <m/>
  </r>
  <r>
    <d v="2022-03-24T00:00:00"/>
    <x v="2"/>
    <x v="23"/>
    <s v="MAGALLANES"/>
    <n v="23360"/>
    <x v="1"/>
    <m/>
    <n v="5"/>
    <n v="0"/>
    <n v="0"/>
    <n v="301.60000000000002"/>
    <n v="965.12"/>
    <n v="1705.2"/>
    <n v="6128.28"/>
    <n v="6125.96"/>
    <m/>
    <n v="15226.16"/>
    <n v="0"/>
    <n v="5"/>
    <n v="15226.16"/>
    <n v="0"/>
    <s v="Cliente"/>
    <x v="1"/>
    <m/>
    <m/>
    <m/>
    <m/>
    <m/>
    <m/>
  </r>
  <r>
    <d v="2022-03-24T00:00:00"/>
    <x v="2"/>
    <x v="12"/>
    <s v="CENTRO"/>
    <n v="23361"/>
    <x v="1"/>
    <m/>
    <n v="4"/>
    <n v="0"/>
    <n v="0"/>
    <n v="904.8"/>
    <n v="0"/>
    <n v="174"/>
    <n v="2714.3999999999996"/>
    <n v="3120.3999999999996"/>
    <m/>
    <n v="6913.5999999999995"/>
    <n v="1160"/>
    <n v="4"/>
    <n v="5753.5999999999995"/>
    <n v="0.16778523489932887"/>
    <s v="Cliente"/>
    <x v="1"/>
    <m/>
    <m/>
    <m/>
    <m/>
    <m/>
    <m/>
  </r>
  <r>
    <d v="2022-03-24T00:00:00"/>
    <x v="2"/>
    <x v="23"/>
    <s v="MAGALLANES"/>
    <n v="23362"/>
    <x v="0"/>
    <m/>
    <n v="3"/>
    <n v="0"/>
    <n v="0"/>
    <n v="0"/>
    <n v="3629.64"/>
    <n v="0"/>
    <n v="298.12"/>
    <n v="155.44"/>
    <m/>
    <n v="4083.2"/>
    <n v="5731.56"/>
    <n v="3"/>
    <n v="-1648.3600000000006"/>
    <n v="1.4036931818181819"/>
    <s v="Cliente"/>
    <x v="0"/>
    <m/>
    <m/>
    <m/>
    <m/>
    <m/>
    <m/>
  </r>
  <r>
    <d v="2022-03-25T00:00:00"/>
    <x v="2"/>
    <x v="7"/>
    <s v="NORTE"/>
    <n v="23363"/>
    <x v="1"/>
    <m/>
    <n v="4"/>
    <n v="0"/>
    <n v="0"/>
    <n v="0"/>
    <n v="18715.439999999999"/>
    <n v="7140.9599999999991"/>
    <n v="14053.400000000001"/>
    <n v="6853.28"/>
    <m/>
    <n v="46763.08"/>
    <n v="904.8"/>
    <n v="4"/>
    <n v="45858.28"/>
    <n v="1.9348597226701063E-2"/>
    <s v="Cliente"/>
    <x v="1"/>
    <m/>
    <m/>
    <m/>
    <m/>
    <m/>
    <m/>
  </r>
  <r>
    <d v="2022-03-25T00:00:00"/>
    <x v="2"/>
    <x v="11"/>
    <s v="MAGALLANES"/>
    <n v="23364"/>
    <x v="0"/>
    <m/>
    <n v="0"/>
    <n v="0"/>
    <n v="0"/>
    <n v="0"/>
    <n v="0"/>
    <n v="0"/>
    <n v="0"/>
    <n v="0"/>
    <m/>
    <n v="0"/>
    <n v="453.56"/>
    <n v="0"/>
    <n v="-453.56"/>
    <n v="0"/>
    <s v="Alta sin facturar"/>
    <x v="0"/>
    <m/>
    <m/>
    <m/>
    <m/>
    <m/>
    <m/>
  </r>
  <r>
    <d v="2022-03-25T00:00:00"/>
    <x v="2"/>
    <x v="2"/>
    <s v="SUR"/>
    <n v="23365"/>
    <x v="0"/>
    <m/>
    <n v="3"/>
    <n v="0"/>
    <n v="0"/>
    <n v="0"/>
    <n v="0"/>
    <n v="660.04"/>
    <n v="5094.7199999999993"/>
    <n v="6898.5199999999986"/>
    <m/>
    <n v="12653.279999999999"/>
    <n v="5414.88"/>
    <n v="3"/>
    <n v="7238.3999999999987"/>
    <n v="0.427942794279428"/>
    <s v="Cliente"/>
    <x v="1"/>
    <m/>
    <m/>
    <m/>
    <m/>
    <m/>
    <m/>
  </r>
  <r>
    <d v="2022-03-25T00:00:00"/>
    <x v="2"/>
    <x v="0"/>
    <s v="CENTRO"/>
    <n v="23366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3-26T00:00:00"/>
    <x v="2"/>
    <x v="14"/>
    <s v="CENTRO"/>
    <n v="23367"/>
    <x v="1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3-26T00:00:00"/>
    <x v="2"/>
    <x v="5"/>
    <s v="CENTRO"/>
    <n v="23368"/>
    <x v="0"/>
    <m/>
    <n v="2"/>
    <n v="0"/>
    <n v="0"/>
    <n v="0"/>
    <n v="0"/>
    <n v="0"/>
    <n v="1468.56"/>
    <n v="201.84"/>
    <m/>
    <n v="1670.3999999999999"/>
    <m/>
    <n v="2"/>
    <n v="1670.3999999999999"/>
    <n v="0"/>
    <s v="Cliente nuevo"/>
    <x v="1"/>
    <m/>
    <m/>
    <m/>
    <m/>
    <m/>
    <m/>
  </r>
  <r>
    <d v="2022-03-26T00:00:00"/>
    <x v="2"/>
    <x v="6"/>
    <s v="SUR"/>
    <n v="23369"/>
    <x v="1"/>
    <m/>
    <n v="4"/>
    <n v="0"/>
    <n v="0"/>
    <n v="0"/>
    <n v="8153.6399999999994"/>
    <n v="5487.96"/>
    <n v="3911.5200000000004"/>
    <n v="7651.3600000000006"/>
    <m/>
    <n v="25204.48"/>
    <m/>
    <n v="4"/>
    <n v="25204.48"/>
    <n v="0"/>
    <s v="Cliente"/>
    <x v="1"/>
    <m/>
    <m/>
    <m/>
    <m/>
    <m/>
    <m/>
  </r>
  <r>
    <d v="2022-03-26T00:00:00"/>
    <x v="2"/>
    <x v="3"/>
    <s v="CENTRO"/>
    <n v="23370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3-26T00:00:00"/>
    <x v="2"/>
    <x v="6"/>
    <s v="SUR"/>
    <n v="23371"/>
    <x v="0"/>
    <m/>
    <n v="5"/>
    <n v="0"/>
    <n v="0"/>
    <n v="465.16"/>
    <n v="2586.7999999999997"/>
    <n v="1336.32"/>
    <n v="342.2"/>
    <n v="1221.48"/>
    <m/>
    <n v="5951.9599999999991"/>
    <n v="0"/>
    <n v="5"/>
    <n v="5951.9599999999991"/>
    <n v="0"/>
    <s v="Cliente"/>
    <x v="1"/>
    <m/>
    <m/>
    <m/>
    <m/>
    <m/>
    <m/>
  </r>
  <r>
    <d v="2022-03-26T00:00:00"/>
    <x v="2"/>
    <x v="5"/>
    <s v="CENTRO"/>
    <n v="23372"/>
    <x v="1"/>
    <m/>
    <n v="1"/>
    <n v="0"/>
    <n v="0"/>
    <n v="0"/>
    <n v="81.2"/>
    <n v="0"/>
    <n v="0"/>
    <n v="0"/>
    <m/>
    <n v="81.2"/>
    <m/>
    <n v="1"/>
    <n v="81.2"/>
    <n v="0"/>
    <s v="Cliente nuevo"/>
    <x v="1"/>
    <m/>
    <m/>
    <m/>
    <m/>
    <m/>
    <m/>
  </r>
  <r>
    <d v="2022-03-28T00:00:00"/>
    <x v="2"/>
    <x v="9"/>
    <s v="NORTE"/>
    <n v="23373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3-28T00:00:00"/>
    <x v="2"/>
    <x v="2"/>
    <s v="SUR"/>
    <n v="23374"/>
    <x v="0"/>
    <m/>
    <n v="4"/>
    <n v="0"/>
    <n v="0"/>
    <n v="0"/>
    <n v="2316.52"/>
    <n v="1879.1999999999998"/>
    <n v="2343.1999999999998"/>
    <n v="1779.44"/>
    <m/>
    <n v="8318.3599999999988"/>
    <n v="81.2"/>
    <n v="4"/>
    <n v="8237.159999999998"/>
    <n v="9.7615395342351158E-3"/>
    <s v="Cliente"/>
    <x v="1"/>
    <m/>
    <m/>
    <m/>
    <m/>
    <m/>
    <m/>
  </r>
  <r>
    <d v="2022-03-29T00:00:00"/>
    <x v="2"/>
    <x v="15"/>
    <s v="MAGALLANES"/>
    <n v="23375"/>
    <x v="0"/>
    <m/>
    <n v="2"/>
    <n v="0"/>
    <n v="0"/>
    <n v="0"/>
    <n v="0"/>
    <n v="3888.3199999999997"/>
    <n v="0"/>
    <n v="2311.88"/>
    <m/>
    <n v="6200.2"/>
    <m/>
    <n v="2"/>
    <n v="6200.2"/>
    <n v="0"/>
    <s v="Cliente nuevo"/>
    <x v="1"/>
    <m/>
    <m/>
    <m/>
    <m/>
    <m/>
    <m/>
  </r>
  <r>
    <d v="2022-03-29T00:00:00"/>
    <x v="2"/>
    <x v="5"/>
    <s v="CENTRO"/>
    <n v="23376"/>
    <x v="1"/>
    <m/>
    <n v="0"/>
    <n v="0"/>
    <n v="0"/>
    <n v="0"/>
    <n v="0"/>
    <n v="0"/>
    <n v="0"/>
    <n v="0"/>
    <m/>
    <n v="0"/>
    <n v="252.88"/>
    <n v="0"/>
    <n v="-252.88"/>
    <n v="0"/>
    <s v="Alta sin facturar"/>
    <x v="0"/>
    <m/>
    <m/>
    <m/>
    <m/>
    <m/>
    <m/>
  </r>
  <r>
    <d v="2022-03-29T00:00:00"/>
    <x v="2"/>
    <x v="5"/>
    <s v="CENTRO"/>
    <n v="23377"/>
    <x v="2"/>
    <m/>
    <n v="0"/>
    <n v="0"/>
    <n v="0"/>
    <n v="0"/>
    <n v="0"/>
    <n v="0"/>
    <n v="0"/>
    <n v="0"/>
    <m/>
    <n v="0"/>
    <n v="2032.32"/>
    <n v="0"/>
    <n v="-2032.32"/>
    <n v="0"/>
    <s v="Alta sin facturar"/>
    <x v="0"/>
    <m/>
    <m/>
    <m/>
    <m/>
    <m/>
    <m/>
  </r>
  <r>
    <d v="2022-03-29T00:00:00"/>
    <x v="2"/>
    <x v="23"/>
    <s v="MAGALLANES"/>
    <n v="23378"/>
    <x v="0"/>
    <m/>
    <n v="4"/>
    <n v="0"/>
    <n v="0"/>
    <n v="0"/>
    <n v="5862.64"/>
    <n v="1605.44"/>
    <n v="401.36"/>
    <n v="602.04"/>
    <m/>
    <n v="8471.48"/>
    <m/>
    <n v="4"/>
    <n v="8471.48"/>
    <n v="0"/>
    <s v="Cliente"/>
    <x v="1"/>
    <m/>
    <m/>
    <m/>
    <m/>
    <m/>
    <m/>
  </r>
  <r>
    <d v="2022-03-29T00:00:00"/>
    <x v="2"/>
    <x v="26"/>
    <s v="SUR"/>
    <n v="23379"/>
    <x v="1"/>
    <m/>
    <n v="2"/>
    <n v="0"/>
    <n v="0"/>
    <n v="0"/>
    <n v="0"/>
    <n v="890.88"/>
    <n v="1052.1199999999999"/>
    <n v="0"/>
    <m/>
    <n v="1943"/>
    <m/>
    <n v="2"/>
    <n v="1943"/>
    <n v="0"/>
    <s v="Cliente nuevo"/>
    <x v="1"/>
    <m/>
    <m/>
    <m/>
    <m/>
    <m/>
    <m/>
  </r>
  <r>
    <d v="2022-03-30T00:00:00"/>
    <x v="2"/>
    <x v="25"/>
    <s v="NORTE"/>
    <n v="23380"/>
    <x v="1"/>
    <m/>
    <n v="0"/>
    <n v="0"/>
    <n v="0"/>
    <n v="0"/>
    <n v="0"/>
    <n v="0"/>
    <n v="0"/>
    <n v="0"/>
    <m/>
    <n v="0"/>
    <n v="1003.4"/>
    <n v="0"/>
    <n v="-1003.4"/>
    <n v="0"/>
    <s v="Alta sin facturar"/>
    <x v="0"/>
    <m/>
    <m/>
    <m/>
    <m/>
    <m/>
    <m/>
  </r>
  <r>
    <d v="2022-03-30T00:00:00"/>
    <x v="2"/>
    <x v="16"/>
    <s v="NORTE"/>
    <n v="23381"/>
    <x v="2"/>
    <m/>
    <n v="4"/>
    <n v="0"/>
    <n v="0"/>
    <n v="0"/>
    <n v="858.4"/>
    <n v="2317.6799999999998"/>
    <n v="1545.12"/>
    <n v="860.72"/>
    <m/>
    <n v="5581.92"/>
    <n v="0"/>
    <n v="4"/>
    <n v="5581.92"/>
    <n v="0"/>
    <s v="Cliente"/>
    <x v="1"/>
    <m/>
    <m/>
    <m/>
    <m/>
    <m/>
    <m/>
  </r>
  <r>
    <d v="2022-03-30T00:00:00"/>
    <x v="2"/>
    <x v="15"/>
    <s v="MAGALLANES"/>
    <n v="23382"/>
    <x v="0"/>
    <m/>
    <n v="4"/>
    <n v="0"/>
    <n v="0"/>
    <n v="0"/>
    <n v="8427.4"/>
    <n v="12199.72"/>
    <n v="13721.64"/>
    <n v="10982.88"/>
    <m/>
    <n v="45331.639999999992"/>
    <m/>
    <n v="4"/>
    <n v="45331.639999999992"/>
    <n v="0"/>
    <s v="Cliente"/>
    <x v="1"/>
    <m/>
    <m/>
    <m/>
    <m/>
    <m/>
    <m/>
  </r>
  <r>
    <d v="2022-03-30T00:00:00"/>
    <x v="2"/>
    <x v="27"/>
    <s v="NORTE"/>
    <n v="23383"/>
    <x v="2"/>
    <m/>
    <n v="1"/>
    <n v="0"/>
    <n v="0"/>
    <n v="0"/>
    <n v="0"/>
    <n v="5185.2000000000007"/>
    <n v="0"/>
    <n v="0"/>
    <m/>
    <n v="5185.2000000000007"/>
    <n v="0"/>
    <n v="1"/>
    <n v="5185.2000000000007"/>
    <n v="0"/>
    <s v="Cliente nuevo"/>
    <x v="1"/>
    <m/>
    <m/>
    <m/>
    <m/>
    <m/>
    <m/>
  </r>
  <r>
    <d v="2022-03-30T00:00:00"/>
    <x v="2"/>
    <x v="27"/>
    <s v="NORTE"/>
    <n v="23384"/>
    <x v="0"/>
    <m/>
    <n v="0"/>
    <n v="0"/>
    <n v="0"/>
    <n v="0"/>
    <n v="0"/>
    <n v="0"/>
    <n v="0"/>
    <n v="0"/>
    <m/>
    <n v="0"/>
    <n v="7927.44"/>
    <n v="0"/>
    <n v="-7927.44"/>
    <n v="0"/>
    <s v="Alta sin facturar"/>
    <x v="0"/>
    <m/>
    <m/>
    <m/>
    <m/>
    <m/>
    <m/>
  </r>
  <r>
    <d v="2022-03-30T00:00:00"/>
    <x v="2"/>
    <x v="2"/>
    <s v="SUR"/>
    <n v="23385"/>
    <x v="1"/>
    <m/>
    <n v="1"/>
    <n v="0"/>
    <n v="0"/>
    <n v="0"/>
    <n v="0"/>
    <n v="1.1599999999999999"/>
    <n v="0"/>
    <n v="0"/>
    <m/>
    <n v="1.1599999999999999"/>
    <n v="0"/>
    <n v="1"/>
    <n v="1.1599999999999999"/>
    <n v="0"/>
    <s v="Cliente nuevo"/>
    <x v="1"/>
    <m/>
    <m/>
    <m/>
    <m/>
    <m/>
    <m/>
  </r>
  <r>
    <d v="2022-03-31T00:00:00"/>
    <x v="2"/>
    <x v="10"/>
    <s v="CENTRO"/>
    <n v="23386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4-01T00:00:00"/>
    <x v="3"/>
    <x v="27"/>
    <s v="NORTE"/>
    <n v="23387"/>
    <x v="2"/>
    <m/>
    <n v="4"/>
    <n v="0"/>
    <n v="0"/>
    <n v="0"/>
    <n v="1770.16"/>
    <n v="10680.119999999999"/>
    <n v="18340.760000000002"/>
    <n v="12402.720000000001"/>
    <m/>
    <n v="43193.760000000002"/>
    <n v="1.1599999999999999"/>
    <n v="4"/>
    <n v="43192.6"/>
    <n v="2.685573101299817E-5"/>
    <s v="Cliente"/>
    <x v="1"/>
    <m/>
    <m/>
    <m/>
    <m/>
    <m/>
    <m/>
  </r>
  <r>
    <d v="2022-04-01T00:00:00"/>
    <x v="3"/>
    <x v="27"/>
    <s v="NORTE"/>
    <n v="23388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4-02T00:00:00"/>
    <x v="3"/>
    <x v="2"/>
    <s v="SUR"/>
    <n v="23389"/>
    <x v="1"/>
    <m/>
    <n v="2"/>
    <n v="0"/>
    <n v="0"/>
    <n v="0"/>
    <n v="496108.79999999999"/>
    <n v="0"/>
    <n v="1443.04"/>
    <n v="0"/>
    <m/>
    <n v="497551.83999999997"/>
    <n v="6961.16"/>
    <n v="2"/>
    <n v="490590.68"/>
    <n v="1.3990823549160225E-2"/>
    <s v="Cliente nuevo"/>
    <x v="1"/>
    <m/>
    <m/>
    <m/>
    <m/>
    <m/>
    <m/>
  </r>
  <r>
    <d v="2022-04-02T00:00:00"/>
    <x v="3"/>
    <x v="4"/>
    <s v="CENTRO"/>
    <n v="23390"/>
    <x v="1"/>
    <m/>
    <n v="3"/>
    <n v="0"/>
    <n v="0"/>
    <n v="0"/>
    <n v="0"/>
    <n v="12202.039999999999"/>
    <n v="11595.359999999999"/>
    <n v="18448.64"/>
    <m/>
    <n v="42246.039999999994"/>
    <m/>
    <n v="3"/>
    <n v="42246.039999999994"/>
    <n v="0"/>
    <s v="Cliente"/>
    <x v="1"/>
    <m/>
    <m/>
    <m/>
    <m/>
    <m/>
    <m/>
  </r>
  <r>
    <d v="2022-04-02T00:00:00"/>
    <x v="3"/>
    <x v="4"/>
    <s v="CENTRO"/>
    <n v="23391"/>
    <x v="1"/>
    <m/>
    <n v="4"/>
    <n v="0"/>
    <n v="0"/>
    <n v="0"/>
    <n v="1798"/>
    <n v="13038.4"/>
    <n v="18444"/>
    <n v="10382"/>
    <m/>
    <n v="43662.400000000001"/>
    <n v="1443.04"/>
    <n v="4"/>
    <n v="42219.360000000001"/>
    <n v="3.3049946865037191E-2"/>
    <s v="Cliente"/>
    <x v="1"/>
    <m/>
    <m/>
    <m/>
    <m/>
    <m/>
    <m/>
  </r>
  <r>
    <d v="2022-04-04T00:00:00"/>
    <x v="3"/>
    <x v="26"/>
    <s v="SUR"/>
    <n v="23392"/>
    <x v="2"/>
    <m/>
    <n v="4"/>
    <n v="0"/>
    <n v="0"/>
    <n v="0"/>
    <n v="1407.08"/>
    <n v="1542.8000000000002"/>
    <n v="2207.48"/>
    <n v="2094.96"/>
    <m/>
    <n v="7252.3200000000006"/>
    <n v="0"/>
    <n v="4"/>
    <n v="7252.3200000000006"/>
    <n v="0"/>
    <s v="Cliente"/>
    <x v="1"/>
    <m/>
    <m/>
    <m/>
    <m/>
    <m/>
    <m/>
  </r>
  <r>
    <d v="2022-04-04T00:00:00"/>
    <x v="3"/>
    <x v="26"/>
    <s v="SUR"/>
    <n v="23393"/>
    <x v="1"/>
    <m/>
    <n v="4"/>
    <n v="0"/>
    <n v="0"/>
    <n v="0"/>
    <n v="3555.4"/>
    <n v="4982.2"/>
    <n v="5289.6"/>
    <n v="6472.8"/>
    <m/>
    <n v="20300"/>
    <n v="0"/>
    <n v="4"/>
    <n v="20300"/>
    <n v="0"/>
    <s v="Cliente"/>
    <x v="1"/>
    <m/>
    <m/>
    <m/>
    <m/>
    <m/>
    <m/>
  </r>
  <r>
    <d v="2022-04-05T00:00:00"/>
    <x v="3"/>
    <x v="12"/>
    <s v="CENTRO"/>
    <n v="23394"/>
    <x v="1"/>
    <m/>
    <n v="1"/>
    <n v="0"/>
    <n v="0"/>
    <n v="0"/>
    <n v="0"/>
    <n v="846.8"/>
    <n v="0"/>
    <n v="0"/>
    <m/>
    <n v="846.8"/>
    <n v="379.32"/>
    <n v="1"/>
    <n v="467.47999999999996"/>
    <n v="0.44794520547945205"/>
    <s v="Cliente nuevo"/>
    <x v="1"/>
    <m/>
    <m/>
    <m/>
    <m/>
    <m/>
    <m/>
  </r>
  <r>
    <d v="2022-04-05T00:00:00"/>
    <x v="3"/>
    <x v="13"/>
    <s v="NORTE"/>
    <n v="23395"/>
    <x v="0"/>
    <m/>
    <n v="3"/>
    <n v="0"/>
    <n v="0"/>
    <n v="0"/>
    <n v="0"/>
    <n v="27041.919999999998"/>
    <n v="12692.72"/>
    <n v="17186.560000000001"/>
    <m/>
    <n v="56921.2"/>
    <n v="38.28"/>
    <n v="3"/>
    <n v="56882.92"/>
    <n v="6.7250866109639295E-4"/>
    <s v="Cliente"/>
    <x v="1"/>
    <m/>
    <m/>
    <m/>
    <m/>
    <m/>
    <m/>
  </r>
  <r>
    <d v="2022-04-05T00:00:00"/>
    <x v="3"/>
    <x v="13"/>
    <s v="NORTE"/>
    <n v="23396"/>
    <x v="0"/>
    <m/>
    <n v="4"/>
    <n v="0"/>
    <n v="0"/>
    <n v="0"/>
    <n v="15885.04"/>
    <n v="13974.52"/>
    <n v="16449.96"/>
    <n v="16581.04"/>
    <m/>
    <n v="62890.560000000005"/>
    <n v="0"/>
    <n v="4"/>
    <n v="62890.560000000005"/>
    <n v="0"/>
    <s v="Cliente"/>
    <x v="1"/>
    <m/>
    <m/>
    <m/>
    <m/>
    <m/>
    <m/>
  </r>
  <r>
    <d v="2022-04-06T00:00:00"/>
    <x v="3"/>
    <x v="7"/>
    <s v="NORTE"/>
    <n v="23397"/>
    <x v="1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4-06T00:00:00"/>
    <x v="3"/>
    <x v="7"/>
    <s v="NORTE"/>
    <n v="23398"/>
    <x v="2"/>
    <m/>
    <n v="0"/>
    <n v="0"/>
    <n v="0"/>
    <n v="0"/>
    <n v="0"/>
    <n v="0"/>
    <n v="0"/>
    <n v="0"/>
    <m/>
    <n v="0"/>
    <n v="5329.04"/>
    <n v="0"/>
    <n v="-5329.04"/>
    <n v="0"/>
    <s v="Alta sin facturar"/>
    <x v="0"/>
    <m/>
    <m/>
    <m/>
    <m/>
    <m/>
    <m/>
  </r>
  <r>
    <d v="2022-04-06T00:00:00"/>
    <x v="3"/>
    <x v="8"/>
    <s v="NORTE"/>
    <n v="23399"/>
    <x v="1"/>
    <m/>
    <n v="4"/>
    <n v="0"/>
    <n v="0"/>
    <n v="0"/>
    <n v="373.52"/>
    <n v="185.6"/>
    <n v="3290.9199999999996"/>
    <n v="6535.4400000000005"/>
    <m/>
    <n v="10385.48"/>
    <m/>
    <n v="4"/>
    <n v="10385.48"/>
    <n v="0"/>
    <s v="Cliente"/>
    <x v="1"/>
    <m/>
    <m/>
    <m/>
    <m/>
    <m/>
    <m/>
  </r>
  <r>
    <d v="2022-04-06T00:00:00"/>
    <x v="3"/>
    <x v="16"/>
    <s v="NORTE"/>
    <n v="23400"/>
    <x v="2"/>
    <m/>
    <n v="1"/>
    <n v="0"/>
    <n v="0"/>
    <n v="0"/>
    <n v="0"/>
    <n v="0"/>
    <n v="0"/>
    <n v="2829.24"/>
    <m/>
    <n v="2829.24"/>
    <m/>
    <n v="1"/>
    <n v="2829.24"/>
    <n v="0"/>
    <s v="Cliente nuevo"/>
    <x v="1"/>
    <m/>
    <m/>
    <m/>
    <m/>
    <m/>
    <m/>
  </r>
  <r>
    <d v="2022-04-07T00:00:00"/>
    <x v="3"/>
    <x v="16"/>
    <s v="NORTE"/>
    <n v="23401"/>
    <x v="1"/>
    <m/>
    <n v="3"/>
    <n v="0"/>
    <n v="0"/>
    <n v="0"/>
    <n v="0"/>
    <n v="244.76"/>
    <n v="95.12"/>
    <n v="716.88"/>
    <m/>
    <n v="1056.76"/>
    <n v="0"/>
    <n v="3"/>
    <n v="1056.76"/>
    <n v="0"/>
    <s v="Cliente"/>
    <x v="1"/>
    <m/>
    <m/>
    <m/>
    <m/>
    <m/>
    <m/>
  </r>
  <r>
    <d v="2022-04-08T00:00:00"/>
    <x v="3"/>
    <x v="11"/>
    <s v="MAGALLANES"/>
    <n v="23402"/>
    <x v="0"/>
    <m/>
    <n v="2"/>
    <n v="0"/>
    <n v="0"/>
    <n v="0"/>
    <n v="0"/>
    <n v="0"/>
    <n v="2608.84"/>
    <n v="980.2"/>
    <m/>
    <n v="3589.04"/>
    <n v="2176.16"/>
    <n v="2"/>
    <n v="1412.88"/>
    <n v="0.60633484162895923"/>
    <s v="Cliente nuevo"/>
    <x v="1"/>
    <m/>
    <m/>
    <m/>
    <m/>
    <m/>
    <m/>
  </r>
  <r>
    <d v="2022-04-08T00:00:00"/>
    <x v="3"/>
    <x v="13"/>
    <s v="NORTE"/>
    <n v="23403"/>
    <x v="0"/>
    <m/>
    <n v="4"/>
    <n v="0"/>
    <n v="0"/>
    <n v="0"/>
    <n v="4432.3600000000006"/>
    <n v="5788.4"/>
    <n v="12298.32"/>
    <n v="7948.32"/>
    <m/>
    <n v="30467.4"/>
    <n v="0"/>
    <n v="4"/>
    <n v="30467.4"/>
    <n v="0"/>
    <s v="Cliente"/>
    <x v="1"/>
    <m/>
    <m/>
    <m/>
    <m/>
    <m/>
    <m/>
  </r>
  <r>
    <d v="2022-04-08T00:00:00"/>
    <x v="3"/>
    <x v="23"/>
    <s v="MAGALLANES"/>
    <n v="23404"/>
    <x v="1"/>
    <m/>
    <n v="0"/>
    <n v="0"/>
    <n v="0"/>
    <n v="0"/>
    <n v="0"/>
    <n v="0"/>
    <n v="0"/>
    <n v="0"/>
    <m/>
    <n v="0"/>
    <n v="344.52"/>
    <n v="0"/>
    <n v="-344.52"/>
    <n v="0"/>
    <s v="Alta sin facturar"/>
    <x v="0"/>
    <m/>
    <m/>
    <m/>
    <m/>
    <m/>
    <m/>
  </r>
  <r>
    <d v="2022-04-08T00:00:00"/>
    <x v="3"/>
    <x v="11"/>
    <s v="MAGALLANES"/>
    <n v="23405"/>
    <x v="2"/>
    <m/>
    <n v="0"/>
    <n v="0"/>
    <n v="0"/>
    <n v="0"/>
    <n v="0"/>
    <n v="0"/>
    <n v="0"/>
    <n v="0"/>
    <m/>
    <n v="0"/>
    <n v="4147"/>
    <n v="0"/>
    <n v="-4147"/>
    <n v="0"/>
    <s v="Alta sin facturar"/>
    <x v="0"/>
    <m/>
    <m/>
    <m/>
    <m/>
    <m/>
    <m/>
  </r>
  <r>
    <d v="2022-04-08T00:00:00"/>
    <x v="3"/>
    <x v="4"/>
    <s v="CENTRO"/>
    <n v="23406"/>
    <x v="1"/>
    <m/>
    <n v="4"/>
    <n v="0"/>
    <n v="0"/>
    <n v="0"/>
    <n v="1030.08"/>
    <n v="8639.68"/>
    <n v="9314.7999999999993"/>
    <n v="516.20000000000005"/>
    <m/>
    <n v="19500.759999999998"/>
    <m/>
    <n v="4"/>
    <n v="19500.759999999998"/>
    <n v="0"/>
    <s v="Cliente"/>
    <x v="1"/>
    <m/>
    <m/>
    <m/>
    <m/>
    <m/>
    <m/>
  </r>
  <r>
    <d v="2022-04-08T00:00:00"/>
    <x v="3"/>
    <x v="23"/>
    <s v="MAGALLANES"/>
    <n v="23407"/>
    <x v="0"/>
    <m/>
    <n v="2"/>
    <n v="0"/>
    <n v="0"/>
    <n v="0"/>
    <n v="0"/>
    <n v="0"/>
    <n v="1876.88"/>
    <n v="5754.76"/>
    <m/>
    <n v="7631.64"/>
    <m/>
    <n v="2"/>
    <n v="7631.64"/>
    <n v="0"/>
    <s v="Cliente nuevo"/>
    <x v="1"/>
    <m/>
    <m/>
    <m/>
    <m/>
    <m/>
    <m/>
  </r>
  <r>
    <d v="2022-04-09T00:00:00"/>
    <x v="3"/>
    <x v="6"/>
    <s v="SUR"/>
    <n v="23408"/>
    <x v="1"/>
    <m/>
    <n v="4"/>
    <n v="0"/>
    <n v="0"/>
    <n v="0"/>
    <n v="1813.08"/>
    <n v="271.44"/>
    <n v="730.8"/>
    <n v="3412.7200000000003"/>
    <m/>
    <n v="6228.04"/>
    <n v="0"/>
    <n v="4"/>
    <n v="6228.04"/>
    <n v="0"/>
    <s v="Cliente"/>
    <x v="1"/>
    <m/>
    <m/>
    <m/>
    <m/>
    <m/>
    <m/>
  </r>
  <r>
    <d v="2022-04-09T00:00:00"/>
    <x v="3"/>
    <x v="28"/>
    <s v="CENTRO"/>
    <n v="23409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4-09T00:00:00"/>
    <x v="3"/>
    <x v="22"/>
    <s v="NORTE"/>
    <n v="23410"/>
    <x v="2"/>
    <m/>
    <n v="4"/>
    <n v="0"/>
    <n v="0"/>
    <n v="0"/>
    <n v="375.84"/>
    <n v="4823.28"/>
    <n v="487.2"/>
    <n v="560.28"/>
    <m/>
    <n v="6246.5999999999995"/>
    <n v="0"/>
    <n v="4"/>
    <n v="6246.5999999999995"/>
    <n v="0"/>
    <s v="Cliente"/>
    <x v="1"/>
    <m/>
    <m/>
    <m/>
    <m/>
    <m/>
    <m/>
  </r>
  <r>
    <d v="2022-04-11T00:00:00"/>
    <x v="3"/>
    <x v="8"/>
    <s v="NORTE"/>
    <n v="23411"/>
    <x v="1"/>
    <m/>
    <n v="2"/>
    <n v="0"/>
    <n v="0"/>
    <n v="0"/>
    <n v="5902.08"/>
    <n v="912.92"/>
    <n v="0"/>
    <n v="0"/>
    <m/>
    <n v="6815"/>
    <m/>
    <n v="2"/>
    <n v="6815"/>
    <n v="0"/>
    <s v="Cliente nuevo"/>
    <x v="1"/>
    <m/>
    <m/>
    <m/>
    <m/>
    <m/>
    <m/>
  </r>
  <r>
    <d v="2022-04-11T00:00:00"/>
    <x v="3"/>
    <x v="2"/>
    <s v="SUR"/>
    <n v="23412"/>
    <x v="1"/>
    <m/>
    <n v="2"/>
    <n v="0"/>
    <n v="0"/>
    <n v="0"/>
    <n v="0"/>
    <n v="334.08"/>
    <n v="88.16"/>
    <n v="0"/>
    <m/>
    <n v="422.24"/>
    <n v="0"/>
    <n v="2"/>
    <n v="422.24"/>
    <n v="0"/>
    <s v="Cliente nuevo"/>
    <x v="1"/>
    <m/>
    <m/>
    <m/>
    <m/>
    <m/>
    <m/>
  </r>
  <r>
    <d v="2022-04-11T00:00:00"/>
    <x v="3"/>
    <x v="6"/>
    <s v="SUR"/>
    <n v="23413"/>
    <x v="2"/>
    <m/>
    <n v="3"/>
    <n v="0"/>
    <n v="0"/>
    <n v="0"/>
    <n v="0"/>
    <n v="1026.6000000000001"/>
    <n v="320.16000000000003"/>
    <n v="1183.2"/>
    <m/>
    <n v="2529.96"/>
    <n v="6815"/>
    <n v="3"/>
    <n v="-4285.04"/>
    <n v="2.6937184777624941"/>
    <s v="Cliente"/>
    <x v="0"/>
    <m/>
    <m/>
    <m/>
    <m/>
    <m/>
    <m/>
  </r>
  <r>
    <d v="2022-04-11T00:00:00"/>
    <x v="3"/>
    <x v="23"/>
    <s v="MAGALLANES"/>
    <n v="23414"/>
    <x v="2"/>
    <m/>
    <n v="4"/>
    <n v="0"/>
    <n v="0"/>
    <n v="0"/>
    <n v="503.44"/>
    <n v="46.4"/>
    <n v="2391.92"/>
    <n v="3312.96"/>
    <m/>
    <n v="6254.72"/>
    <n v="422.24"/>
    <n v="4"/>
    <n v="5832.4800000000005"/>
    <n v="6.7507418397626112E-2"/>
    <s v="Cliente"/>
    <x v="1"/>
    <m/>
    <m/>
    <m/>
    <m/>
    <m/>
    <m/>
  </r>
  <r>
    <d v="2022-04-12T00:00:00"/>
    <x v="3"/>
    <x v="22"/>
    <s v="NORTE"/>
    <n v="23415"/>
    <x v="0"/>
    <m/>
    <n v="1"/>
    <n v="0"/>
    <n v="0"/>
    <n v="0"/>
    <n v="0"/>
    <n v="0"/>
    <n v="741.24"/>
    <n v="0"/>
    <m/>
    <n v="741.24"/>
    <n v="0"/>
    <n v="1"/>
    <n v="741.24"/>
    <n v="0"/>
    <s v="Cliente nuevo"/>
    <x v="1"/>
    <m/>
    <m/>
    <m/>
    <m/>
    <m/>
    <m/>
  </r>
  <r>
    <d v="2022-04-12T00:00:00"/>
    <x v="3"/>
    <x v="2"/>
    <s v="SUR"/>
    <n v="23416"/>
    <x v="2"/>
    <m/>
    <n v="1"/>
    <n v="0"/>
    <n v="0"/>
    <n v="0"/>
    <n v="4068.12"/>
    <n v="0"/>
    <n v="0"/>
    <n v="0"/>
    <m/>
    <n v="4068.12"/>
    <n v="839.84"/>
    <n v="1"/>
    <n v="3228.2799999999997"/>
    <n v="0.20644425434844599"/>
    <s v="Cliente nuevo"/>
    <x v="1"/>
    <m/>
    <m/>
    <m/>
    <m/>
    <m/>
    <m/>
  </r>
  <r>
    <d v="2022-04-12T00:00:00"/>
    <x v="3"/>
    <x v="7"/>
    <s v="NORTE"/>
    <n v="23417"/>
    <x v="2"/>
    <m/>
    <n v="0"/>
    <n v="0"/>
    <n v="0"/>
    <n v="0"/>
    <n v="0"/>
    <n v="0"/>
    <n v="0"/>
    <n v="0"/>
    <m/>
    <n v="0"/>
    <n v="741.24"/>
    <n v="0"/>
    <n v="-741.24"/>
    <n v="0"/>
    <s v="Alta sin facturar"/>
    <x v="0"/>
    <m/>
    <m/>
    <m/>
    <m/>
    <m/>
    <m/>
  </r>
  <r>
    <d v="2022-04-12T00:00:00"/>
    <x v="3"/>
    <x v="2"/>
    <s v="SUR"/>
    <n v="23418"/>
    <x v="2"/>
    <m/>
    <n v="2"/>
    <n v="0"/>
    <n v="0"/>
    <n v="0"/>
    <n v="0"/>
    <n v="2219.08"/>
    <n v="0"/>
    <n v="658.88"/>
    <m/>
    <n v="2877.96"/>
    <n v="0"/>
    <n v="2"/>
    <n v="2877.96"/>
    <n v="0"/>
    <s v="Cliente nuevo"/>
    <x v="1"/>
    <m/>
    <m/>
    <m/>
    <m/>
    <m/>
    <m/>
  </r>
  <r>
    <d v="2022-04-13T00:00:00"/>
    <x v="3"/>
    <x v="15"/>
    <s v="MAGALLANES"/>
    <n v="23419"/>
    <x v="2"/>
    <m/>
    <n v="2"/>
    <n v="0"/>
    <n v="0"/>
    <n v="0"/>
    <n v="20172.400000000001"/>
    <n v="1651.84"/>
    <n v="0"/>
    <n v="0"/>
    <m/>
    <n v="21824.240000000002"/>
    <m/>
    <n v="2"/>
    <n v="21824.240000000002"/>
    <n v="0"/>
    <s v="Cliente nuevo"/>
    <x v="1"/>
    <m/>
    <m/>
    <m/>
    <m/>
    <m/>
    <m/>
  </r>
  <r>
    <d v="2022-04-13T00:00:00"/>
    <x v="3"/>
    <x v="26"/>
    <s v="SUR"/>
    <n v="23420"/>
    <x v="1"/>
    <m/>
    <n v="1"/>
    <n v="0"/>
    <n v="0"/>
    <n v="0"/>
    <n v="0"/>
    <n v="0"/>
    <n v="1247"/>
    <n v="0"/>
    <m/>
    <n v="1247"/>
    <n v="658.88"/>
    <n v="1"/>
    <n v="588.12"/>
    <n v="0.52837209302325583"/>
    <s v="Cliente nuevo"/>
    <x v="1"/>
    <m/>
    <m/>
    <m/>
    <m/>
    <m/>
    <m/>
  </r>
  <r>
    <d v="2022-04-13T00:00:00"/>
    <x v="3"/>
    <x v="9"/>
    <s v="NORTE"/>
    <n v="23421"/>
    <x v="1"/>
    <m/>
    <n v="1"/>
    <n v="0"/>
    <n v="0"/>
    <n v="0"/>
    <n v="254.04"/>
    <n v="0"/>
    <n v="0"/>
    <n v="0"/>
    <m/>
    <n v="254.04"/>
    <n v="5615.56"/>
    <n v="1"/>
    <n v="-5361.52"/>
    <n v="22.105022831050231"/>
    <s v="Cliente nuevo"/>
    <x v="0"/>
    <m/>
    <m/>
    <m/>
    <m/>
    <m/>
    <m/>
  </r>
  <r>
    <d v="2022-04-14T00:00:00"/>
    <x v="3"/>
    <x v="15"/>
    <s v="MAGALLANES"/>
    <n v="23422"/>
    <x v="1"/>
    <m/>
    <n v="4"/>
    <n v="0"/>
    <n v="0"/>
    <n v="0"/>
    <n v="7868.28"/>
    <n v="7337"/>
    <n v="5971.68"/>
    <n v="6419.4400000000005"/>
    <m/>
    <n v="27596.400000000001"/>
    <n v="0"/>
    <n v="4"/>
    <n v="27596.400000000001"/>
    <n v="0"/>
    <s v="Cliente"/>
    <x v="1"/>
    <m/>
    <m/>
    <m/>
    <m/>
    <m/>
    <m/>
  </r>
  <r>
    <d v="2022-04-14T00:00:00"/>
    <x v="3"/>
    <x v="9"/>
    <s v="NORTE"/>
    <n v="23423"/>
    <x v="0"/>
    <m/>
    <n v="4"/>
    <n v="0"/>
    <n v="0"/>
    <n v="0"/>
    <n v="328.28"/>
    <n v="32150.560000000001"/>
    <n v="34181.72"/>
    <n v="77793.079999999987"/>
    <m/>
    <n v="144453.63999999998"/>
    <n v="0"/>
    <n v="4"/>
    <n v="144453.63999999998"/>
    <n v="0"/>
    <s v="Cliente"/>
    <x v="1"/>
    <m/>
    <m/>
    <m/>
    <m/>
    <m/>
    <m/>
  </r>
  <r>
    <d v="2022-04-15T00:00:00"/>
    <x v="3"/>
    <x v="27"/>
    <s v="NORTE"/>
    <n v="23424"/>
    <x v="0"/>
    <m/>
    <n v="4"/>
    <n v="0"/>
    <n v="0"/>
    <n v="0"/>
    <n v="379.32"/>
    <n v="10343.720000000001"/>
    <n v="16308.44"/>
    <n v="13142.8"/>
    <m/>
    <n v="40174.28"/>
    <n v="315.52"/>
    <n v="4"/>
    <n v="39858.76"/>
    <n v="7.8537810758525107E-3"/>
    <s v="Cliente"/>
    <x v="1"/>
    <m/>
    <m/>
    <m/>
    <m/>
    <m/>
    <m/>
  </r>
  <r>
    <d v="2022-04-15T00:00:00"/>
    <x v="3"/>
    <x v="27"/>
    <s v="NORTE"/>
    <n v="23425"/>
    <x v="1"/>
    <m/>
    <n v="0"/>
    <n v="0"/>
    <n v="0"/>
    <n v="0"/>
    <n v="0"/>
    <n v="0"/>
    <n v="0"/>
    <n v="0"/>
    <m/>
    <n v="0"/>
    <n v="48044.88"/>
    <n v="0"/>
    <n v="-48044.88"/>
    <n v="0"/>
    <s v="Alta sin facturar"/>
    <x v="0"/>
    <m/>
    <m/>
    <m/>
    <m/>
    <m/>
    <m/>
  </r>
  <r>
    <d v="2022-04-18T00:00:00"/>
    <x v="3"/>
    <x v="8"/>
    <s v="NORTE"/>
    <n v="23426"/>
    <x v="2"/>
    <m/>
    <n v="0"/>
    <n v="0"/>
    <n v="0"/>
    <n v="0"/>
    <n v="0"/>
    <n v="0"/>
    <n v="0"/>
    <n v="0"/>
    <m/>
    <n v="0"/>
    <n v="5113.28"/>
    <n v="0"/>
    <n v="-5113.28"/>
    <n v="0"/>
    <s v="Alta sin facturar"/>
    <x v="0"/>
    <m/>
    <m/>
    <m/>
    <m/>
    <m/>
    <m/>
  </r>
  <r>
    <d v="2022-04-18T00:00:00"/>
    <x v="3"/>
    <x v="23"/>
    <s v="MAGALLANES"/>
    <n v="23427"/>
    <x v="2"/>
    <m/>
    <n v="4"/>
    <n v="0"/>
    <n v="0"/>
    <n v="0"/>
    <n v="110.2"/>
    <n v="1441.88"/>
    <n v="2259.6800000000003"/>
    <n v="2129.7600000000002"/>
    <m/>
    <n v="5941.52"/>
    <m/>
    <n v="4"/>
    <n v="5941.52"/>
    <n v="0"/>
    <s v="Cliente"/>
    <x v="1"/>
    <m/>
    <m/>
    <m/>
    <m/>
    <m/>
    <m/>
  </r>
  <r>
    <d v="2022-04-19T00:00:00"/>
    <x v="3"/>
    <x v="0"/>
    <s v="CENTRO"/>
    <n v="23428"/>
    <x v="0"/>
    <m/>
    <n v="2"/>
    <n v="0"/>
    <n v="0"/>
    <n v="0"/>
    <n v="0"/>
    <n v="0"/>
    <n v="1076.48"/>
    <n v="6500.6399999999994"/>
    <m/>
    <n v="7577.119999999999"/>
    <m/>
    <n v="2"/>
    <n v="7577.119999999999"/>
    <n v="0"/>
    <s v="Cliente nuevo"/>
    <x v="1"/>
    <m/>
    <m/>
    <m/>
    <m/>
    <m/>
    <m/>
  </r>
  <r>
    <d v="2022-04-19T00:00:00"/>
    <x v="3"/>
    <x v="0"/>
    <s v="CENTRO"/>
    <n v="23429"/>
    <x v="2"/>
    <m/>
    <n v="1"/>
    <n v="0"/>
    <n v="0"/>
    <n v="0"/>
    <n v="0"/>
    <n v="0"/>
    <n v="0"/>
    <n v="1856"/>
    <m/>
    <n v="1856"/>
    <n v="0"/>
    <n v="1"/>
    <n v="1856"/>
    <n v="0"/>
    <s v="Cliente nuevo"/>
    <x v="1"/>
    <m/>
    <m/>
    <m/>
    <m/>
    <m/>
    <m/>
  </r>
  <r>
    <d v="2022-04-19T00:00:00"/>
    <x v="3"/>
    <x v="17"/>
    <s v="CENTRO"/>
    <n v="23430"/>
    <x v="1"/>
    <m/>
    <n v="0"/>
    <n v="0"/>
    <n v="0"/>
    <n v="0"/>
    <n v="0"/>
    <n v="0"/>
    <n v="0"/>
    <n v="0"/>
    <m/>
    <n v="0"/>
    <n v="827.08"/>
    <n v="0"/>
    <n v="-827.08"/>
    <n v="0"/>
    <s v="Alta sin facturar"/>
    <x v="0"/>
    <m/>
    <m/>
    <m/>
    <m/>
    <m/>
    <m/>
  </r>
  <r>
    <d v="2022-04-20T00:00:00"/>
    <x v="3"/>
    <x v="15"/>
    <s v="MAGALLANES"/>
    <n v="23431"/>
    <x v="2"/>
    <m/>
    <n v="1"/>
    <n v="0"/>
    <n v="0"/>
    <n v="0"/>
    <n v="0"/>
    <n v="118.32"/>
    <n v="0"/>
    <n v="0"/>
    <m/>
    <n v="118.32"/>
    <n v="0"/>
    <n v="1"/>
    <n v="118.32"/>
    <n v="0"/>
    <s v="Cliente nuevo"/>
    <x v="1"/>
    <m/>
    <m/>
    <m/>
    <m/>
    <m/>
    <m/>
  </r>
  <r>
    <d v="2022-04-20T00:00:00"/>
    <x v="3"/>
    <x v="4"/>
    <s v="CENTRO"/>
    <n v="23432"/>
    <x v="1"/>
    <m/>
    <n v="4"/>
    <n v="0"/>
    <n v="0"/>
    <n v="0"/>
    <n v="218.08"/>
    <n v="2532.2800000000002"/>
    <n v="1856"/>
    <n v="5143.4399999999996"/>
    <m/>
    <n v="9749.7999999999993"/>
    <m/>
    <n v="4"/>
    <n v="9749.7999999999993"/>
    <n v="0"/>
    <s v="Cliente"/>
    <x v="1"/>
    <m/>
    <m/>
    <m/>
    <m/>
    <m/>
    <m/>
  </r>
  <r>
    <d v="2022-04-20T00:00:00"/>
    <x v="3"/>
    <x v="4"/>
    <s v="CENTRO"/>
    <n v="23433"/>
    <x v="0"/>
    <m/>
    <n v="1"/>
    <n v="0"/>
    <n v="0"/>
    <n v="0"/>
    <n v="0"/>
    <n v="0"/>
    <n v="0"/>
    <n v="8789.32"/>
    <m/>
    <n v="8789.32"/>
    <n v="0"/>
    <n v="1"/>
    <n v="8789.32"/>
    <n v="0"/>
    <s v="Cliente nuevo"/>
    <x v="1"/>
    <m/>
    <m/>
    <m/>
    <m/>
    <m/>
    <m/>
  </r>
  <r>
    <d v="2022-04-20T00:00:00"/>
    <x v="3"/>
    <x v="4"/>
    <s v="CENTRO"/>
    <n v="23434"/>
    <x v="2"/>
    <m/>
    <n v="3"/>
    <n v="0"/>
    <n v="0"/>
    <n v="0"/>
    <n v="0"/>
    <n v="2309.56"/>
    <n v="5753.6"/>
    <n v="3192.3199999999997"/>
    <m/>
    <n v="11255.48"/>
    <n v="5143.4399999999996"/>
    <n v="3"/>
    <n v="6112.04"/>
    <n v="0.45697207049366173"/>
    <s v="Cliente"/>
    <x v="1"/>
    <m/>
    <m/>
    <m/>
    <m/>
    <m/>
    <m/>
  </r>
  <r>
    <d v="2022-04-20T00:00:00"/>
    <x v="3"/>
    <x v="4"/>
    <s v="CENTRO"/>
    <n v="23435"/>
    <x v="1"/>
    <m/>
    <n v="0"/>
    <n v="0"/>
    <n v="0"/>
    <n v="0"/>
    <n v="0"/>
    <n v="0"/>
    <n v="0"/>
    <n v="0"/>
    <m/>
    <n v="0"/>
    <n v="6005.32"/>
    <n v="0"/>
    <n v="-6005.32"/>
    <n v="0"/>
    <s v="Alta sin facturar"/>
    <x v="0"/>
    <m/>
    <m/>
    <m/>
    <m/>
    <m/>
    <m/>
  </r>
  <r>
    <d v="2022-04-20T00:00:00"/>
    <x v="3"/>
    <x v="7"/>
    <s v="NORTE"/>
    <n v="23436"/>
    <x v="2"/>
    <m/>
    <n v="1"/>
    <n v="0"/>
    <n v="0"/>
    <n v="0"/>
    <n v="4874.1899999999996"/>
    <n v="0"/>
    <n v="0"/>
    <n v="0"/>
    <m/>
    <n v="4874.1899999999996"/>
    <n v="2252.7199999999998"/>
    <n v="1"/>
    <n v="2621.47"/>
    <n v="0.46217320211153035"/>
    <s v="Cliente nuevo"/>
    <x v="1"/>
    <m/>
    <m/>
    <m/>
    <m/>
    <m/>
    <m/>
  </r>
  <r>
    <d v="2022-04-20T00:00:00"/>
    <x v="3"/>
    <x v="22"/>
    <s v="NORTE"/>
    <n v="23437"/>
    <x v="2"/>
    <m/>
    <n v="3"/>
    <n v="0"/>
    <n v="0"/>
    <n v="0"/>
    <n v="0"/>
    <n v="4028.68"/>
    <n v="1669.2399999999998"/>
    <n v="4803.5599999999995"/>
    <m/>
    <n v="10501.48"/>
    <m/>
    <n v="3"/>
    <n v="10501.48"/>
    <n v="0"/>
    <s v="Cliente"/>
    <x v="1"/>
    <m/>
    <m/>
    <m/>
    <m/>
    <m/>
    <m/>
  </r>
  <r>
    <d v="2022-04-20T00:00:00"/>
    <x v="3"/>
    <x v="13"/>
    <s v="NORTE"/>
    <n v="23438"/>
    <x v="1"/>
    <m/>
    <n v="1"/>
    <n v="0"/>
    <n v="0"/>
    <n v="0"/>
    <n v="0"/>
    <n v="0"/>
    <n v="0"/>
    <n v="131.08000000000001"/>
    <m/>
    <n v="131.08000000000001"/>
    <n v="0"/>
    <n v="1"/>
    <n v="131.08000000000001"/>
    <n v="0"/>
    <s v="Cliente nuevo"/>
    <x v="1"/>
    <m/>
    <m/>
    <m/>
    <m/>
    <m/>
    <m/>
  </r>
  <r>
    <d v="2022-04-21T00:00:00"/>
    <x v="3"/>
    <x v="5"/>
    <s v="CENTRO"/>
    <n v="23439"/>
    <x v="1"/>
    <m/>
    <n v="2"/>
    <n v="0"/>
    <n v="0"/>
    <n v="0"/>
    <n v="0"/>
    <n v="2891.88"/>
    <n v="1789.88"/>
    <n v="0"/>
    <m/>
    <n v="4681.76"/>
    <n v="702.96"/>
    <n v="2"/>
    <n v="3978.8"/>
    <n v="0.15014866204162539"/>
    <s v="Cliente nuevo"/>
    <x v="1"/>
    <m/>
    <m/>
    <m/>
    <m/>
    <m/>
    <m/>
  </r>
  <r>
    <d v="2022-04-21T00:00:00"/>
    <x v="3"/>
    <x v="5"/>
    <s v="CENTRO"/>
    <n v="23440"/>
    <x v="2"/>
    <m/>
    <n v="3"/>
    <n v="0"/>
    <n v="0"/>
    <n v="0"/>
    <n v="0"/>
    <n v="9570"/>
    <n v="108851.5"/>
    <n v="112433"/>
    <m/>
    <n v="230854.5"/>
    <n v="131.08000000000001"/>
    <n v="3"/>
    <n v="230723.42"/>
    <n v="5.6780352992902457E-4"/>
    <s v="Cliente"/>
    <x v="1"/>
    <m/>
    <m/>
    <m/>
    <m/>
    <m/>
    <m/>
  </r>
  <r>
    <d v="2022-04-21T00:00:00"/>
    <x v="3"/>
    <x v="16"/>
    <s v="NORTE"/>
    <n v="23441"/>
    <x v="1"/>
    <m/>
    <n v="3"/>
    <n v="0"/>
    <n v="0"/>
    <n v="0"/>
    <n v="0"/>
    <n v="619.44000000000005"/>
    <n v="697.16"/>
    <n v="928"/>
    <m/>
    <n v="2244.6"/>
    <n v="4681.76"/>
    <n v="3"/>
    <n v="-2437.1600000000003"/>
    <n v="2.0857881136950907"/>
    <s v="Cliente"/>
    <x v="0"/>
    <m/>
    <m/>
    <m/>
    <m/>
    <m/>
    <m/>
  </r>
  <r>
    <d v="2022-04-21T00:00:00"/>
    <x v="3"/>
    <x v="1"/>
    <s v="CENTRO"/>
    <n v="23442"/>
    <x v="2"/>
    <m/>
    <n v="1"/>
    <n v="0"/>
    <n v="0"/>
    <n v="0"/>
    <n v="0"/>
    <n v="0"/>
    <n v="165.88"/>
    <n v="0"/>
    <m/>
    <n v="165.88"/>
    <n v="219733"/>
    <n v="1"/>
    <n v="-219567.12"/>
    <n v="1324.6503496503497"/>
    <s v="Cliente nuevo"/>
    <x v="0"/>
    <m/>
    <m/>
    <m/>
    <m/>
    <m/>
    <m/>
  </r>
  <r>
    <d v="2022-04-21T00:00:00"/>
    <x v="3"/>
    <x v="12"/>
    <s v="CENTRO"/>
    <n v="23443"/>
    <x v="0"/>
    <m/>
    <n v="3"/>
    <n v="0"/>
    <n v="0"/>
    <n v="0"/>
    <n v="0"/>
    <n v="247.07999999999998"/>
    <n v="2237.6400000000003"/>
    <n v="2963.7999999999997"/>
    <m/>
    <n v="5448.52"/>
    <n v="1547.44"/>
    <n v="3"/>
    <n v="3901.0800000000004"/>
    <n v="0.28401107089631678"/>
    <s v="Cliente"/>
    <x v="1"/>
    <m/>
    <m/>
    <m/>
    <m/>
    <m/>
    <m/>
  </r>
  <r>
    <d v="2022-04-21T00:00:00"/>
    <x v="3"/>
    <x v="1"/>
    <s v="CENTRO"/>
    <n v="23444"/>
    <x v="1"/>
    <m/>
    <n v="1"/>
    <n v="0"/>
    <n v="0"/>
    <n v="0"/>
    <n v="0"/>
    <n v="0"/>
    <n v="0"/>
    <n v="1740"/>
    <m/>
    <n v="1740"/>
    <n v="0"/>
    <n v="1"/>
    <n v="1740"/>
    <n v="0"/>
    <s v="Cliente nuevo"/>
    <x v="1"/>
    <m/>
    <m/>
    <m/>
    <m/>
    <m/>
    <m/>
  </r>
  <r>
    <d v="2022-04-22T00:00:00"/>
    <x v="3"/>
    <x v="4"/>
    <s v="CENTRO"/>
    <n v="23445"/>
    <x v="1"/>
    <m/>
    <n v="0"/>
    <n v="0"/>
    <n v="0"/>
    <n v="0"/>
    <n v="0"/>
    <n v="0"/>
    <n v="0"/>
    <n v="0"/>
    <m/>
    <n v="0"/>
    <n v="518.52"/>
    <n v="0"/>
    <n v="-518.52"/>
    <n v="0"/>
    <s v="Alta sin facturar"/>
    <x v="0"/>
    <m/>
    <m/>
    <m/>
    <m/>
    <m/>
    <m/>
  </r>
  <r>
    <d v="2022-04-25T00:00:00"/>
    <x v="3"/>
    <x v="26"/>
    <s v="SUR"/>
    <n v="23446"/>
    <x v="0"/>
    <m/>
    <n v="3"/>
    <n v="0"/>
    <n v="0"/>
    <n v="0"/>
    <n v="0"/>
    <n v="970.92000000000007"/>
    <n v="901.32"/>
    <n v="2670.3199999999997"/>
    <m/>
    <n v="4542.5599999999995"/>
    <n v="1740"/>
    <n v="3"/>
    <n v="2802.5599999999995"/>
    <n v="0.38304392236976509"/>
    <s v="Cliente"/>
    <x v="1"/>
    <m/>
    <m/>
    <m/>
    <m/>
    <m/>
    <m/>
  </r>
  <r>
    <d v="2022-04-25T00:00:00"/>
    <x v="3"/>
    <x v="4"/>
    <s v="CENTRO"/>
    <n v="23447"/>
    <x v="1"/>
    <m/>
    <n v="3"/>
    <n v="0"/>
    <n v="0"/>
    <n v="0"/>
    <n v="0"/>
    <n v="4350"/>
    <n v="2335.08"/>
    <n v="1416.36"/>
    <m/>
    <n v="8101.44"/>
    <m/>
    <n v="3"/>
    <n v="8101.44"/>
    <n v="0"/>
    <s v="Cliente"/>
    <x v="1"/>
    <m/>
    <m/>
    <m/>
    <m/>
    <m/>
    <m/>
  </r>
  <r>
    <d v="2022-04-25T00:00:00"/>
    <x v="3"/>
    <x v="4"/>
    <s v="CENTRO"/>
    <n v="23448"/>
    <x v="2"/>
    <m/>
    <n v="0"/>
    <n v="0"/>
    <n v="0"/>
    <n v="0"/>
    <n v="0"/>
    <n v="0"/>
    <n v="0"/>
    <n v="0"/>
    <m/>
    <n v="0"/>
    <n v="403.68"/>
    <n v="0"/>
    <n v="-403.68"/>
    <n v="0"/>
    <s v="Alta sin facturar"/>
    <x v="0"/>
    <m/>
    <m/>
    <m/>
    <m/>
    <m/>
    <m/>
  </r>
  <r>
    <d v="2022-04-26T00:00:00"/>
    <x v="3"/>
    <x v="12"/>
    <s v="CENTRO"/>
    <n v="23449"/>
    <x v="1"/>
    <m/>
    <n v="3"/>
    <n v="0"/>
    <n v="0"/>
    <n v="0"/>
    <n v="0"/>
    <n v="864.19999999999993"/>
    <n v="1789.88"/>
    <n v="2165.7199999999998"/>
    <m/>
    <n v="4819.7999999999993"/>
    <n v="1416.36"/>
    <n v="3"/>
    <n v="3403.4399999999996"/>
    <n v="0.29386281588447655"/>
    <s v="Cliente"/>
    <x v="1"/>
    <m/>
    <m/>
    <m/>
    <m/>
    <m/>
    <m/>
  </r>
  <r>
    <d v="2022-04-26T00:00:00"/>
    <x v="3"/>
    <x v="9"/>
    <s v="NORTE"/>
    <n v="23450"/>
    <x v="0"/>
    <m/>
    <n v="2"/>
    <n v="0"/>
    <n v="0"/>
    <n v="0"/>
    <n v="0"/>
    <n v="0"/>
    <n v="2802.5600000000004"/>
    <n v="3108.7999999999997"/>
    <m/>
    <n v="5911.3600000000006"/>
    <m/>
    <n v="2"/>
    <n v="5911.3600000000006"/>
    <n v="0"/>
    <s v="Cliente nuevo"/>
    <x v="1"/>
    <m/>
    <m/>
    <m/>
    <m/>
    <m/>
    <m/>
  </r>
  <r>
    <d v="2022-04-26T00:00:00"/>
    <x v="3"/>
    <x v="6"/>
    <s v="SUR"/>
    <n v="23451"/>
    <x v="1"/>
    <m/>
    <n v="3"/>
    <n v="0"/>
    <n v="0"/>
    <n v="0"/>
    <n v="627.55999999999995"/>
    <n v="0"/>
    <n v="1629.8"/>
    <n v="615.96"/>
    <m/>
    <n v="2873.3199999999997"/>
    <n v="146.16"/>
    <n v="3"/>
    <n v="2727.16"/>
    <n v="5.0867985466289872E-2"/>
    <s v="Cliente"/>
    <x v="1"/>
    <m/>
    <m/>
    <m/>
    <m/>
    <m/>
    <m/>
  </r>
  <r>
    <d v="2022-04-26T00:00:00"/>
    <x v="3"/>
    <x v="28"/>
    <s v="CENTRO"/>
    <n v="23452"/>
    <x v="0"/>
    <m/>
    <n v="0"/>
    <n v="0"/>
    <n v="0"/>
    <n v="0"/>
    <n v="0"/>
    <n v="0"/>
    <n v="0"/>
    <n v="0"/>
    <m/>
    <n v="0"/>
    <n v="1700.56"/>
    <n v="0"/>
    <n v="-1700.56"/>
    <n v="0"/>
    <s v="Alta sin facturar"/>
    <x v="0"/>
    <m/>
    <m/>
    <m/>
    <m/>
    <m/>
    <m/>
  </r>
  <r>
    <d v="2022-04-27T00:00:00"/>
    <x v="3"/>
    <x v="27"/>
    <s v="NORTE"/>
    <n v="23453"/>
    <x v="0"/>
    <m/>
    <n v="3"/>
    <n v="0"/>
    <n v="0"/>
    <n v="0"/>
    <n v="0"/>
    <n v="7388.04"/>
    <n v="22158.32"/>
    <n v="19305.879999999997"/>
    <m/>
    <n v="48852.24"/>
    <n v="615.96"/>
    <n v="3"/>
    <n v="48236.28"/>
    <n v="1.2608633708505486E-2"/>
    <s v="Cliente"/>
    <x v="1"/>
    <m/>
    <m/>
    <m/>
    <m/>
    <m/>
    <m/>
  </r>
  <r>
    <d v="2022-04-28T00:00:00"/>
    <x v="3"/>
    <x v="6"/>
    <s v="SUR"/>
    <n v="23454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4-28T00:00:00"/>
    <x v="3"/>
    <x v="17"/>
    <s v="CENTRO"/>
    <n v="23455"/>
    <x v="2"/>
    <m/>
    <n v="0"/>
    <n v="0"/>
    <n v="0"/>
    <n v="0"/>
    <n v="0"/>
    <n v="0"/>
    <n v="0"/>
    <n v="0"/>
    <m/>
    <n v="0"/>
    <n v="5664.28"/>
    <n v="0"/>
    <n v="-5664.28"/>
    <n v="0"/>
    <s v="Alta sin facturar"/>
    <x v="0"/>
    <m/>
    <m/>
    <m/>
    <m/>
    <m/>
    <m/>
  </r>
  <r>
    <d v="2022-04-28T00:00:00"/>
    <x v="3"/>
    <x v="13"/>
    <s v="NORTE"/>
    <n v="23456"/>
    <x v="2"/>
    <m/>
    <n v="3"/>
    <n v="0"/>
    <n v="0"/>
    <n v="0"/>
    <n v="0"/>
    <n v="2126.2799999999997"/>
    <n v="1476.68"/>
    <n v="2388.44"/>
    <m/>
    <n v="5991.4"/>
    <m/>
    <n v="3"/>
    <n v="5991.4"/>
    <n v="0"/>
    <s v="Cliente"/>
    <x v="1"/>
    <m/>
    <m/>
    <m/>
    <m/>
    <m/>
    <m/>
  </r>
  <r>
    <d v="2022-04-29T00:00:00"/>
    <x v="3"/>
    <x v="22"/>
    <s v="NORTE"/>
    <n v="23457"/>
    <x v="1"/>
    <m/>
    <n v="2"/>
    <n v="0"/>
    <n v="0"/>
    <n v="0"/>
    <n v="0"/>
    <n v="0"/>
    <n v="1105.48"/>
    <n v="3925.44"/>
    <m/>
    <n v="5030.92"/>
    <m/>
    <n v="2"/>
    <n v="5030.92"/>
    <n v="0"/>
    <s v="Cliente nuevo"/>
    <x v="1"/>
    <m/>
    <m/>
    <m/>
    <m/>
    <m/>
    <m/>
  </r>
  <r>
    <d v="2022-04-29T00:00:00"/>
    <x v="3"/>
    <x v="22"/>
    <s v="NORTE"/>
    <n v="23458"/>
    <x v="2"/>
    <m/>
    <n v="2"/>
    <n v="0"/>
    <n v="0"/>
    <n v="0"/>
    <n v="0"/>
    <n v="0"/>
    <n v="812"/>
    <n v="5452"/>
    <m/>
    <n v="6264"/>
    <n v="1099.68"/>
    <n v="2"/>
    <n v="5164.32"/>
    <n v="0.17555555555555558"/>
    <s v="Cliente nuevo"/>
    <x v="1"/>
    <m/>
    <m/>
    <m/>
    <m/>
    <m/>
    <m/>
  </r>
  <r>
    <d v="2022-04-29T00:00:00"/>
    <x v="3"/>
    <x v="9"/>
    <s v="NORTE"/>
    <n v="23459"/>
    <x v="1"/>
    <m/>
    <n v="3"/>
    <n v="0"/>
    <n v="0"/>
    <n v="0"/>
    <n v="0"/>
    <n v="7783.5999999999995"/>
    <n v="8307.92"/>
    <n v="6299.96"/>
    <m/>
    <n v="22391.48"/>
    <n v="2387.2799999999997"/>
    <n v="3"/>
    <n v="20004.2"/>
    <n v="0.10661555198673781"/>
    <s v="Cliente"/>
    <x v="1"/>
    <m/>
    <m/>
    <m/>
    <m/>
    <m/>
    <m/>
  </r>
  <r>
    <d v="2022-04-29T00:00:00"/>
    <x v="3"/>
    <x v="9"/>
    <s v="NORTE"/>
    <n v="23460"/>
    <x v="1"/>
    <m/>
    <n v="1"/>
    <n v="0"/>
    <n v="0"/>
    <n v="0"/>
    <n v="0"/>
    <n v="2187.7599999999998"/>
    <n v="0"/>
    <n v="0"/>
    <m/>
    <n v="2187.7599999999998"/>
    <n v="812"/>
    <n v="1"/>
    <n v="1375.7599999999998"/>
    <n v="0.37115588547189826"/>
    <s v="Cliente nuevo"/>
    <x v="1"/>
    <m/>
    <m/>
    <m/>
    <m/>
    <m/>
    <m/>
  </r>
  <r>
    <d v="2022-04-30T00:00:00"/>
    <x v="3"/>
    <x v="16"/>
    <s v="NORTE"/>
    <n v="23461"/>
    <x v="1"/>
    <m/>
    <n v="3"/>
    <n v="0"/>
    <n v="0"/>
    <n v="0"/>
    <n v="0"/>
    <n v="155.44"/>
    <n v="4039.1200000000003"/>
    <n v="3235.2400000000002"/>
    <m/>
    <n v="7429.8000000000011"/>
    <n v="0"/>
    <n v="3"/>
    <n v="7429.8000000000011"/>
    <n v="0"/>
    <s v="Cliente"/>
    <x v="1"/>
    <m/>
    <m/>
    <m/>
    <m/>
    <m/>
    <m/>
  </r>
  <r>
    <d v="2022-04-30T00:00:00"/>
    <x v="3"/>
    <x v="12"/>
    <s v="CENTRO"/>
    <n v="23462"/>
    <x v="1"/>
    <m/>
    <n v="3"/>
    <n v="0"/>
    <n v="0"/>
    <n v="0"/>
    <n v="0"/>
    <n v="437.32000000000005"/>
    <n v="2735.2799999999997"/>
    <n v="4904.4799999999996"/>
    <m/>
    <n v="8077.08"/>
    <n v="1809.6"/>
    <n v="3"/>
    <n v="6267.48"/>
    <n v="0.22404136148211976"/>
    <s v="Cliente"/>
    <x v="1"/>
    <m/>
    <m/>
    <m/>
    <m/>
    <m/>
    <m/>
  </r>
  <r>
    <d v="2022-05-02T00:00:00"/>
    <x v="4"/>
    <x v="11"/>
    <s v="MAGALLANES"/>
    <n v="23463"/>
    <x v="2"/>
    <m/>
    <n v="3"/>
    <n v="0"/>
    <n v="0"/>
    <n v="0"/>
    <n v="0"/>
    <n v="447.76"/>
    <n v="1191.32"/>
    <n v="723.84"/>
    <m/>
    <n v="2362.92"/>
    <n v="1095.04"/>
    <n v="3"/>
    <n v="1267.8800000000001"/>
    <n v="0.46342660775650463"/>
    <s v="Cliente"/>
    <x v="1"/>
    <m/>
    <m/>
    <m/>
    <m/>
    <m/>
    <m/>
  </r>
  <r>
    <d v="2022-05-03T00:00:00"/>
    <x v="4"/>
    <x v="0"/>
    <s v="CENTRO"/>
    <n v="23464"/>
    <x v="1"/>
    <m/>
    <n v="3"/>
    <n v="0"/>
    <n v="0"/>
    <n v="0"/>
    <n v="0"/>
    <n v="5672.4"/>
    <n v="5088.92"/>
    <n v="14981.4"/>
    <m/>
    <n v="25742.720000000001"/>
    <n v="0"/>
    <n v="3"/>
    <n v="25742.720000000001"/>
    <n v="0"/>
    <s v="Cliente"/>
    <x v="1"/>
    <m/>
    <m/>
    <m/>
    <m/>
    <m/>
    <m/>
  </r>
  <r>
    <d v="2022-05-03T00:00:00"/>
    <x v="4"/>
    <x v="3"/>
    <s v="CENTRO"/>
    <n v="23465"/>
    <x v="1"/>
    <m/>
    <n v="1"/>
    <n v="0"/>
    <n v="0"/>
    <n v="0"/>
    <n v="0"/>
    <n v="429.2"/>
    <n v="0"/>
    <n v="0"/>
    <m/>
    <n v="429.2"/>
    <n v="243.6"/>
    <n v="1"/>
    <n v="185.6"/>
    <n v="0.56756756756756754"/>
    <s v="Cliente nuevo"/>
    <x v="1"/>
    <m/>
    <m/>
    <m/>
    <m/>
    <m/>
    <m/>
  </r>
  <r>
    <d v="2022-05-04T00:00:00"/>
    <x v="4"/>
    <x v="2"/>
    <s v="SUR"/>
    <n v="23466"/>
    <x v="1"/>
    <m/>
    <n v="3"/>
    <n v="0"/>
    <n v="0"/>
    <n v="0"/>
    <n v="0"/>
    <n v="3731.7200000000003"/>
    <n v="18271.16"/>
    <n v="10836.720000000001"/>
    <m/>
    <n v="32839.600000000006"/>
    <n v="14981.4"/>
    <n v="3"/>
    <n v="17858.200000000004"/>
    <n v="0.45619922288943826"/>
    <s v="Cliente"/>
    <x v="1"/>
    <m/>
    <m/>
    <m/>
    <m/>
    <m/>
    <m/>
  </r>
  <r>
    <d v="2022-05-04T00:00:00"/>
    <x v="4"/>
    <x v="15"/>
    <s v="MAGALLANES"/>
    <n v="23467"/>
    <x v="0"/>
    <m/>
    <n v="3"/>
    <n v="0"/>
    <n v="0"/>
    <n v="0"/>
    <n v="0"/>
    <n v="593.91999999999996"/>
    <n v="1289.92"/>
    <n v="2075.2399999999998"/>
    <m/>
    <n v="3959.08"/>
    <n v="0"/>
    <n v="3"/>
    <n v="3959.08"/>
    <n v="0"/>
    <s v="Cliente"/>
    <x v="1"/>
    <m/>
    <m/>
    <m/>
    <m/>
    <m/>
    <m/>
  </r>
  <r>
    <d v="2022-05-04T00:00:00"/>
    <x v="4"/>
    <x v="11"/>
    <s v="MAGALLANES"/>
    <n v="23468"/>
    <x v="0"/>
    <m/>
    <n v="3"/>
    <n v="0"/>
    <n v="0"/>
    <n v="0"/>
    <n v="0"/>
    <n v="7797.5199999999995"/>
    <n v="13749.480000000001"/>
    <n v="12624.279999999999"/>
    <m/>
    <n v="34171.279999999999"/>
    <n v="5514.64"/>
    <n v="3"/>
    <n v="28656.639999999999"/>
    <n v="0.161382307013375"/>
    <s v="Cliente"/>
    <x v="1"/>
    <m/>
    <m/>
    <m/>
    <m/>
    <m/>
    <m/>
  </r>
  <r>
    <d v="2022-05-04T00:00:00"/>
    <x v="4"/>
    <x v="9"/>
    <s v="NORTE"/>
    <n v="23469"/>
    <x v="1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5-04T00:00:00"/>
    <x v="4"/>
    <x v="22"/>
    <s v="NORTE"/>
    <n v="23470"/>
    <x v="1"/>
    <m/>
    <n v="0"/>
    <n v="0"/>
    <n v="0"/>
    <n v="0"/>
    <n v="0"/>
    <n v="0"/>
    <n v="0"/>
    <n v="0"/>
    <m/>
    <n v="0"/>
    <n v="9510.84"/>
    <n v="0"/>
    <n v="-9510.84"/>
    <n v="0"/>
    <s v="Alta sin facturar"/>
    <x v="0"/>
    <m/>
    <m/>
    <m/>
    <m/>
    <m/>
    <m/>
  </r>
  <r>
    <d v="2022-05-04T00:00:00"/>
    <x v="4"/>
    <x v="13"/>
    <s v="NORTE"/>
    <n v="23471"/>
    <x v="1"/>
    <m/>
    <n v="3"/>
    <n v="0"/>
    <n v="0"/>
    <n v="0"/>
    <n v="0"/>
    <n v="5970.52"/>
    <n v="10188.280000000001"/>
    <n v="12947.919999999998"/>
    <m/>
    <n v="29106.720000000001"/>
    <m/>
    <n v="3"/>
    <n v="29106.720000000001"/>
    <n v="0"/>
    <s v="Cliente"/>
    <x v="1"/>
    <m/>
    <m/>
    <m/>
    <m/>
    <m/>
    <m/>
  </r>
  <r>
    <d v="2022-05-05T00:00:00"/>
    <x v="4"/>
    <x v="11"/>
    <s v="MAGALLANES"/>
    <n v="23472"/>
    <x v="2"/>
    <m/>
    <n v="3"/>
    <n v="0"/>
    <n v="0"/>
    <n v="0"/>
    <n v="0"/>
    <n v="2610"/>
    <n v="3022.96"/>
    <n v="5682.84"/>
    <m/>
    <n v="11315.8"/>
    <m/>
    <n v="3"/>
    <n v="11315.8"/>
    <n v="0"/>
    <s v="Cliente"/>
    <x v="1"/>
    <m/>
    <m/>
    <m/>
    <m/>
    <m/>
    <m/>
  </r>
  <r>
    <d v="2022-05-05T00:00:00"/>
    <x v="4"/>
    <x v="27"/>
    <s v="NORTE"/>
    <n v="23473"/>
    <x v="0"/>
    <m/>
    <n v="3"/>
    <n v="0"/>
    <n v="0"/>
    <n v="0"/>
    <n v="0"/>
    <n v="1364.16"/>
    <n v="5943.84"/>
    <n v="7502.880000000001"/>
    <m/>
    <n v="14810.880000000001"/>
    <n v="0"/>
    <n v="3"/>
    <n v="14810.880000000001"/>
    <n v="0"/>
    <s v="Cliente"/>
    <x v="1"/>
    <m/>
    <m/>
    <m/>
    <m/>
    <m/>
    <m/>
  </r>
  <r>
    <d v="2022-05-05T00:00:00"/>
    <x v="4"/>
    <x v="13"/>
    <s v="NORTE"/>
    <n v="23474"/>
    <x v="0"/>
    <m/>
    <n v="1"/>
    <n v="0"/>
    <n v="0"/>
    <n v="0"/>
    <n v="0"/>
    <n v="0"/>
    <n v="0"/>
    <n v="12992"/>
    <m/>
    <n v="12992"/>
    <n v="1419.84"/>
    <n v="1"/>
    <n v="11572.16"/>
    <n v="0.10928571428571428"/>
    <s v="Cliente nuevo"/>
    <x v="1"/>
    <m/>
    <m/>
    <m/>
    <m/>
    <m/>
    <m/>
  </r>
  <r>
    <d v="2022-05-05T00:00:00"/>
    <x v="4"/>
    <x v="13"/>
    <s v="NORTE"/>
    <n v="23475"/>
    <x v="1"/>
    <m/>
    <n v="0"/>
    <n v="0"/>
    <n v="0"/>
    <n v="0"/>
    <n v="0"/>
    <n v="0"/>
    <n v="0"/>
    <n v="0"/>
    <m/>
    <n v="0"/>
    <n v="2533.44"/>
    <n v="0"/>
    <n v="-2533.44"/>
    <n v="0"/>
    <s v="Alta sin facturar"/>
    <x v="0"/>
    <m/>
    <m/>
    <m/>
    <m/>
    <m/>
    <m/>
  </r>
  <r>
    <d v="2022-05-06T00:00:00"/>
    <x v="4"/>
    <x v="3"/>
    <s v="CENTRO"/>
    <n v="23476"/>
    <x v="1"/>
    <m/>
    <n v="0"/>
    <n v="0"/>
    <n v="0"/>
    <n v="0"/>
    <n v="0"/>
    <n v="0"/>
    <n v="0"/>
    <n v="0"/>
    <m/>
    <n v="0"/>
    <n v="12992"/>
    <n v="0"/>
    <n v="-12992"/>
    <n v="0"/>
    <s v="Alta sin facturar"/>
    <x v="0"/>
    <m/>
    <m/>
    <m/>
    <m/>
    <m/>
    <m/>
  </r>
  <r>
    <d v="2022-05-06T00:00:00"/>
    <x v="4"/>
    <x v="29"/>
    <s v="CENTRO"/>
    <n v="23477"/>
    <x v="1"/>
    <m/>
    <n v="3"/>
    <n v="0"/>
    <n v="0"/>
    <n v="0"/>
    <n v="0"/>
    <n v="3316.44"/>
    <n v="65828.84"/>
    <n v="47558.84"/>
    <m/>
    <n v="116704.12"/>
    <m/>
    <n v="3"/>
    <n v="116704.12"/>
    <n v="0"/>
    <s v="Cliente"/>
    <x v="1"/>
    <m/>
    <m/>
    <m/>
    <m/>
    <m/>
    <m/>
  </r>
  <r>
    <d v="2022-05-07T00:00:00"/>
    <x v="4"/>
    <x v="5"/>
    <s v="CENTRO"/>
    <n v="23478"/>
    <x v="1"/>
    <m/>
    <n v="3"/>
    <n v="0"/>
    <n v="0"/>
    <n v="0"/>
    <n v="0"/>
    <n v="194.88"/>
    <n v="1141.4399999999998"/>
    <n v="488.35999999999996"/>
    <m/>
    <n v="1824.6799999999996"/>
    <m/>
    <n v="3"/>
    <n v="1824.6799999999996"/>
    <n v="0"/>
    <s v="Cliente"/>
    <x v="1"/>
    <m/>
    <m/>
    <m/>
    <m/>
    <m/>
    <m/>
  </r>
  <r>
    <d v="2022-05-09T00:00:00"/>
    <x v="4"/>
    <x v="9"/>
    <s v="NORTE"/>
    <n v="23479"/>
    <x v="1"/>
    <m/>
    <n v="3"/>
    <n v="0"/>
    <n v="0"/>
    <n v="0"/>
    <n v="0"/>
    <n v="1707.52"/>
    <n v="9268.4"/>
    <n v="10187.119999999999"/>
    <m/>
    <n v="21163.040000000001"/>
    <n v="24133.8"/>
    <n v="3"/>
    <n v="-2970.7599999999984"/>
    <n v="1.1403749177811882"/>
    <s v="Cliente"/>
    <x v="0"/>
    <m/>
    <m/>
    <m/>
    <m/>
    <m/>
    <m/>
  </r>
  <r>
    <d v="2022-05-09T00:00:00"/>
    <x v="4"/>
    <x v="14"/>
    <s v="CENTRO"/>
    <n v="23480"/>
    <x v="1"/>
    <m/>
    <n v="3"/>
    <n v="0"/>
    <n v="0"/>
    <n v="0"/>
    <n v="0"/>
    <n v="9741.68"/>
    <n v="37159.440000000002"/>
    <n v="46347.8"/>
    <m/>
    <n v="93248.920000000013"/>
    <n v="100.92"/>
    <n v="3"/>
    <n v="93148.000000000015"/>
    <n v="1.0822645452622935E-3"/>
    <s v="Cliente"/>
    <x v="1"/>
    <m/>
    <m/>
    <m/>
    <m/>
    <m/>
    <m/>
  </r>
  <r>
    <d v="2022-05-11T00:00:00"/>
    <x v="4"/>
    <x v="11"/>
    <s v="MAGALLANES"/>
    <n v="23481"/>
    <x v="2"/>
    <m/>
    <n v="3"/>
    <n v="0"/>
    <n v="0"/>
    <n v="0"/>
    <n v="0"/>
    <n v="2460.36"/>
    <n v="17517.16"/>
    <n v="6427.56"/>
    <m/>
    <n v="26405.08"/>
    <n v="6247.76"/>
    <n v="3"/>
    <n v="20157.32"/>
    <n v="0.23661204586390194"/>
    <s v="Cliente"/>
    <x v="1"/>
    <m/>
    <m/>
    <m/>
    <m/>
    <m/>
    <m/>
  </r>
  <r>
    <d v="2022-05-11T00:00:00"/>
    <x v="4"/>
    <x v="14"/>
    <s v="CENTRO"/>
    <n v="23482"/>
    <x v="0"/>
    <m/>
    <n v="3"/>
    <n v="0"/>
    <n v="0"/>
    <n v="0"/>
    <n v="0"/>
    <n v="4974.08"/>
    <n v="7876.4"/>
    <n v="5257.12"/>
    <m/>
    <n v="18107.599999999999"/>
    <n v="17623.88"/>
    <n v="3"/>
    <n v="483.71999999999753"/>
    <n v="0.97328635490070481"/>
    <s v="Cliente"/>
    <x v="1"/>
    <m/>
    <m/>
    <m/>
    <m/>
    <m/>
    <m/>
  </r>
  <r>
    <d v="2022-05-11T00:00:00"/>
    <x v="4"/>
    <x v="6"/>
    <s v="SUR"/>
    <n v="23483"/>
    <x v="0"/>
    <m/>
    <n v="2"/>
    <n v="0"/>
    <n v="0"/>
    <n v="0"/>
    <n v="0"/>
    <n v="0"/>
    <n v="1294.56"/>
    <n v="5856.84"/>
    <m/>
    <n v="7151.4"/>
    <n v="8887.92"/>
    <n v="2"/>
    <n v="-1736.5200000000004"/>
    <n v="1.242822384428224"/>
    <s v="Cliente nuevo"/>
    <x v="0"/>
    <m/>
    <m/>
    <m/>
    <m/>
    <m/>
    <m/>
  </r>
  <r>
    <d v="2022-05-11T00:00:00"/>
    <x v="4"/>
    <x v="17"/>
    <s v="CENTRO"/>
    <n v="23484"/>
    <x v="0"/>
    <m/>
    <n v="0"/>
    <n v="0"/>
    <n v="0"/>
    <n v="0"/>
    <n v="0"/>
    <n v="0"/>
    <n v="0"/>
    <n v="0"/>
    <m/>
    <n v="0"/>
    <n v="4350"/>
    <n v="0"/>
    <n v="-4350"/>
    <n v="0"/>
    <s v="Alta sin facturar"/>
    <x v="0"/>
    <m/>
    <m/>
    <m/>
    <m/>
    <m/>
    <m/>
  </r>
  <r>
    <d v="2022-05-11T00:00:00"/>
    <x v="4"/>
    <x v="17"/>
    <s v="CENTRO"/>
    <n v="23485"/>
    <x v="1"/>
    <m/>
    <n v="0"/>
    <n v="0"/>
    <n v="0"/>
    <n v="0"/>
    <n v="0"/>
    <n v="0"/>
    <n v="0"/>
    <n v="0"/>
    <m/>
    <n v="0"/>
    <n v="2615.8000000000002"/>
    <n v="0"/>
    <n v="-2615.8000000000002"/>
    <n v="0"/>
    <s v="Alta sin facturar"/>
    <x v="0"/>
    <m/>
    <m/>
    <m/>
    <m/>
    <m/>
    <m/>
  </r>
  <r>
    <d v="2022-05-11T00:00:00"/>
    <x v="4"/>
    <x v="6"/>
    <s v="SUR"/>
    <n v="23486"/>
    <x v="1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5-13T00:00:00"/>
    <x v="4"/>
    <x v="8"/>
    <s v="NORTE"/>
    <n v="23487"/>
    <x v="1"/>
    <m/>
    <n v="3"/>
    <n v="0"/>
    <n v="0"/>
    <n v="0"/>
    <n v="0"/>
    <n v="1975.48"/>
    <n v="738.92"/>
    <n v="4781.5200000000004"/>
    <m/>
    <n v="7495.92"/>
    <m/>
    <n v="3"/>
    <n v="7495.92"/>
    <n v="0"/>
    <s v="Cliente"/>
    <x v="1"/>
    <m/>
    <m/>
    <m/>
    <m/>
    <m/>
    <m/>
  </r>
  <r>
    <d v="2022-05-14T00:00:00"/>
    <x v="4"/>
    <x v="15"/>
    <s v="MAGALLANES"/>
    <n v="23488"/>
    <x v="2"/>
    <m/>
    <n v="3"/>
    <n v="0"/>
    <n v="0"/>
    <n v="0"/>
    <n v="0"/>
    <n v="6121.3200000000006"/>
    <n v="6639.84"/>
    <n v="4409.16"/>
    <m/>
    <n v="17170.32"/>
    <m/>
    <n v="3"/>
    <n v="17170.32"/>
    <n v="0"/>
    <s v="Cliente"/>
    <x v="1"/>
    <m/>
    <m/>
    <m/>
    <m/>
    <m/>
    <m/>
  </r>
  <r>
    <d v="2022-05-16T00:00:00"/>
    <x v="4"/>
    <x v="3"/>
    <s v="CENTRO"/>
    <n v="23489"/>
    <x v="2"/>
    <m/>
    <n v="3"/>
    <n v="0"/>
    <n v="0"/>
    <n v="0"/>
    <n v="0"/>
    <n v="2091.48"/>
    <n v="6499.48"/>
    <n v="3938.2000000000003"/>
    <m/>
    <n v="12529.16"/>
    <n v="2101.92"/>
    <n v="3"/>
    <n v="10427.24"/>
    <n v="0.16776224423664476"/>
    <s v="Cliente"/>
    <x v="1"/>
    <m/>
    <m/>
    <m/>
    <m/>
    <m/>
    <m/>
  </r>
  <r>
    <d v="2022-05-16T00:00:00"/>
    <x v="4"/>
    <x v="23"/>
    <s v="MAGALLANES"/>
    <n v="23490"/>
    <x v="0"/>
    <m/>
    <n v="2"/>
    <n v="0"/>
    <n v="0"/>
    <n v="0"/>
    <n v="0"/>
    <n v="0"/>
    <n v="8841.52"/>
    <n v="5991.4000000000005"/>
    <m/>
    <n v="14832.920000000002"/>
    <n v="5724.6"/>
    <n v="2"/>
    <n v="9108.3200000000015"/>
    <n v="0.38593884413857821"/>
    <s v="Cliente nuevo"/>
    <x v="1"/>
    <m/>
    <m/>
    <m/>
    <m/>
    <m/>
    <m/>
  </r>
  <r>
    <d v="2022-05-16T00:00:00"/>
    <x v="4"/>
    <x v="2"/>
    <s v="SUR"/>
    <n v="23491"/>
    <x v="2"/>
    <m/>
    <n v="2"/>
    <n v="0"/>
    <n v="0"/>
    <n v="0"/>
    <n v="0"/>
    <n v="0"/>
    <n v="3765.3599999999997"/>
    <n v="1358.36"/>
    <m/>
    <n v="5123.7199999999993"/>
    <n v="0"/>
    <n v="2"/>
    <n v="5123.7199999999993"/>
    <n v="0"/>
    <s v="Cliente nuevo"/>
    <x v="1"/>
    <m/>
    <m/>
    <m/>
    <m/>
    <m/>
    <m/>
  </r>
  <r>
    <d v="2022-05-16T00:00:00"/>
    <x v="4"/>
    <x v="12"/>
    <s v="CENTRO"/>
    <n v="23492"/>
    <x v="2"/>
    <m/>
    <n v="0"/>
    <n v="0"/>
    <n v="0"/>
    <n v="0"/>
    <n v="0"/>
    <n v="0"/>
    <n v="0"/>
    <n v="0"/>
    <m/>
    <n v="0"/>
    <n v="5150.4000000000005"/>
    <n v="0"/>
    <n v="-5150.4000000000005"/>
    <n v="0"/>
    <s v="Alta sin facturar"/>
    <x v="0"/>
    <m/>
    <m/>
    <m/>
    <m/>
    <m/>
    <m/>
  </r>
  <r>
    <d v="2022-05-16T00:00:00"/>
    <x v="4"/>
    <x v="14"/>
    <s v="CENTRO"/>
    <n v="23493"/>
    <x v="1"/>
    <m/>
    <n v="2"/>
    <n v="0"/>
    <n v="0"/>
    <n v="0"/>
    <n v="0"/>
    <n v="0"/>
    <n v="8816"/>
    <n v="892.04"/>
    <m/>
    <n v="9708.0400000000009"/>
    <n v="0"/>
    <n v="2"/>
    <n v="9708.0400000000009"/>
    <n v="0"/>
    <s v="Cliente nuevo"/>
    <x v="1"/>
    <m/>
    <m/>
    <m/>
    <m/>
    <m/>
    <m/>
  </r>
  <r>
    <d v="2022-05-17T00:00:00"/>
    <x v="4"/>
    <x v="13"/>
    <s v="NORTE"/>
    <n v="23494"/>
    <x v="1"/>
    <m/>
    <n v="1"/>
    <n v="0"/>
    <n v="0"/>
    <n v="0"/>
    <n v="0"/>
    <n v="0"/>
    <n v="0"/>
    <n v="16148.36"/>
    <m/>
    <n v="16148.36"/>
    <m/>
    <n v="1"/>
    <n v="16148.36"/>
    <n v="0"/>
    <s v="Cliente nuevo"/>
    <x v="1"/>
    <m/>
    <m/>
    <m/>
    <m/>
    <m/>
    <m/>
  </r>
  <r>
    <d v="2022-05-17T00:00:00"/>
    <x v="4"/>
    <x v="26"/>
    <s v="SUR"/>
    <n v="23495"/>
    <x v="0"/>
    <m/>
    <n v="3"/>
    <n v="0"/>
    <n v="0"/>
    <n v="0"/>
    <n v="0"/>
    <n v="1784.08"/>
    <n v="3177.24"/>
    <n v="3424.32"/>
    <m/>
    <n v="8385.64"/>
    <n v="0"/>
    <n v="3"/>
    <n v="8385.64"/>
    <n v="0"/>
    <s v="Cliente"/>
    <x v="1"/>
    <m/>
    <m/>
    <m/>
    <m/>
    <m/>
    <m/>
  </r>
  <r>
    <d v="2022-05-17T00:00:00"/>
    <x v="4"/>
    <x v="2"/>
    <s v="SUR"/>
    <n v="23496"/>
    <x v="0"/>
    <m/>
    <n v="3"/>
    <n v="0"/>
    <n v="0"/>
    <n v="0"/>
    <n v="0"/>
    <n v="876.96"/>
    <n v="1351.4"/>
    <n v="2267.8000000000002"/>
    <m/>
    <n v="4496.16"/>
    <n v="2491.6799999999998"/>
    <n v="3"/>
    <n v="2004.48"/>
    <n v="0.55417956656346745"/>
    <s v="Cliente"/>
    <x v="1"/>
    <m/>
    <m/>
    <m/>
    <m/>
    <m/>
    <m/>
  </r>
  <r>
    <d v="2022-05-17T00:00:00"/>
    <x v="4"/>
    <x v="0"/>
    <s v="CENTRO"/>
    <n v="23497"/>
    <x v="2"/>
    <m/>
    <n v="0"/>
    <n v="0"/>
    <n v="0"/>
    <n v="0"/>
    <n v="0"/>
    <n v="0"/>
    <n v="0"/>
    <n v="0"/>
    <m/>
    <n v="0"/>
    <n v="1989.4"/>
    <n v="0"/>
    <n v="-1989.4"/>
    <n v="0"/>
    <s v="Alta sin facturar"/>
    <x v="0"/>
    <m/>
    <m/>
    <m/>
    <m/>
    <m/>
    <m/>
  </r>
  <r>
    <d v="2022-05-17T00:00:00"/>
    <x v="4"/>
    <x v="0"/>
    <s v="CENTRO"/>
    <n v="23498"/>
    <x v="1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5-17T00:00:00"/>
    <x v="4"/>
    <x v="9"/>
    <s v="NORTE"/>
    <n v="23499"/>
    <x v="2"/>
    <m/>
    <n v="1"/>
    <n v="0"/>
    <n v="0"/>
    <n v="0"/>
    <n v="0"/>
    <n v="0"/>
    <n v="1046.32"/>
    <n v="0"/>
    <m/>
    <n v="1046.32"/>
    <m/>
    <n v="1"/>
    <n v="1046.32"/>
    <n v="0"/>
    <s v="Cliente nuevo"/>
    <x v="1"/>
    <m/>
    <m/>
    <m/>
    <m/>
    <m/>
    <m/>
  </r>
  <r>
    <d v="2022-05-19T00:00:00"/>
    <x v="4"/>
    <x v="9"/>
    <s v="NORTE"/>
    <n v="23500"/>
    <x v="2"/>
    <m/>
    <n v="3"/>
    <n v="0"/>
    <n v="0"/>
    <n v="0"/>
    <n v="0"/>
    <n v="519.68000000000006"/>
    <n v="1659.96"/>
    <n v="219.24"/>
    <m/>
    <n v="2398.88"/>
    <m/>
    <n v="3"/>
    <n v="2398.88"/>
    <n v="0"/>
    <s v="Cliente"/>
    <x v="1"/>
    <m/>
    <m/>
    <m/>
    <m/>
    <m/>
    <m/>
  </r>
  <r>
    <d v="2022-05-19T00:00:00"/>
    <x v="4"/>
    <x v="25"/>
    <s v="NORTE"/>
    <n v="23501"/>
    <x v="2"/>
    <m/>
    <n v="1"/>
    <n v="0"/>
    <n v="0"/>
    <n v="0"/>
    <n v="0"/>
    <n v="0"/>
    <n v="6383.48"/>
    <n v="0"/>
    <m/>
    <n v="6383.48"/>
    <n v="0"/>
    <n v="1"/>
    <n v="6383.48"/>
    <n v="0"/>
    <s v="Cliente nuevo"/>
    <x v="1"/>
    <m/>
    <m/>
    <m/>
    <m/>
    <m/>
    <m/>
  </r>
  <r>
    <d v="2022-05-19T00:00:00"/>
    <x v="4"/>
    <x v="2"/>
    <s v="SUR"/>
    <n v="23502"/>
    <x v="2"/>
    <m/>
    <n v="2"/>
    <n v="0"/>
    <n v="0"/>
    <n v="0"/>
    <n v="0"/>
    <n v="0"/>
    <n v="2078.7200000000003"/>
    <n v="3810.6"/>
    <m/>
    <n v="5889.32"/>
    <n v="316.68"/>
    <n v="2"/>
    <n v="5572.6399999999994"/>
    <n v="5.3771912546779599E-2"/>
    <s v="Cliente nuevo"/>
    <x v="1"/>
    <m/>
    <m/>
    <m/>
    <m/>
    <m/>
    <m/>
  </r>
  <r>
    <d v="2022-05-19T00:00:00"/>
    <x v="4"/>
    <x v="16"/>
    <s v="NORTE"/>
    <n v="23503"/>
    <x v="2"/>
    <m/>
    <n v="2"/>
    <n v="0"/>
    <n v="0"/>
    <n v="0"/>
    <n v="0"/>
    <n v="0"/>
    <n v="1691.28"/>
    <n v="2924.36"/>
    <m/>
    <n v="4615.6400000000003"/>
    <n v="6383.48"/>
    <n v="2"/>
    <n v="-1767.8399999999992"/>
    <n v="1.3830108067353604"/>
    <s v="Cliente nuevo"/>
    <x v="0"/>
    <m/>
    <m/>
    <m/>
    <m/>
    <m/>
    <m/>
  </r>
  <r>
    <d v="2022-05-19T00:00:00"/>
    <x v="4"/>
    <x v="26"/>
    <s v="SUR"/>
    <n v="23504"/>
    <x v="2"/>
    <m/>
    <n v="2"/>
    <n v="0"/>
    <n v="0"/>
    <n v="0"/>
    <n v="0"/>
    <n v="0"/>
    <n v="4971.7599999999993"/>
    <n v="4997.28"/>
    <m/>
    <n v="9969.0399999999991"/>
    <n v="1102"/>
    <n v="2"/>
    <n v="8867.0399999999991"/>
    <n v="0.11054223877123576"/>
    <s v="Cliente nuevo"/>
    <x v="1"/>
    <m/>
    <m/>
    <m/>
    <m/>
    <m/>
    <m/>
  </r>
  <r>
    <d v="2022-05-20T00:00:00"/>
    <x v="4"/>
    <x v="12"/>
    <s v="CENTRO"/>
    <n v="23505"/>
    <x v="2"/>
    <m/>
    <n v="1"/>
    <n v="0"/>
    <n v="0"/>
    <n v="0"/>
    <n v="0"/>
    <n v="0"/>
    <n v="1184.3599999999999"/>
    <n v="0"/>
    <m/>
    <n v="1184.3599999999999"/>
    <n v="2924.36"/>
    <n v="1"/>
    <n v="-1740.0000000000002"/>
    <n v="2.4691478942213521"/>
    <s v="Cliente nuevo"/>
    <x v="0"/>
    <m/>
    <m/>
    <m/>
    <m/>
    <m/>
    <m/>
  </r>
  <r>
    <d v="2022-05-20T00:00:00"/>
    <x v="4"/>
    <x v="25"/>
    <s v="NORTE"/>
    <n v="23506"/>
    <x v="2"/>
    <m/>
    <n v="2"/>
    <n v="0"/>
    <n v="0"/>
    <n v="0"/>
    <n v="0"/>
    <n v="0"/>
    <n v="450.08"/>
    <n v="1742.32"/>
    <m/>
    <n v="2192.4"/>
    <n v="0"/>
    <n v="2"/>
    <n v="2192.4"/>
    <n v="0"/>
    <s v="Cliente nuevo"/>
    <x v="1"/>
    <m/>
    <m/>
    <m/>
    <m/>
    <m/>
    <m/>
  </r>
  <r>
    <d v="2022-05-20T00:00:00"/>
    <x v="4"/>
    <x v="9"/>
    <s v="NORTE"/>
    <n v="23507"/>
    <x v="2"/>
    <m/>
    <n v="2"/>
    <n v="0"/>
    <n v="0"/>
    <n v="0"/>
    <n v="0"/>
    <n v="0"/>
    <n v="5101.68"/>
    <n v="6489.04"/>
    <m/>
    <n v="11590.720000000001"/>
    <n v="0"/>
    <n v="2"/>
    <n v="11590.720000000001"/>
    <n v="0"/>
    <s v="Cliente nuevo"/>
    <x v="1"/>
    <m/>
    <m/>
    <m/>
    <m/>
    <m/>
    <m/>
  </r>
  <r>
    <d v="2022-05-20T00:00:00"/>
    <x v="4"/>
    <x v="1"/>
    <s v="CENTRO"/>
    <n v="23508"/>
    <x v="0"/>
    <m/>
    <n v="1"/>
    <n v="0"/>
    <n v="0"/>
    <n v="0"/>
    <n v="0"/>
    <n v="0"/>
    <n v="1028.92"/>
    <n v="0"/>
    <m/>
    <n v="1028.92"/>
    <n v="1742.32"/>
    <n v="1"/>
    <n v="-713.39999999999986"/>
    <n v="1.6933483652762118"/>
    <s v="Cliente nuevo"/>
    <x v="0"/>
    <m/>
    <m/>
    <m/>
    <m/>
    <m/>
    <m/>
  </r>
  <r>
    <d v="2022-05-21T00:00:00"/>
    <x v="4"/>
    <x v="6"/>
    <s v="SUR"/>
    <n v="23509"/>
    <x v="2"/>
    <m/>
    <n v="2"/>
    <n v="0"/>
    <n v="0"/>
    <n v="0"/>
    <n v="0"/>
    <n v="0"/>
    <n v="309.72000000000003"/>
    <n v="1369.96"/>
    <m/>
    <n v="1679.68"/>
    <n v="5242.04"/>
    <n v="2"/>
    <n v="-3562.3599999999997"/>
    <n v="3.1208563535911602"/>
    <s v="Cliente nuevo"/>
    <x v="0"/>
    <m/>
    <m/>
    <m/>
    <m/>
    <m/>
    <m/>
  </r>
  <r>
    <d v="2022-05-21T00:00:00"/>
    <x v="4"/>
    <x v="3"/>
    <s v="CENTRO"/>
    <n v="23510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5-23T00:00:00"/>
    <x v="4"/>
    <x v="1"/>
    <s v="CENTRO"/>
    <n v="23511"/>
    <x v="2"/>
    <m/>
    <n v="1"/>
    <n v="0"/>
    <n v="0"/>
    <n v="0"/>
    <n v="0"/>
    <n v="0"/>
    <n v="986"/>
    <n v="0"/>
    <m/>
    <n v="986"/>
    <n v="0"/>
    <n v="1"/>
    <n v="986"/>
    <n v="0"/>
    <s v="Cliente nuevo"/>
    <x v="1"/>
    <m/>
    <m/>
    <m/>
    <m/>
    <m/>
    <m/>
  </r>
  <r>
    <d v="2022-05-23T00:00:00"/>
    <x v="4"/>
    <x v="27"/>
    <s v="NORTE"/>
    <n v="23512"/>
    <x v="2"/>
    <m/>
    <n v="1"/>
    <n v="0"/>
    <n v="0"/>
    <n v="0"/>
    <n v="0"/>
    <n v="0"/>
    <n v="0"/>
    <n v="928"/>
    <m/>
    <n v="928"/>
    <m/>
    <n v="1"/>
    <n v="928"/>
    <n v="0"/>
    <s v="Cliente nuevo"/>
    <x v="1"/>
    <m/>
    <m/>
    <m/>
    <m/>
    <m/>
    <m/>
  </r>
  <r>
    <d v="2022-05-23T00:00:00"/>
    <x v="4"/>
    <x v="26"/>
    <s v="SUR"/>
    <n v="23513"/>
    <x v="2"/>
    <m/>
    <n v="2"/>
    <n v="0"/>
    <n v="0"/>
    <n v="0"/>
    <n v="0"/>
    <n v="0"/>
    <n v="377"/>
    <n v="511.56"/>
    <m/>
    <n v="888.56"/>
    <n v="0"/>
    <n v="2"/>
    <n v="888.56"/>
    <n v="0"/>
    <s v="Cliente nuevo"/>
    <x v="1"/>
    <m/>
    <m/>
    <m/>
    <m/>
    <m/>
    <m/>
  </r>
  <r>
    <d v="2022-05-23T00:00:00"/>
    <x v="4"/>
    <x v="17"/>
    <s v="CENTRO"/>
    <n v="23514"/>
    <x v="2"/>
    <m/>
    <n v="2"/>
    <n v="0"/>
    <n v="0"/>
    <n v="0"/>
    <n v="0"/>
    <n v="0"/>
    <n v="60.32"/>
    <n v="2846.64"/>
    <m/>
    <n v="2906.96"/>
    <n v="928"/>
    <n v="2"/>
    <n v="1978.96"/>
    <n v="0.31923383878691142"/>
    <s v="Cliente nuevo"/>
    <x v="1"/>
    <m/>
    <m/>
    <m/>
    <m/>
    <m/>
    <m/>
  </r>
  <r>
    <d v="2022-05-23T00:00:00"/>
    <x v="4"/>
    <x v="15"/>
    <s v="MAGALLANES"/>
    <n v="23515"/>
    <x v="2"/>
    <m/>
    <n v="2"/>
    <n v="0"/>
    <n v="0"/>
    <n v="0"/>
    <n v="0"/>
    <n v="0"/>
    <n v="989.48"/>
    <n v="1270.2"/>
    <m/>
    <n v="2259.6800000000003"/>
    <n v="0"/>
    <n v="2"/>
    <n v="2259.6800000000003"/>
    <n v="0"/>
    <s v="Cliente nuevo"/>
    <x v="1"/>
    <m/>
    <m/>
    <m/>
    <m/>
    <m/>
    <m/>
  </r>
  <r>
    <d v="2022-05-23T00:00:00"/>
    <x v="4"/>
    <x v="15"/>
    <s v="MAGALLANES"/>
    <n v="23516"/>
    <x v="0"/>
    <m/>
    <n v="1"/>
    <n v="0"/>
    <n v="0"/>
    <n v="0"/>
    <n v="0"/>
    <n v="0"/>
    <n v="2111.1999999999998"/>
    <n v="0"/>
    <m/>
    <n v="2111.1999999999998"/>
    <n v="125.28"/>
    <n v="1"/>
    <n v="1985.9199999999998"/>
    <n v="5.9340659340659345E-2"/>
    <s v="Cliente nuevo"/>
    <x v="1"/>
    <m/>
    <m/>
    <m/>
    <m/>
    <m/>
    <m/>
  </r>
  <r>
    <d v="2022-05-23T00:00:00"/>
    <x v="4"/>
    <x v="15"/>
    <s v="MAGALLANES"/>
    <n v="23517"/>
    <x v="0"/>
    <m/>
    <n v="2"/>
    <n v="0"/>
    <n v="0"/>
    <n v="0"/>
    <n v="0"/>
    <n v="0"/>
    <n v="15428"/>
    <n v="20648"/>
    <m/>
    <n v="36076"/>
    <n v="0"/>
    <n v="2"/>
    <n v="36076"/>
    <n v="0"/>
    <s v="Cliente nuevo"/>
    <x v="1"/>
    <m/>
    <m/>
    <m/>
    <m/>
    <m/>
    <m/>
  </r>
  <r>
    <d v="2022-05-23T00:00:00"/>
    <x v="4"/>
    <x v="5"/>
    <s v="CENTRO"/>
    <n v="23518"/>
    <x v="0"/>
    <m/>
    <n v="0"/>
    <n v="0"/>
    <n v="0"/>
    <n v="0"/>
    <n v="0"/>
    <n v="0"/>
    <n v="0"/>
    <n v="0"/>
    <m/>
    <n v="0"/>
    <n v="2111.1999999999998"/>
    <n v="0"/>
    <n v="-2111.1999999999998"/>
    <n v="0"/>
    <s v="Alta sin facturar"/>
    <x v="0"/>
    <m/>
    <m/>
    <m/>
    <m/>
    <m/>
    <m/>
  </r>
  <r>
    <d v="2022-05-23T00:00:00"/>
    <x v="4"/>
    <x v="14"/>
    <s v="CENTRO"/>
    <n v="23519"/>
    <x v="0"/>
    <m/>
    <n v="0"/>
    <n v="0"/>
    <n v="0"/>
    <n v="0"/>
    <n v="0"/>
    <n v="0"/>
    <n v="0"/>
    <n v="0"/>
    <m/>
    <n v="0"/>
    <n v="4060"/>
    <n v="0"/>
    <n v="-4060"/>
    <n v="0"/>
    <s v="Alta sin facturar"/>
    <x v="0"/>
    <m/>
    <m/>
    <m/>
    <m/>
    <m/>
    <m/>
  </r>
  <r>
    <d v="2022-05-24T00:00:00"/>
    <x v="4"/>
    <x v="2"/>
    <s v="SUR"/>
    <n v="23520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5-26T00:00:00"/>
    <x v="4"/>
    <x v="4"/>
    <s v="CENTRO"/>
    <n v="23521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5-26T00:00:00"/>
    <x v="4"/>
    <x v="14"/>
    <s v="CENTRO"/>
    <n v="23522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5-26T00:00:00"/>
    <x v="4"/>
    <x v="17"/>
    <s v="CENTRO"/>
    <n v="23523"/>
    <x v="2"/>
    <m/>
    <n v="2"/>
    <n v="0"/>
    <n v="0"/>
    <n v="0"/>
    <n v="0"/>
    <n v="0"/>
    <n v="716.88"/>
    <n v="1419.84"/>
    <m/>
    <n v="2136.7199999999998"/>
    <m/>
    <n v="2"/>
    <n v="2136.7199999999998"/>
    <n v="0"/>
    <s v="Cliente nuevo"/>
    <x v="1"/>
    <m/>
    <m/>
    <m/>
    <m/>
    <m/>
    <m/>
  </r>
  <r>
    <d v="2022-05-26T00:00:00"/>
    <x v="4"/>
    <x v="4"/>
    <s v="CENTRO"/>
    <n v="23524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5-26T00:00:00"/>
    <x v="4"/>
    <x v="15"/>
    <s v="MAGALLANES"/>
    <n v="23525"/>
    <x v="2"/>
    <m/>
    <n v="2"/>
    <n v="0"/>
    <n v="0"/>
    <n v="0"/>
    <n v="0"/>
    <n v="0"/>
    <n v="5121.3999999999996"/>
    <n v="5220"/>
    <m/>
    <n v="10341.4"/>
    <n v="1419.84"/>
    <n v="2"/>
    <n v="8921.56"/>
    <n v="0.1372966909702748"/>
    <s v="Cliente nuevo"/>
    <x v="1"/>
    <m/>
    <m/>
    <m/>
    <m/>
    <m/>
    <m/>
  </r>
  <r>
    <d v="2022-05-27T00:00:00"/>
    <x v="4"/>
    <x v="17"/>
    <s v="CENTRO"/>
    <n v="23526"/>
    <x v="2"/>
    <m/>
    <n v="2"/>
    <n v="0"/>
    <n v="0"/>
    <n v="0"/>
    <n v="0"/>
    <n v="0"/>
    <n v="2444.12"/>
    <n v="1788.72"/>
    <m/>
    <n v="4232.84"/>
    <m/>
    <n v="2"/>
    <n v="4232.84"/>
    <n v="0"/>
    <s v="Cliente nuevo"/>
    <x v="1"/>
    <m/>
    <m/>
    <m/>
    <m/>
    <m/>
    <m/>
  </r>
  <r>
    <d v="2022-05-27T00:00:00"/>
    <x v="4"/>
    <x v="17"/>
    <s v="CENTRO"/>
    <n v="23527"/>
    <x v="2"/>
    <m/>
    <n v="2"/>
    <n v="0"/>
    <n v="0"/>
    <n v="0"/>
    <n v="0"/>
    <n v="0"/>
    <n v="7882.2"/>
    <n v="6786"/>
    <m/>
    <n v="14668.2"/>
    <n v="10341.4"/>
    <n v="2"/>
    <n v="4326.8000000000011"/>
    <n v="0.70502174772637405"/>
    <s v="Cliente nuevo"/>
    <x v="1"/>
    <m/>
    <m/>
    <m/>
    <m/>
    <m/>
    <m/>
  </r>
  <r>
    <d v="2022-05-27T00:00:00"/>
    <x v="4"/>
    <x v="14"/>
    <s v="CENTRO"/>
    <n v="23528"/>
    <x v="2"/>
    <m/>
    <n v="2"/>
    <n v="0"/>
    <n v="0"/>
    <n v="0"/>
    <n v="0"/>
    <n v="0"/>
    <n v="7990.08"/>
    <n v="1076.48"/>
    <m/>
    <n v="9066.56"/>
    <n v="0"/>
    <n v="2"/>
    <n v="9066.56"/>
    <n v="0"/>
    <s v="Cliente nuevo"/>
    <x v="1"/>
    <m/>
    <m/>
    <m/>
    <m/>
    <m/>
    <m/>
  </r>
  <r>
    <d v="2022-05-27T00:00:00"/>
    <x v="4"/>
    <x v="2"/>
    <s v="SUR"/>
    <n v="23529"/>
    <x v="2"/>
    <m/>
    <n v="2"/>
    <n v="0"/>
    <n v="0"/>
    <n v="0"/>
    <n v="0"/>
    <n v="0"/>
    <n v="16223.76"/>
    <n v="18012.48"/>
    <m/>
    <n v="34236.239999999998"/>
    <n v="0"/>
    <n v="2"/>
    <n v="34236.239999999998"/>
    <n v="0"/>
    <s v="Cliente nuevo"/>
    <x v="1"/>
    <m/>
    <m/>
    <m/>
    <m/>
    <m/>
    <m/>
  </r>
  <r>
    <d v="2022-05-27T00:00:00"/>
    <x v="4"/>
    <x v="2"/>
    <s v="SUR"/>
    <n v="23530"/>
    <x v="2"/>
    <m/>
    <n v="2"/>
    <n v="0"/>
    <n v="0"/>
    <n v="0"/>
    <n v="0"/>
    <n v="0"/>
    <n v="8959.84"/>
    <n v="12308.76"/>
    <m/>
    <n v="21268.6"/>
    <n v="575.36"/>
    <n v="2"/>
    <n v="20693.239999999998"/>
    <n v="2.7052086173984184E-2"/>
    <s v="Cliente nuevo"/>
    <x v="1"/>
    <m/>
    <m/>
    <m/>
    <m/>
    <m/>
    <m/>
  </r>
  <r>
    <d v="2022-05-27T00:00:00"/>
    <x v="4"/>
    <x v="26"/>
    <s v="SUR"/>
    <n v="23531"/>
    <x v="0"/>
    <m/>
    <n v="1"/>
    <n v="0"/>
    <n v="0"/>
    <n v="0"/>
    <n v="0"/>
    <n v="0"/>
    <n v="0"/>
    <n v="34800"/>
    <m/>
    <n v="34800"/>
    <n v="5389.36"/>
    <n v="1"/>
    <n v="29410.639999999999"/>
    <n v="0.15486666666666665"/>
    <s v="Cliente nuevo"/>
    <x v="1"/>
    <m/>
    <m/>
    <m/>
    <m/>
    <m/>
    <m/>
  </r>
  <r>
    <d v="2022-05-30T00:00:00"/>
    <x v="4"/>
    <x v="15"/>
    <s v="MAGALLANES"/>
    <n v="23532"/>
    <x v="0"/>
    <m/>
    <n v="2"/>
    <n v="0"/>
    <n v="0"/>
    <n v="0"/>
    <n v="0"/>
    <n v="0"/>
    <n v="1298.04"/>
    <n v="1266.7199999999998"/>
    <m/>
    <n v="2564.7599999999998"/>
    <n v="6109.72"/>
    <n v="2"/>
    <n v="-3544.9600000000005"/>
    <n v="2.3821800090456811"/>
    <s v="Cliente nuevo"/>
    <x v="0"/>
    <m/>
    <m/>
    <m/>
    <m/>
    <m/>
    <m/>
  </r>
  <r>
    <d v="2022-05-30T00:00:00"/>
    <x v="4"/>
    <x v="15"/>
    <s v="MAGALLANES"/>
    <n v="23533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5-30T00:00:00"/>
    <x v="4"/>
    <x v="15"/>
    <s v="MAGALLANES"/>
    <n v="23534"/>
    <x v="0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5-31T00:00:00"/>
    <x v="4"/>
    <x v="0"/>
    <s v="CENTRO"/>
    <n v="23535"/>
    <x v="2"/>
    <m/>
    <n v="2"/>
    <n v="0"/>
    <n v="0"/>
    <n v="0"/>
    <n v="0"/>
    <n v="0"/>
    <n v="2255.04"/>
    <n v="3633.12"/>
    <m/>
    <n v="5888.16"/>
    <m/>
    <n v="2"/>
    <n v="5888.16"/>
    <n v="0"/>
    <s v="Cliente nuevo"/>
    <x v="1"/>
    <m/>
    <m/>
    <m/>
    <m/>
    <m/>
    <m/>
  </r>
  <r>
    <d v="2022-05-31T00:00:00"/>
    <x v="4"/>
    <x v="17"/>
    <s v="CENTRO"/>
    <n v="23536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5-31T00:00:00"/>
    <x v="4"/>
    <x v="27"/>
    <s v="NORTE"/>
    <n v="23537"/>
    <x v="2"/>
    <m/>
    <n v="1"/>
    <n v="0"/>
    <n v="0"/>
    <n v="0"/>
    <n v="0"/>
    <n v="0"/>
    <n v="2071.7600000000002"/>
    <n v="0"/>
    <m/>
    <n v="2071.7600000000002"/>
    <n v="0"/>
    <n v="1"/>
    <n v="2071.7600000000002"/>
    <n v="0"/>
    <s v="Cliente nuevo"/>
    <x v="1"/>
    <m/>
    <m/>
    <m/>
    <m/>
    <m/>
    <m/>
  </r>
  <r>
    <d v="2022-05-31T00:00:00"/>
    <x v="4"/>
    <x v="2"/>
    <s v="SUR"/>
    <n v="23538"/>
    <x v="2"/>
    <m/>
    <n v="2"/>
    <n v="0"/>
    <n v="0"/>
    <n v="0"/>
    <n v="0"/>
    <n v="0"/>
    <n v="5493.76"/>
    <n v="11818.08"/>
    <m/>
    <n v="17311.84"/>
    <m/>
    <n v="2"/>
    <n v="17311.84"/>
    <n v="0"/>
    <s v="Cliente nuevo"/>
    <x v="1"/>
    <m/>
    <m/>
    <m/>
    <m/>
    <m/>
    <m/>
  </r>
  <r>
    <d v="2022-05-31T00:00:00"/>
    <x v="4"/>
    <x v="15"/>
    <s v="MAGALLANES"/>
    <n v="23539"/>
    <x v="2"/>
    <m/>
    <n v="2"/>
    <n v="0"/>
    <n v="0"/>
    <n v="0"/>
    <n v="0"/>
    <n v="0"/>
    <n v="641.48"/>
    <n v="718.04"/>
    <m/>
    <n v="1359.52"/>
    <n v="0"/>
    <n v="2"/>
    <n v="1359.52"/>
    <n v="0"/>
    <s v="Cliente nuevo"/>
    <x v="1"/>
    <m/>
    <m/>
    <m/>
    <m/>
    <m/>
    <m/>
  </r>
  <r>
    <d v="2022-06-01T00:00:00"/>
    <x v="5"/>
    <x v="11"/>
    <s v="MAGALLANES"/>
    <n v="23540"/>
    <x v="0"/>
    <m/>
    <n v="1"/>
    <n v="0"/>
    <n v="0"/>
    <n v="0"/>
    <n v="0"/>
    <n v="0"/>
    <n v="336.4"/>
    <n v="0"/>
    <m/>
    <n v="336.4"/>
    <n v="9205.76"/>
    <n v="1"/>
    <n v="-8869.36"/>
    <n v="27.365517241379312"/>
    <s v="Cliente nuevo"/>
    <x v="0"/>
    <m/>
    <m/>
    <m/>
    <m/>
    <m/>
    <m/>
  </r>
  <r>
    <d v="2022-06-01T00:00:00"/>
    <x v="5"/>
    <x v="0"/>
    <s v="CENTRO"/>
    <n v="23541"/>
    <x v="2"/>
    <m/>
    <n v="1"/>
    <n v="0"/>
    <n v="0"/>
    <n v="0"/>
    <n v="0"/>
    <n v="0"/>
    <n v="0"/>
    <n v="788.8"/>
    <m/>
    <n v="788.8"/>
    <n v="718.04"/>
    <n v="1"/>
    <n v="70.759999999999991"/>
    <n v="0.91029411764705881"/>
    <s v="Cliente nuevo"/>
    <x v="1"/>
    <m/>
    <m/>
    <m/>
    <m/>
    <m/>
    <m/>
  </r>
  <r>
    <d v="2022-06-01T00:00:00"/>
    <x v="5"/>
    <x v="0"/>
    <s v="CENTRO"/>
    <n v="23542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6-02T00:00:00"/>
    <x v="5"/>
    <x v="11"/>
    <s v="MAGALLANES"/>
    <n v="23543"/>
    <x v="0"/>
    <m/>
    <n v="1"/>
    <n v="0"/>
    <n v="0"/>
    <n v="0"/>
    <n v="0"/>
    <n v="0"/>
    <n v="0"/>
    <n v="425.72"/>
    <m/>
    <n v="425.72"/>
    <n v="788.8"/>
    <n v="1"/>
    <n v="-363.07999999999993"/>
    <n v="1.8528610354223432"/>
    <s v="Cliente nuevo"/>
    <x v="0"/>
    <m/>
    <m/>
    <m/>
    <m/>
    <m/>
    <m/>
  </r>
  <r>
    <d v="2022-06-02T00:00:00"/>
    <x v="5"/>
    <x v="2"/>
    <s v="SUR"/>
    <n v="23544"/>
    <x v="2"/>
    <m/>
    <n v="2"/>
    <n v="0"/>
    <n v="0"/>
    <n v="0"/>
    <n v="0"/>
    <n v="0"/>
    <n v="3272.3599999999997"/>
    <n v="5034.3999999999996"/>
    <m/>
    <n v="8306.7599999999984"/>
    <m/>
    <n v="2"/>
    <n v="8306.7599999999984"/>
    <n v="0"/>
    <s v="Cliente nuevo"/>
    <x v="1"/>
    <m/>
    <m/>
    <m/>
    <m/>
    <m/>
    <m/>
  </r>
  <r>
    <d v="2022-06-02T00:00:00"/>
    <x v="5"/>
    <x v="11"/>
    <s v="MAGALLANES"/>
    <n v="23545"/>
    <x v="0"/>
    <m/>
    <n v="0"/>
    <n v="0"/>
    <n v="0"/>
    <n v="0"/>
    <n v="0"/>
    <n v="0"/>
    <n v="0"/>
    <n v="0"/>
    <m/>
    <n v="0"/>
    <n v="232"/>
    <n v="0"/>
    <n v="-232"/>
    <n v="0"/>
    <s v="Alta sin facturar"/>
    <x v="0"/>
    <m/>
    <m/>
    <m/>
    <m/>
    <m/>
    <m/>
  </r>
  <r>
    <d v="2022-06-02T00:00:00"/>
    <x v="5"/>
    <x v="4"/>
    <s v="CENTRO"/>
    <n v="23546"/>
    <x v="2"/>
    <m/>
    <n v="1"/>
    <n v="0"/>
    <n v="0"/>
    <n v="0"/>
    <n v="0"/>
    <n v="0"/>
    <n v="556.79999999999995"/>
    <n v="0"/>
    <m/>
    <n v="556.79999999999995"/>
    <n v="0"/>
    <n v="1"/>
    <n v="556.79999999999995"/>
    <n v="0"/>
    <s v="Cliente nuevo"/>
    <x v="1"/>
    <m/>
    <m/>
    <m/>
    <m/>
    <m/>
    <m/>
  </r>
  <r>
    <d v="2022-06-02T00:00:00"/>
    <x v="5"/>
    <x v="4"/>
    <s v="CENTRO"/>
    <n v="23547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02T00:00:00"/>
    <x v="5"/>
    <x v="27"/>
    <s v="NORTE"/>
    <n v="23548"/>
    <x v="2"/>
    <m/>
    <n v="1"/>
    <n v="0"/>
    <n v="0"/>
    <n v="0"/>
    <n v="0"/>
    <n v="0"/>
    <n v="1572.96"/>
    <n v="0"/>
    <m/>
    <n v="1572.96"/>
    <n v="556.79999999999995"/>
    <n v="1"/>
    <n v="1016.1600000000001"/>
    <n v="0.35398230088495569"/>
    <s v="Cliente nuevo"/>
    <x v="1"/>
    <m/>
    <m/>
    <m/>
    <m/>
    <m/>
    <m/>
  </r>
  <r>
    <d v="2022-06-03T00:00:00"/>
    <x v="5"/>
    <x v="11"/>
    <s v="MAGALLANES"/>
    <n v="23549"/>
    <x v="2"/>
    <m/>
    <n v="2"/>
    <n v="0"/>
    <n v="0"/>
    <n v="0"/>
    <n v="0"/>
    <n v="0"/>
    <n v="19791.919999999998"/>
    <n v="49996"/>
    <m/>
    <n v="69787.92"/>
    <m/>
    <n v="2"/>
    <n v="69787.92"/>
    <n v="0"/>
    <s v="Cliente nuevo"/>
    <x v="1"/>
    <m/>
    <m/>
    <m/>
    <m/>
    <m/>
    <m/>
  </r>
  <r>
    <d v="2022-06-03T00:00:00"/>
    <x v="5"/>
    <x v="22"/>
    <s v="NORTE"/>
    <n v="23550"/>
    <x v="2"/>
    <m/>
    <n v="2"/>
    <n v="0"/>
    <n v="0"/>
    <n v="0"/>
    <n v="0"/>
    <n v="0"/>
    <n v="5976.3200000000006"/>
    <n v="2302.6"/>
    <m/>
    <n v="8278.92"/>
    <n v="0"/>
    <n v="2"/>
    <n v="8278.92"/>
    <n v="0"/>
    <s v="Cliente nuevo"/>
    <x v="1"/>
    <m/>
    <m/>
    <m/>
    <m/>
    <m/>
    <m/>
  </r>
  <r>
    <d v="2022-06-04T00:00:00"/>
    <x v="5"/>
    <x v="2"/>
    <s v="SUR"/>
    <n v="23551"/>
    <x v="2"/>
    <m/>
    <n v="2"/>
    <n v="0"/>
    <n v="0"/>
    <n v="0"/>
    <n v="0"/>
    <n v="0"/>
    <n v="104.4"/>
    <n v="576.52"/>
    <m/>
    <n v="680.92"/>
    <n v="0"/>
    <n v="2"/>
    <n v="680.92"/>
    <n v="0"/>
    <s v="Cliente nuevo"/>
    <x v="1"/>
    <m/>
    <m/>
    <m/>
    <m/>
    <m/>
    <m/>
  </r>
  <r>
    <d v="2022-06-04T00:00:00"/>
    <x v="5"/>
    <x v="11"/>
    <s v="MAGALLANES"/>
    <n v="23552"/>
    <x v="2"/>
    <m/>
    <n v="2"/>
    <n v="0"/>
    <n v="0"/>
    <n v="0"/>
    <n v="0"/>
    <n v="0"/>
    <n v="3207.4"/>
    <n v="1775.96"/>
    <m/>
    <n v="4983.3600000000006"/>
    <n v="1581.08"/>
    <n v="2"/>
    <n v="3402.2800000000007"/>
    <n v="0.3172718808193668"/>
    <s v="Cliente nuevo"/>
    <x v="1"/>
    <m/>
    <m/>
    <m/>
    <m/>
    <m/>
    <m/>
  </r>
  <r>
    <d v="2022-06-06T00:00:00"/>
    <x v="5"/>
    <x v="26"/>
    <s v="SUR"/>
    <n v="23553"/>
    <x v="2"/>
    <m/>
    <n v="1"/>
    <n v="0"/>
    <n v="0"/>
    <n v="0"/>
    <n v="0"/>
    <n v="0"/>
    <n v="0"/>
    <n v="1179.72"/>
    <m/>
    <n v="1179.72"/>
    <n v="472.12"/>
    <n v="1"/>
    <n v="707.6"/>
    <n v="0.40019665683382499"/>
    <s v="Cliente nuevo"/>
    <x v="1"/>
    <m/>
    <m/>
    <m/>
    <m/>
    <m/>
    <m/>
  </r>
  <r>
    <d v="2022-06-06T00:00:00"/>
    <x v="5"/>
    <x v="3"/>
    <s v="CENTRO"/>
    <n v="23554"/>
    <x v="2"/>
    <m/>
    <n v="2"/>
    <n v="0"/>
    <n v="0"/>
    <n v="0"/>
    <n v="0"/>
    <n v="0"/>
    <n v="701.80000000000007"/>
    <n v="580"/>
    <m/>
    <n v="1281.8000000000002"/>
    <n v="2.71"/>
    <n v="2"/>
    <n v="1279.0900000000001"/>
    <n v="2.1142143860196595E-3"/>
    <s v="Cliente nuevo"/>
    <x v="1"/>
    <m/>
    <m/>
    <m/>
    <m/>
    <m/>
    <m/>
  </r>
  <r>
    <d v="2022-06-06T00:00:00"/>
    <x v="5"/>
    <x v="25"/>
    <s v="NORTE"/>
    <n v="23555"/>
    <x v="2"/>
    <m/>
    <n v="1"/>
    <n v="0"/>
    <n v="0"/>
    <n v="0"/>
    <n v="0"/>
    <n v="0"/>
    <n v="254.04"/>
    <n v="0"/>
    <m/>
    <n v="254.04"/>
    <n v="0"/>
    <n v="1"/>
    <n v="254.04"/>
    <n v="0"/>
    <s v="Cliente nuevo"/>
    <x v="1"/>
    <m/>
    <m/>
    <m/>
    <m/>
    <m/>
    <m/>
  </r>
  <r>
    <d v="2022-06-06T00:00:00"/>
    <x v="5"/>
    <x v="26"/>
    <s v="SUR"/>
    <n v="23556"/>
    <x v="2"/>
    <m/>
    <n v="2"/>
    <n v="0"/>
    <n v="0"/>
    <n v="0"/>
    <n v="0"/>
    <n v="0"/>
    <n v="1969.68"/>
    <n v="445.44"/>
    <m/>
    <n v="2415.12"/>
    <n v="348"/>
    <n v="2"/>
    <n v="2067.12"/>
    <n v="0.14409221902017291"/>
    <s v="Cliente nuevo"/>
    <x v="1"/>
    <m/>
    <m/>
    <m/>
    <m/>
    <m/>
    <m/>
  </r>
  <r>
    <d v="2022-06-07T00:00:00"/>
    <x v="5"/>
    <x v="8"/>
    <s v="NORTE"/>
    <n v="23557"/>
    <x v="2"/>
    <m/>
    <n v="2"/>
    <n v="0"/>
    <n v="0"/>
    <n v="0"/>
    <n v="0"/>
    <n v="0"/>
    <n v="8120"/>
    <n v="15312"/>
    <m/>
    <n v="23432"/>
    <n v="254.04"/>
    <n v="2"/>
    <n v="23177.96"/>
    <n v="1.0841584158415841E-2"/>
    <s v="Cliente nuevo"/>
    <x v="1"/>
    <m/>
    <m/>
    <m/>
    <m/>
    <m/>
    <m/>
  </r>
  <r>
    <d v="2022-06-07T00:00:00"/>
    <x v="5"/>
    <x v="10"/>
    <s v="CENTRO"/>
    <n v="23558"/>
    <x v="0"/>
    <m/>
    <n v="2"/>
    <n v="0"/>
    <n v="0"/>
    <n v="0"/>
    <n v="0"/>
    <n v="0"/>
    <n v="593.92000000000007"/>
    <n v="2230.6799999999998"/>
    <m/>
    <n v="2824.6"/>
    <n v="987.96"/>
    <n v="2"/>
    <n v="1836.6399999999999"/>
    <n v="0.34976987892090916"/>
    <s v="Cliente nuevo"/>
    <x v="1"/>
    <m/>
    <m/>
    <m/>
    <m/>
    <m/>
    <m/>
  </r>
  <r>
    <d v="2022-06-07T00:00:00"/>
    <x v="5"/>
    <x v="2"/>
    <s v="SUR"/>
    <n v="23559"/>
    <x v="2"/>
    <m/>
    <n v="2"/>
    <n v="0"/>
    <n v="0"/>
    <n v="0"/>
    <n v="0"/>
    <n v="0"/>
    <n v="2314.1999999999998"/>
    <n v="1635.6"/>
    <m/>
    <n v="3949.7999999999997"/>
    <n v="4060"/>
    <n v="2"/>
    <n v="-110.20000000000027"/>
    <n v="1.0279001468428781"/>
    <s v="Cliente nuevo"/>
    <x v="0"/>
    <m/>
    <m/>
    <m/>
    <m/>
    <m/>
    <m/>
  </r>
  <r>
    <d v="2022-06-08T00:00:00"/>
    <x v="5"/>
    <x v="29"/>
    <s v="CENTRO"/>
    <n v="23560"/>
    <x v="0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6-08T00:00:00"/>
    <x v="5"/>
    <x v="15"/>
    <s v="MAGALLANES"/>
    <n v="23561"/>
    <x v="2"/>
    <m/>
    <n v="2"/>
    <n v="0"/>
    <n v="0"/>
    <n v="0"/>
    <n v="0"/>
    <n v="0"/>
    <n v="140.36000000000001"/>
    <n v="953.5200000000001"/>
    <m/>
    <n v="1093.8800000000001"/>
    <n v="530.12"/>
    <n v="2"/>
    <n v="563.7600000000001"/>
    <n v="0.48462354188759277"/>
    <s v="Cliente nuevo"/>
    <x v="1"/>
    <m/>
    <m/>
    <m/>
    <m/>
    <m/>
    <m/>
  </r>
  <r>
    <d v="2022-06-08T00:00:00"/>
    <x v="5"/>
    <x v="17"/>
    <s v="CENTRO"/>
    <n v="23562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08T00:00:00"/>
    <x v="5"/>
    <x v="11"/>
    <s v="MAGALLANES"/>
    <n v="23563"/>
    <x v="2"/>
    <m/>
    <n v="1"/>
    <n v="0"/>
    <n v="0"/>
    <n v="0"/>
    <n v="0"/>
    <n v="0"/>
    <n v="986"/>
    <n v="0"/>
    <m/>
    <n v="986"/>
    <n v="277.24"/>
    <n v="1"/>
    <n v="708.76"/>
    <n v="0.28117647058823531"/>
    <s v="Cliente nuevo"/>
    <x v="1"/>
    <m/>
    <m/>
    <m/>
    <m/>
    <m/>
    <m/>
  </r>
  <r>
    <d v="2022-06-08T00:00:00"/>
    <x v="5"/>
    <x v="3"/>
    <s v="CENTRO"/>
    <n v="23564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09T00:00:00"/>
    <x v="5"/>
    <x v="9"/>
    <s v="NORTE"/>
    <n v="23565"/>
    <x v="2"/>
    <m/>
    <n v="2"/>
    <n v="0"/>
    <n v="0"/>
    <n v="0"/>
    <n v="0"/>
    <n v="0"/>
    <n v="380.48"/>
    <n v="244.76"/>
    <m/>
    <n v="625.24"/>
    <n v="986"/>
    <n v="2"/>
    <n v="-360.76"/>
    <n v="1.5769944341372912"/>
    <s v="Cliente nuevo"/>
    <x v="0"/>
    <m/>
    <m/>
    <m/>
    <m/>
    <m/>
    <m/>
  </r>
  <r>
    <d v="2022-06-09T00:00:00"/>
    <x v="5"/>
    <x v="13"/>
    <s v="NORTE"/>
    <n v="23566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09T00:00:00"/>
    <x v="5"/>
    <x v="28"/>
    <s v="CENTRO"/>
    <n v="23567"/>
    <x v="0"/>
    <m/>
    <n v="2"/>
    <n v="0"/>
    <n v="0"/>
    <n v="0"/>
    <n v="0"/>
    <n v="0"/>
    <n v="2859.4"/>
    <n v="4344.2"/>
    <m/>
    <n v="7203.6"/>
    <n v="90.76"/>
    <n v="2"/>
    <n v="7112.84"/>
    <n v="1.2599255927591761E-2"/>
    <s v="Cliente nuevo"/>
    <x v="1"/>
    <m/>
    <m/>
    <m/>
    <m/>
    <m/>
    <m/>
  </r>
  <r>
    <d v="2022-06-09T00:00:00"/>
    <x v="5"/>
    <x v="2"/>
    <s v="SUR"/>
    <n v="23568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09T00:00:00"/>
    <x v="5"/>
    <x v="15"/>
    <s v="MAGALLANES"/>
    <n v="23569"/>
    <x v="2"/>
    <m/>
    <n v="0"/>
    <n v="0"/>
    <n v="0"/>
    <n v="0"/>
    <n v="0"/>
    <n v="0"/>
    <n v="0"/>
    <n v="0"/>
    <m/>
    <n v="0"/>
    <n v="980.2"/>
    <n v="0"/>
    <n v="-980.2"/>
    <n v="0"/>
    <s v="Alta sin facturar"/>
    <x v="0"/>
    <m/>
    <m/>
    <m/>
    <m/>
    <m/>
    <m/>
  </r>
  <r>
    <d v="2022-06-09T00:00:00"/>
    <x v="5"/>
    <x v="15"/>
    <s v="MAGALLANES"/>
    <n v="23570"/>
    <x v="0"/>
    <m/>
    <n v="1"/>
    <n v="0"/>
    <n v="0"/>
    <n v="0"/>
    <n v="0"/>
    <n v="0"/>
    <n v="199.52"/>
    <n v="0"/>
    <m/>
    <n v="199.52"/>
    <m/>
    <n v="1"/>
    <n v="199.52"/>
    <n v="0"/>
    <s v="Cliente nuevo"/>
    <x v="1"/>
    <m/>
    <m/>
    <m/>
    <m/>
    <m/>
    <m/>
  </r>
  <r>
    <d v="2022-06-10T00:00:00"/>
    <x v="5"/>
    <x v="15"/>
    <s v="MAGALLANES"/>
    <n v="23571"/>
    <x v="2"/>
    <m/>
    <n v="2"/>
    <n v="0"/>
    <n v="0"/>
    <n v="0"/>
    <n v="0"/>
    <n v="0"/>
    <n v="812"/>
    <n v="1557.88"/>
    <m/>
    <n v="2369.88"/>
    <m/>
    <n v="2"/>
    <n v="2369.88"/>
    <n v="0"/>
    <s v="Cliente nuevo"/>
    <x v="1"/>
    <m/>
    <m/>
    <m/>
    <m/>
    <m/>
    <m/>
  </r>
  <r>
    <d v="2022-06-10T00:00:00"/>
    <x v="5"/>
    <x v="15"/>
    <s v="MAGALLANES"/>
    <n v="23572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6-10T00:00:00"/>
    <x v="5"/>
    <x v="23"/>
    <s v="MAGALLANES"/>
    <n v="23573"/>
    <x v="2"/>
    <m/>
    <n v="1"/>
    <n v="0"/>
    <n v="0"/>
    <n v="0"/>
    <n v="0"/>
    <n v="0"/>
    <n v="0"/>
    <n v="320.16000000000003"/>
    <m/>
    <n v="320.16000000000003"/>
    <n v="480.24"/>
    <n v="1"/>
    <n v="-160.07999999999998"/>
    <n v="1.5"/>
    <s v="Cliente nuevo"/>
    <x v="0"/>
    <m/>
    <m/>
    <m/>
    <m/>
    <m/>
    <m/>
  </r>
  <r>
    <d v="2022-06-10T00:00:00"/>
    <x v="5"/>
    <x v="26"/>
    <s v="SUR"/>
    <n v="23574"/>
    <x v="2"/>
    <m/>
    <n v="2"/>
    <n v="0"/>
    <n v="0"/>
    <n v="0"/>
    <n v="0"/>
    <n v="0"/>
    <n v="3041.52"/>
    <n v="6210.6399999999994"/>
    <m/>
    <n v="9252.16"/>
    <m/>
    <n v="2"/>
    <n v="9252.16"/>
    <n v="0"/>
    <s v="Cliente nuevo"/>
    <x v="1"/>
    <m/>
    <m/>
    <m/>
    <m/>
    <m/>
    <m/>
  </r>
  <r>
    <d v="2022-06-10T00:00:00"/>
    <x v="5"/>
    <x v="29"/>
    <s v="CENTRO"/>
    <n v="23575"/>
    <x v="2"/>
    <m/>
    <n v="2"/>
    <n v="0"/>
    <n v="0"/>
    <n v="0"/>
    <n v="0"/>
    <n v="0"/>
    <n v="2441.8000000000002"/>
    <n v="11343.64"/>
    <m/>
    <n v="13785.439999999999"/>
    <n v="320.16000000000003"/>
    <n v="2"/>
    <n v="13465.279999999999"/>
    <n v="2.3224503534163585E-2"/>
    <s v="Cliente nuevo"/>
    <x v="1"/>
    <m/>
    <m/>
    <m/>
    <m/>
    <m/>
    <m/>
  </r>
  <r>
    <d v="2022-06-11T00:00:00"/>
    <x v="5"/>
    <x v="6"/>
    <s v="SUR"/>
    <n v="23576"/>
    <x v="2"/>
    <m/>
    <n v="2"/>
    <n v="0"/>
    <n v="0"/>
    <n v="0"/>
    <n v="0"/>
    <n v="0"/>
    <n v="1571.8"/>
    <n v="4346.5200000000004"/>
    <m/>
    <n v="5918.3200000000006"/>
    <n v="3234.08"/>
    <n v="2"/>
    <n v="2684.2400000000007"/>
    <n v="0.54645237161897287"/>
    <s v="Cliente nuevo"/>
    <x v="1"/>
    <m/>
    <m/>
    <m/>
    <m/>
    <m/>
    <m/>
  </r>
  <r>
    <d v="2022-06-11T00:00:00"/>
    <x v="5"/>
    <x v="2"/>
    <s v="SUR"/>
    <n v="23577"/>
    <x v="2"/>
    <m/>
    <n v="1"/>
    <n v="0"/>
    <n v="0"/>
    <n v="0"/>
    <n v="0"/>
    <n v="0"/>
    <n v="904.8"/>
    <n v="0"/>
    <m/>
    <n v="904.8"/>
    <n v="580"/>
    <n v="1"/>
    <n v="324.79999999999995"/>
    <n v="0.64102564102564108"/>
    <s v="Cliente nuevo"/>
    <x v="1"/>
    <m/>
    <m/>
    <m/>
    <m/>
    <m/>
    <m/>
  </r>
  <r>
    <d v="2022-06-11T00:00:00"/>
    <x v="5"/>
    <x v="3"/>
    <s v="CENTRO"/>
    <n v="23578"/>
    <x v="2"/>
    <m/>
    <n v="2"/>
    <n v="0"/>
    <n v="0"/>
    <n v="0"/>
    <n v="0"/>
    <n v="0"/>
    <n v="607.84"/>
    <n v="488.36"/>
    <m/>
    <n v="1096.2"/>
    <n v="0"/>
    <n v="2"/>
    <n v="1096.2"/>
    <n v="0"/>
    <s v="Cliente nuevo"/>
    <x v="1"/>
    <m/>
    <m/>
    <m/>
    <m/>
    <m/>
    <m/>
  </r>
  <r>
    <d v="2022-06-11T00:00:00"/>
    <x v="5"/>
    <x v="15"/>
    <s v="MAGALLANES"/>
    <n v="23579"/>
    <x v="2"/>
    <m/>
    <n v="1"/>
    <n v="0"/>
    <n v="0"/>
    <n v="0"/>
    <n v="0"/>
    <n v="0"/>
    <n v="0"/>
    <n v="149.63999999999999"/>
    <m/>
    <n v="149.63999999999999"/>
    <n v="0"/>
    <n v="1"/>
    <n v="149.63999999999999"/>
    <n v="0"/>
    <s v="Cliente nuevo"/>
    <x v="1"/>
    <m/>
    <m/>
    <m/>
    <m/>
    <m/>
    <m/>
  </r>
  <r>
    <d v="2022-06-13T00:00:00"/>
    <x v="5"/>
    <x v="23"/>
    <s v="MAGALLANES"/>
    <n v="23580"/>
    <x v="2"/>
    <m/>
    <n v="2"/>
    <n v="0"/>
    <n v="0"/>
    <n v="0"/>
    <n v="0"/>
    <n v="0"/>
    <n v="1722.6"/>
    <n v="1049.8000000000002"/>
    <m/>
    <n v="2772.4"/>
    <n v="498.8"/>
    <n v="2"/>
    <n v="2273.6"/>
    <n v="0.1799163179916318"/>
    <s v="Cliente nuevo"/>
    <x v="1"/>
    <m/>
    <m/>
    <m/>
    <m/>
    <m/>
    <m/>
  </r>
  <r>
    <d v="2022-06-13T00:00:00"/>
    <x v="5"/>
    <x v="0"/>
    <s v="CENTRO"/>
    <n v="23581"/>
    <x v="2"/>
    <m/>
    <n v="2"/>
    <n v="0"/>
    <n v="0"/>
    <n v="0"/>
    <n v="0"/>
    <n v="0"/>
    <n v="6284.88"/>
    <n v="8729"/>
    <m/>
    <n v="15013.880000000001"/>
    <n v="0"/>
    <n v="2"/>
    <n v="15013.880000000001"/>
    <n v="0"/>
    <s v="Cliente nuevo"/>
    <x v="1"/>
    <m/>
    <m/>
    <m/>
    <m/>
    <m/>
    <m/>
  </r>
  <r>
    <d v="2022-06-13T00:00:00"/>
    <x v="5"/>
    <x v="0"/>
    <s v="CENTRO"/>
    <n v="23582"/>
    <x v="2"/>
    <m/>
    <n v="2"/>
    <n v="0"/>
    <n v="0"/>
    <n v="0"/>
    <n v="0"/>
    <n v="0"/>
    <n v="1856"/>
    <n v="928"/>
    <m/>
    <n v="2784"/>
    <n v="0"/>
    <n v="2"/>
    <n v="2784"/>
    <n v="0"/>
    <s v="Cliente nuevo"/>
    <x v="1"/>
    <m/>
    <m/>
    <m/>
    <m/>
    <m/>
    <m/>
  </r>
  <r>
    <d v="2022-06-14T00:00:00"/>
    <x v="5"/>
    <x v="13"/>
    <s v="NORTE"/>
    <n v="23583"/>
    <x v="2"/>
    <m/>
    <n v="2"/>
    <n v="0"/>
    <n v="0"/>
    <n v="0"/>
    <n v="0"/>
    <n v="0"/>
    <n v="677.44"/>
    <n v="3457.96"/>
    <m/>
    <n v="4135.3999999999996"/>
    <n v="0"/>
    <n v="2"/>
    <n v="4135.3999999999996"/>
    <n v="0"/>
    <s v="Cliente nuevo"/>
    <x v="1"/>
    <m/>
    <m/>
    <m/>
    <m/>
    <m/>
    <m/>
  </r>
  <r>
    <d v="2022-06-14T00:00:00"/>
    <x v="5"/>
    <x v="30"/>
    <s v="CENTRO"/>
    <n v="23584"/>
    <x v="2"/>
    <m/>
    <n v="2"/>
    <n v="0"/>
    <n v="0"/>
    <n v="0"/>
    <n v="0"/>
    <n v="0"/>
    <n v="513.88"/>
    <n v="2028.8400000000001"/>
    <m/>
    <n v="2542.7200000000003"/>
    <n v="0"/>
    <n v="2"/>
    <n v="2542.7200000000003"/>
    <n v="0"/>
    <s v="Cliente nuevo"/>
    <x v="1"/>
    <m/>
    <m/>
    <m/>
    <m/>
    <m/>
    <m/>
  </r>
  <r>
    <d v="2022-06-14T00:00:00"/>
    <x v="5"/>
    <x v="27"/>
    <s v="NORTE"/>
    <n v="23585"/>
    <x v="2"/>
    <m/>
    <n v="2"/>
    <n v="0"/>
    <n v="0"/>
    <n v="0"/>
    <n v="0"/>
    <n v="0"/>
    <n v="928"/>
    <n v="928"/>
    <m/>
    <n v="1856"/>
    <n v="0"/>
    <n v="2"/>
    <n v="1856"/>
    <n v="0"/>
    <s v="Cliente nuevo"/>
    <x v="1"/>
    <m/>
    <m/>
    <m/>
    <m/>
    <m/>
    <m/>
  </r>
  <r>
    <d v="2022-06-14T00:00:00"/>
    <x v="5"/>
    <x v="13"/>
    <s v="NORTE"/>
    <n v="23586"/>
    <x v="2"/>
    <m/>
    <n v="2"/>
    <n v="0"/>
    <n v="0"/>
    <n v="0"/>
    <n v="0"/>
    <n v="0"/>
    <n v="537.08000000000004"/>
    <n v="5624.8399999999992"/>
    <m/>
    <n v="6161.9199999999992"/>
    <n v="201.84"/>
    <n v="2"/>
    <n v="5960.079999999999"/>
    <n v="3.2756024096385547E-2"/>
    <s v="Cliente nuevo"/>
    <x v="1"/>
    <m/>
    <m/>
    <m/>
    <m/>
    <m/>
    <m/>
  </r>
  <r>
    <d v="2022-06-15T00:00:00"/>
    <x v="5"/>
    <x v="15"/>
    <s v="MAGALLANES"/>
    <n v="23587"/>
    <x v="0"/>
    <m/>
    <n v="1"/>
    <n v="0"/>
    <n v="0"/>
    <n v="0"/>
    <n v="0"/>
    <n v="0"/>
    <n v="958.16"/>
    <n v="0"/>
    <m/>
    <n v="958.16"/>
    <n v="1856"/>
    <n v="1"/>
    <n v="-897.84"/>
    <n v="1.937046004842615"/>
    <s v="Cliente nuevo"/>
    <x v="0"/>
    <m/>
    <m/>
    <m/>
    <m/>
    <m/>
    <m/>
  </r>
  <r>
    <d v="2022-06-15T00:00:00"/>
    <x v="5"/>
    <x v="0"/>
    <s v="CENTRO"/>
    <n v="23589"/>
    <x v="2"/>
    <m/>
    <n v="2"/>
    <n v="0"/>
    <n v="0"/>
    <n v="0"/>
    <n v="0"/>
    <n v="0"/>
    <n v="4646.96"/>
    <n v="3209.7200000000003"/>
    <m/>
    <n v="7856.68"/>
    <n v="749.36"/>
    <n v="2"/>
    <n v="7107.3200000000006"/>
    <n v="9.5378709582164475E-2"/>
    <s v="Cliente nuevo"/>
    <x v="1"/>
    <m/>
    <m/>
    <m/>
    <m/>
    <m/>
    <m/>
  </r>
  <r>
    <d v="2022-06-16T00:00:00"/>
    <x v="5"/>
    <x v="3"/>
    <s v="CENTRO"/>
    <n v="23590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6-16T00:00:00"/>
    <x v="5"/>
    <x v="6"/>
    <s v="SUR"/>
    <n v="23591"/>
    <x v="2"/>
    <m/>
    <n v="2"/>
    <n v="0"/>
    <n v="0"/>
    <n v="0"/>
    <n v="0"/>
    <n v="0"/>
    <n v="1017.32"/>
    <n v="1837.4399999999998"/>
    <m/>
    <n v="2854.7599999999998"/>
    <n v="0"/>
    <n v="2"/>
    <n v="2854.7599999999998"/>
    <n v="0"/>
    <s v="Cliente nuevo"/>
    <x v="1"/>
    <m/>
    <m/>
    <m/>
    <m/>
    <m/>
    <m/>
  </r>
  <r>
    <d v="2022-06-16T00:00:00"/>
    <x v="5"/>
    <x v="13"/>
    <s v="NORTE"/>
    <n v="23592"/>
    <x v="2"/>
    <m/>
    <n v="2"/>
    <n v="0"/>
    <n v="0"/>
    <n v="0"/>
    <n v="0"/>
    <n v="0"/>
    <n v="9419.2000000000007"/>
    <n v="28820.2"/>
    <m/>
    <n v="38239.4"/>
    <m/>
    <n v="2"/>
    <n v="38239.4"/>
    <n v="0"/>
    <s v="Cliente nuevo"/>
    <x v="1"/>
    <m/>
    <m/>
    <m/>
    <m/>
    <m/>
    <m/>
  </r>
  <r>
    <d v="2022-06-16T00:00:00"/>
    <x v="5"/>
    <x v="4"/>
    <s v="CENTRO"/>
    <n v="23593"/>
    <x v="2"/>
    <m/>
    <n v="1"/>
    <n v="0"/>
    <n v="0"/>
    <n v="0"/>
    <n v="0"/>
    <n v="0"/>
    <n v="0"/>
    <n v="18086.72"/>
    <m/>
    <n v="18086.72"/>
    <n v="1139.1199999999999"/>
    <n v="1"/>
    <n v="16947.600000000002"/>
    <n v="6.2981015905592602E-2"/>
    <s v="Cliente nuevo"/>
    <x v="1"/>
    <m/>
    <m/>
    <m/>
    <m/>
    <m/>
    <m/>
  </r>
  <r>
    <d v="2022-06-16T00:00:00"/>
    <x v="5"/>
    <x v="4"/>
    <s v="CENTRO"/>
    <n v="23594"/>
    <x v="0"/>
    <m/>
    <n v="2"/>
    <n v="0"/>
    <n v="0"/>
    <n v="0"/>
    <n v="0"/>
    <n v="0"/>
    <n v="812"/>
    <n v="10440"/>
    <m/>
    <n v="11252"/>
    <n v="33733.96"/>
    <n v="2"/>
    <n v="-22481.96"/>
    <n v="2.998041237113402"/>
    <s v="Cliente nuevo"/>
    <x v="0"/>
    <m/>
    <m/>
    <m/>
    <m/>
    <m/>
    <m/>
  </r>
  <r>
    <d v="2022-06-17T00:00:00"/>
    <x v="5"/>
    <x v="0"/>
    <s v="CENTRO"/>
    <n v="23595"/>
    <x v="2"/>
    <m/>
    <n v="1"/>
    <n v="0"/>
    <n v="0"/>
    <n v="0"/>
    <n v="0"/>
    <n v="0"/>
    <n v="0"/>
    <n v="3154.04"/>
    <m/>
    <n v="3154.04"/>
    <n v="0"/>
    <n v="1"/>
    <n v="3154.04"/>
    <n v="0"/>
    <s v="Cliente nuevo"/>
    <x v="1"/>
    <m/>
    <m/>
    <m/>
    <m/>
    <m/>
    <m/>
  </r>
  <r>
    <d v="2022-06-17T00:00:00"/>
    <x v="5"/>
    <x v="6"/>
    <s v="SUR"/>
    <n v="23596"/>
    <x v="0"/>
    <m/>
    <n v="0"/>
    <n v="0"/>
    <n v="0"/>
    <n v="0"/>
    <n v="0"/>
    <n v="0"/>
    <n v="0"/>
    <n v="0"/>
    <m/>
    <n v="0"/>
    <n v="5974"/>
    <n v="0"/>
    <n v="-5974"/>
    <n v="0"/>
    <s v="Alta sin facturar"/>
    <x v="0"/>
    <m/>
    <m/>
    <m/>
    <m/>
    <m/>
    <m/>
  </r>
  <r>
    <d v="2022-06-18T00:00:00"/>
    <x v="5"/>
    <x v="22"/>
    <s v="NORTE"/>
    <n v="23597"/>
    <x v="0"/>
    <m/>
    <n v="1"/>
    <n v="0"/>
    <n v="0"/>
    <n v="0"/>
    <n v="0"/>
    <n v="0"/>
    <n v="0"/>
    <n v="13527.92"/>
    <m/>
    <n v="13527.92"/>
    <n v="1448.84"/>
    <n v="1"/>
    <n v="12079.08"/>
    <n v="0.10709998285028297"/>
    <s v="Cliente nuevo"/>
    <x v="1"/>
    <m/>
    <m/>
    <m/>
    <m/>
    <m/>
    <m/>
  </r>
  <r>
    <d v="2022-06-18T00:00:00"/>
    <x v="5"/>
    <x v="1"/>
    <s v="CENTRO"/>
    <n v="23598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18T00:00:00"/>
    <x v="5"/>
    <x v="1"/>
    <s v="CENTRO"/>
    <n v="23599"/>
    <x v="0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6-18T00:00:00"/>
    <x v="5"/>
    <x v="1"/>
    <s v="CENTRO"/>
    <n v="23600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18T00:00:00"/>
    <x v="5"/>
    <x v="1"/>
    <s v="CENTRO"/>
    <n v="23601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18T00:00:00"/>
    <x v="5"/>
    <x v="6"/>
    <s v="SUR"/>
    <n v="23602"/>
    <x v="2"/>
    <m/>
    <n v="1"/>
    <n v="0"/>
    <n v="0"/>
    <n v="0"/>
    <n v="0"/>
    <n v="0"/>
    <n v="0"/>
    <n v="261"/>
    <m/>
    <n v="261"/>
    <m/>
    <n v="1"/>
    <n v="261"/>
    <n v="0"/>
    <s v="Cliente nuevo"/>
    <x v="1"/>
    <m/>
    <m/>
    <m/>
    <m/>
    <m/>
    <m/>
  </r>
  <r>
    <d v="2022-06-20T00:00:00"/>
    <x v="5"/>
    <x v="17"/>
    <s v="CENTRO"/>
    <n v="23603"/>
    <x v="2"/>
    <m/>
    <n v="2"/>
    <n v="0"/>
    <n v="0"/>
    <n v="0"/>
    <n v="0"/>
    <n v="0"/>
    <n v="324.8"/>
    <n v="1842.08"/>
    <m/>
    <n v="2166.88"/>
    <m/>
    <n v="2"/>
    <n v="2166.88"/>
    <n v="0"/>
    <s v="Cliente nuevo"/>
    <x v="1"/>
    <m/>
    <m/>
    <m/>
    <m/>
    <m/>
    <m/>
  </r>
  <r>
    <d v="2022-06-20T00:00:00"/>
    <x v="5"/>
    <x v="2"/>
    <s v="SUR"/>
    <n v="23604"/>
    <x v="0"/>
    <m/>
    <n v="2"/>
    <n v="0"/>
    <n v="0"/>
    <n v="0"/>
    <n v="0"/>
    <n v="0"/>
    <n v="363.08"/>
    <n v="7933.24"/>
    <m/>
    <n v="8296.32"/>
    <n v="0"/>
    <n v="2"/>
    <n v="8296.32"/>
    <n v="0"/>
    <s v="Cliente nuevo"/>
    <x v="1"/>
    <m/>
    <m/>
    <m/>
    <m/>
    <m/>
    <m/>
  </r>
  <r>
    <d v="2022-06-20T00:00:00"/>
    <x v="5"/>
    <x v="0"/>
    <s v="CENTRO"/>
    <n v="23605"/>
    <x v="2"/>
    <m/>
    <n v="2"/>
    <n v="0"/>
    <n v="0"/>
    <n v="0"/>
    <n v="0"/>
    <n v="0"/>
    <n v="635.67999999999995"/>
    <n v="5094.7199999999993"/>
    <m/>
    <n v="5730.4"/>
    <n v="649.59999999999991"/>
    <n v="2"/>
    <n v="5080.7999999999993"/>
    <n v="0.11336032388663966"/>
    <s v="Cliente nuevo"/>
    <x v="1"/>
    <m/>
    <m/>
    <m/>
    <m/>
    <m/>
    <m/>
  </r>
  <r>
    <d v="2022-06-20T00:00:00"/>
    <x v="5"/>
    <x v="0"/>
    <s v="CENTRO"/>
    <n v="23606"/>
    <x v="0"/>
    <m/>
    <n v="0"/>
    <n v="0"/>
    <n v="0"/>
    <n v="0"/>
    <n v="0"/>
    <n v="0"/>
    <n v="0"/>
    <n v="0"/>
    <m/>
    <n v="0"/>
    <n v="3438.24"/>
    <n v="0"/>
    <n v="-3438.24"/>
    <n v="0"/>
    <s v="Alta sin facturar"/>
    <x v="0"/>
    <m/>
    <m/>
    <m/>
    <m/>
    <m/>
    <m/>
  </r>
  <r>
    <d v="2022-06-20T00:00:00"/>
    <x v="5"/>
    <x v="12"/>
    <s v="CENTRO"/>
    <n v="23607"/>
    <x v="0"/>
    <m/>
    <n v="2"/>
    <n v="0"/>
    <n v="0"/>
    <n v="0"/>
    <n v="0"/>
    <n v="0"/>
    <n v="1567.16"/>
    <n v="11362.2"/>
    <m/>
    <n v="12929.36"/>
    <n v="1930.24"/>
    <n v="2"/>
    <n v="10999.12"/>
    <n v="0.14929122555176744"/>
    <s v="Cliente nuevo"/>
    <x v="1"/>
    <m/>
    <m/>
    <m/>
    <m/>
    <m/>
    <m/>
  </r>
  <r>
    <d v="2022-06-21T00:00:00"/>
    <x v="5"/>
    <x v="0"/>
    <s v="CENTRO"/>
    <n v="23608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21T00:00:00"/>
    <x v="5"/>
    <x v="0"/>
    <s v="CENTRO"/>
    <n v="23609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6-22T00:00:00"/>
    <x v="5"/>
    <x v="8"/>
    <s v="NORTE"/>
    <n v="23610"/>
    <x v="2"/>
    <m/>
    <n v="1"/>
    <n v="0"/>
    <n v="0"/>
    <n v="0"/>
    <n v="0"/>
    <n v="0"/>
    <n v="0"/>
    <n v="9222"/>
    <m/>
    <n v="9222"/>
    <m/>
    <n v="1"/>
    <n v="9222"/>
    <n v="0"/>
    <s v="Cliente nuevo"/>
    <x v="1"/>
    <m/>
    <m/>
    <m/>
    <m/>
    <m/>
    <m/>
  </r>
  <r>
    <d v="2022-06-22T00:00:00"/>
    <x v="5"/>
    <x v="23"/>
    <s v="MAGALLANES"/>
    <n v="23611"/>
    <x v="0"/>
    <m/>
    <n v="1"/>
    <n v="0"/>
    <n v="0"/>
    <n v="0"/>
    <n v="0"/>
    <n v="0"/>
    <n v="0"/>
    <n v="2079.88"/>
    <m/>
    <n v="2079.88"/>
    <m/>
    <n v="1"/>
    <n v="2079.88"/>
    <n v="0"/>
    <s v="Cliente nuevo"/>
    <x v="1"/>
    <m/>
    <m/>
    <m/>
    <m/>
    <m/>
    <m/>
  </r>
  <r>
    <d v="2022-06-22T00:00:00"/>
    <x v="5"/>
    <x v="28"/>
    <s v="CENTRO"/>
    <n v="23612"/>
    <x v="2"/>
    <m/>
    <n v="2"/>
    <n v="0"/>
    <n v="0"/>
    <n v="0"/>
    <n v="0"/>
    <n v="0"/>
    <n v="17216.72"/>
    <n v="12634.72"/>
    <m/>
    <n v="29851.440000000002"/>
    <n v="5974"/>
    <n v="2"/>
    <n v="23877.440000000002"/>
    <n v="0.20012434911012666"/>
    <s v="Cliente nuevo"/>
    <x v="1"/>
    <m/>
    <m/>
    <m/>
    <m/>
    <m/>
    <m/>
  </r>
  <r>
    <d v="2022-06-22T00:00:00"/>
    <x v="5"/>
    <x v="13"/>
    <s v="NORTE"/>
    <n v="23613"/>
    <x v="0"/>
    <m/>
    <n v="0"/>
    <n v="0"/>
    <n v="0"/>
    <n v="0"/>
    <n v="0"/>
    <n v="0"/>
    <n v="0"/>
    <n v="0"/>
    <m/>
    <n v="0"/>
    <n v="1491.76"/>
    <n v="0"/>
    <n v="-1491.76"/>
    <n v="0"/>
    <s v="Alta sin facturar"/>
    <x v="0"/>
    <m/>
    <m/>
    <m/>
    <m/>
    <m/>
    <m/>
  </r>
  <r>
    <d v="2022-06-22T00:00:00"/>
    <x v="5"/>
    <x v="23"/>
    <s v="MAGALLANES"/>
    <n v="23614"/>
    <x v="2"/>
    <m/>
    <n v="1"/>
    <n v="0"/>
    <n v="0"/>
    <n v="0"/>
    <n v="0"/>
    <n v="0"/>
    <n v="0"/>
    <n v="189.08"/>
    <m/>
    <n v="189.08"/>
    <n v="0"/>
    <n v="1"/>
    <n v="189.08"/>
    <n v="0"/>
    <s v="Cliente nuevo"/>
    <x v="1"/>
    <m/>
    <m/>
    <m/>
    <m/>
    <m/>
    <m/>
  </r>
  <r>
    <d v="2022-06-22T00:00:00"/>
    <x v="5"/>
    <x v="8"/>
    <s v="NORTE"/>
    <n v="23615"/>
    <x v="0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22T00:00:00"/>
    <x v="5"/>
    <x v="13"/>
    <s v="NORTE"/>
    <n v="23616"/>
    <x v="2"/>
    <m/>
    <n v="1"/>
    <n v="0"/>
    <n v="0"/>
    <n v="0"/>
    <n v="0"/>
    <n v="0"/>
    <n v="0"/>
    <n v="3377.9199999999996"/>
    <m/>
    <n v="3377.9199999999996"/>
    <n v="0"/>
    <n v="1"/>
    <n v="3377.9199999999996"/>
    <n v="0"/>
    <s v="Cliente nuevo"/>
    <x v="1"/>
    <m/>
    <m/>
    <m/>
    <m/>
    <m/>
    <m/>
  </r>
  <r>
    <d v="2022-06-23T00:00:00"/>
    <x v="5"/>
    <x v="28"/>
    <s v="CENTRO"/>
    <n v="23617"/>
    <x v="2"/>
    <m/>
    <n v="0"/>
    <n v="0"/>
    <n v="0"/>
    <n v="0"/>
    <n v="0"/>
    <n v="0"/>
    <n v="0"/>
    <n v="0"/>
    <m/>
    <n v="0"/>
    <m/>
    <n v="0"/>
    <n v="0"/>
    <n v="0"/>
    <s v="Alta sin facturar"/>
    <x v="0"/>
    <m/>
    <m/>
    <m/>
    <m/>
    <m/>
    <m/>
  </r>
  <r>
    <d v="2022-06-23T00:00:00"/>
    <x v="5"/>
    <x v="10"/>
    <s v="CENTRO"/>
    <n v="23618"/>
    <x v="2"/>
    <m/>
    <n v="1"/>
    <n v="0"/>
    <n v="0"/>
    <n v="0"/>
    <n v="0"/>
    <n v="0"/>
    <n v="0"/>
    <n v="433.84"/>
    <m/>
    <n v="433.84"/>
    <n v="0"/>
    <n v="1"/>
    <n v="433.84"/>
    <n v="0"/>
    <s v="Cliente nuevo"/>
    <x v="1"/>
    <m/>
    <m/>
    <m/>
    <m/>
    <m/>
    <m/>
  </r>
  <r>
    <d v="2022-06-23T00:00:00"/>
    <x v="5"/>
    <x v="17"/>
    <s v="CENTRO"/>
    <n v="23619"/>
    <x v="2"/>
    <m/>
    <n v="1"/>
    <n v="0"/>
    <n v="0"/>
    <n v="0"/>
    <n v="0"/>
    <n v="0"/>
    <n v="0"/>
    <n v="414.12"/>
    <m/>
    <n v="414.12"/>
    <m/>
    <n v="1"/>
    <n v="414.12"/>
    <n v="0"/>
    <s v="Cliente nuevo"/>
    <x v="1"/>
    <m/>
    <m/>
    <m/>
    <m/>
    <m/>
    <m/>
  </r>
  <r>
    <d v="2022-06-23T00:00:00"/>
    <x v="5"/>
    <x v="11"/>
    <s v="MAGALLANES"/>
    <n v="23620"/>
    <x v="2"/>
    <m/>
    <n v="1"/>
    <n v="0"/>
    <n v="0"/>
    <n v="0"/>
    <n v="0"/>
    <n v="0"/>
    <n v="0"/>
    <n v="3422"/>
    <m/>
    <n v="3422"/>
    <n v="0"/>
    <n v="1"/>
    <n v="3422"/>
    <n v="0"/>
    <s v="Cliente nuevo"/>
    <x v="1"/>
    <m/>
    <m/>
    <m/>
    <m/>
    <m/>
    <m/>
  </r>
  <r>
    <d v="2022-06-23T00:00:00"/>
    <x v="5"/>
    <x v="17"/>
    <s v="CENTRO"/>
    <n v="23621"/>
    <x v="2"/>
    <m/>
    <n v="1"/>
    <n v="0"/>
    <n v="0"/>
    <n v="0"/>
    <n v="0"/>
    <n v="0"/>
    <n v="0"/>
    <n v="1802.64"/>
    <m/>
    <n v="1802.64"/>
    <n v="276.08"/>
    <n v="1"/>
    <n v="1526.5600000000002"/>
    <n v="0.15315315315315314"/>
    <s v="Cliente nuevo"/>
    <x v="1"/>
    <m/>
    <m/>
    <m/>
    <m/>
    <m/>
    <m/>
  </r>
  <r>
    <d v="2022-06-23T00:00:00"/>
    <x v="5"/>
    <x v="11"/>
    <s v="MAGALLANES"/>
    <n v="23622"/>
    <x v="0"/>
    <m/>
    <n v="2"/>
    <n v="0"/>
    <n v="0"/>
    <n v="0"/>
    <n v="0"/>
    <n v="0"/>
    <n v="835.2"/>
    <n v="2774.72"/>
    <m/>
    <n v="3609.92"/>
    <n v="3422"/>
    <n v="2"/>
    <n v="187.92000000000007"/>
    <n v="0.94794344473007708"/>
    <s v="Cliente nuevo"/>
    <x v="1"/>
    <m/>
    <m/>
    <m/>
    <m/>
    <m/>
    <m/>
  </r>
  <r>
    <d v="2022-06-24T00:00:00"/>
    <x v="5"/>
    <x v="26"/>
    <s v="SUR"/>
    <n v="23623"/>
    <x v="0"/>
    <m/>
    <n v="1"/>
    <n v="0"/>
    <n v="0"/>
    <n v="0"/>
    <n v="0"/>
    <n v="0"/>
    <n v="0"/>
    <n v="1932.56"/>
    <m/>
    <n v="1932.56"/>
    <n v="887.40000000000009"/>
    <n v="1"/>
    <n v="1045.1599999999999"/>
    <n v="0.45918367346938782"/>
    <s v="Cliente nuevo"/>
    <x v="1"/>
    <m/>
    <m/>
    <m/>
    <m/>
    <m/>
    <m/>
  </r>
  <r>
    <d v="2022-06-24T00:00:00"/>
    <x v="5"/>
    <x v="26"/>
    <s v="SUR"/>
    <n v="23624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6-25T00:00:00"/>
    <x v="5"/>
    <x v="9"/>
    <s v="NORTE"/>
    <n v="23625"/>
    <x v="2"/>
    <m/>
    <n v="0"/>
    <n v="0"/>
    <n v="0"/>
    <n v="0"/>
    <n v="0"/>
    <n v="0"/>
    <n v="0"/>
    <n v="0"/>
    <m/>
    <n v="0"/>
    <n v="56.84"/>
    <n v="0"/>
    <n v="-56.84"/>
    <n v="0"/>
    <s v="Alta sin facturar"/>
    <x v="0"/>
    <m/>
    <m/>
    <m/>
    <m/>
    <m/>
    <m/>
  </r>
  <r>
    <d v="2022-06-25T00:00:00"/>
    <x v="5"/>
    <x v="15"/>
    <s v="MAGALLANES"/>
    <n v="23626"/>
    <x v="0"/>
    <m/>
    <n v="1"/>
    <n v="0"/>
    <n v="0"/>
    <n v="0"/>
    <n v="0"/>
    <n v="0"/>
    <n v="0"/>
    <n v="3267.72"/>
    <m/>
    <n v="3267.72"/>
    <m/>
    <n v="1"/>
    <n v="3267.72"/>
    <n v="0"/>
    <s v="Cliente nuevo"/>
    <x v="1"/>
    <m/>
    <m/>
    <m/>
    <m/>
    <m/>
    <m/>
  </r>
  <r>
    <d v="2022-06-25T00:00:00"/>
    <x v="5"/>
    <x v="15"/>
    <s v="MAGALLANES"/>
    <n v="23627"/>
    <x v="0"/>
    <m/>
    <n v="1"/>
    <n v="0"/>
    <n v="0"/>
    <n v="0"/>
    <n v="0"/>
    <n v="0"/>
    <n v="0"/>
    <n v="2303.7599999999998"/>
    <m/>
    <n v="2303.7599999999998"/>
    <m/>
    <n v="1"/>
    <n v="2303.7599999999998"/>
    <n v="0"/>
    <s v="Cliente nuevo"/>
    <x v="1"/>
    <m/>
    <m/>
    <m/>
    <m/>
    <m/>
    <m/>
  </r>
  <r>
    <d v="2022-06-25T00:00:00"/>
    <x v="5"/>
    <x v="8"/>
    <s v="NORTE"/>
    <n v="23628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6-27T00:00:00"/>
    <x v="5"/>
    <x v="12"/>
    <s v="CENTRO"/>
    <n v="23629"/>
    <x v="2"/>
    <m/>
    <n v="0"/>
    <n v="0"/>
    <n v="0"/>
    <n v="0"/>
    <n v="0"/>
    <n v="0"/>
    <n v="0"/>
    <n v="0"/>
    <m/>
    <n v="0"/>
    <n v="156.6"/>
    <n v="0"/>
    <n v="-156.6"/>
    <n v="0"/>
    <s v="Alta sin facturar"/>
    <x v="0"/>
    <m/>
    <m/>
    <m/>
    <m/>
    <m/>
    <m/>
  </r>
  <r>
    <d v="2022-06-27T00:00:00"/>
    <x v="5"/>
    <x v="0"/>
    <s v="CENTRO"/>
    <n v="23630"/>
    <x v="0"/>
    <m/>
    <n v="1"/>
    <n v="0"/>
    <n v="0"/>
    <n v="0"/>
    <n v="0"/>
    <n v="0"/>
    <n v="0"/>
    <n v="5935.7199999999993"/>
    <m/>
    <n v="5935.7199999999993"/>
    <m/>
    <n v="1"/>
    <n v="5935.7199999999993"/>
    <n v="0"/>
    <s v="Cliente nuevo"/>
    <x v="1"/>
    <m/>
    <m/>
    <m/>
    <m/>
    <m/>
    <m/>
  </r>
  <r>
    <d v="2022-06-27T00:00:00"/>
    <x v="5"/>
    <x v="2"/>
    <s v="SUR"/>
    <n v="23631"/>
    <x v="0"/>
    <m/>
    <n v="1"/>
    <n v="0"/>
    <n v="0"/>
    <n v="0"/>
    <n v="0"/>
    <n v="0"/>
    <n v="0"/>
    <n v="396.72"/>
    <m/>
    <n v="396.72"/>
    <m/>
    <n v="1"/>
    <n v="396.72"/>
    <n v="0"/>
    <s v="Cliente nuevo"/>
    <x v="1"/>
    <m/>
    <m/>
    <m/>
    <m/>
    <m/>
    <m/>
  </r>
  <r>
    <d v="2022-06-28T00:00:00"/>
    <x v="5"/>
    <x v="4"/>
    <s v="CENTRO"/>
    <n v="23632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6-28T00:00:00"/>
    <x v="5"/>
    <x v="4"/>
    <s v="CENTRO"/>
    <n v="23633"/>
    <x v="2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  <r>
    <d v="2022-06-29T00:00:00"/>
    <x v="5"/>
    <x v="31"/>
    <s v="SUR"/>
    <n v="23635"/>
    <x v="2"/>
    <m/>
    <n v="1"/>
    <n v="0"/>
    <n v="0"/>
    <n v="0"/>
    <n v="0"/>
    <n v="0"/>
    <n v="0"/>
    <n v="2367.56"/>
    <m/>
    <n v="2367.56"/>
    <m/>
    <n v="1"/>
    <n v="2367.56"/>
    <n v="0"/>
    <s v="Cliente nuevo"/>
    <x v="1"/>
    <m/>
    <m/>
    <m/>
    <m/>
    <m/>
    <m/>
  </r>
  <r>
    <d v="2022-06-29T00:00:00"/>
    <x v="5"/>
    <x v="31"/>
    <s v="SUR"/>
    <n v="23636"/>
    <x v="2"/>
    <m/>
    <n v="1"/>
    <n v="0"/>
    <n v="0"/>
    <n v="0"/>
    <n v="0"/>
    <n v="0"/>
    <n v="0"/>
    <n v="585.79999999999995"/>
    <m/>
    <n v="585.79999999999995"/>
    <m/>
    <n v="1"/>
    <n v="585.79999999999995"/>
    <n v="0"/>
    <s v="Cliente nuevo"/>
    <x v="1"/>
    <m/>
    <m/>
    <m/>
    <m/>
    <m/>
    <m/>
  </r>
  <r>
    <d v="2022-06-29T00:00:00"/>
    <x v="5"/>
    <x v="23"/>
    <s v="MAGALLANES"/>
    <n v="23637"/>
    <x v="2"/>
    <m/>
    <n v="1"/>
    <n v="0"/>
    <n v="0"/>
    <n v="0"/>
    <n v="0"/>
    <n v="0"/>
    <n v="0"/>
    <n v="464"/>
    <m/>
    <n v="464"/>
    <n v="2046.2399999999998"/>
    <n v="1"/>
    <n v="-1582.2399999999998"/>
    <n v="4.4099999999999993"/>
    <s v="Cliente nuevo"/>
    <x v="0"/>
    <m/>
    <m/>
    <m/>
    <m/>
    <m/>
    <m/>
  </r>
  <r>
    <d v="2022-06-30T00:00:00"/>
    <x v="5"/>
    <x v="8"/>
    <s v="NORTE"/>
    <n v="23638"/>
    <x v="2"/>
    <m/>
    <n v="1"/>
    <n v="0"/>
    <n v="0"/>
    <n v="0"/>
    <n v="0"/>
    <n v="0"/>
    <n v="0"/>
    <n v="11399.32"/>
    <m/>
    <n v="11399.32"/>
    <n v="331.76"/>
    <n v="1"/>
    <n v="11067.56"/>
    <n v="2.910349038363692E-2"/>
    <s v="Cliente nuevo"/>
    <x v="1"/>
    <m/>
    <m/>
    <m/>
    <m/>
    <m/>
    <m/>
  </r>
  <r>
    <d v="2022-06-30T00:00:00"/>
    <x v="5"/>
    <x v="27"/>
    <s v="NORTE"/>
    <n v="23639"/>
    <x v="2"/>
    <m/>
    <n v="1"/>
    <n v="0"/>
    <n v="0"/>
    <n v="0"/>
    <n v="0"/>
    <n v="0"/>
    <n v="0"/>
    <n v="84.68"/>
    <m/>
    <n v="84.68"/>
    <n v="464"/>
    <n v="1"/>
    <n v="-379.32"/>
    <n v="5.4794520547945202"/>
    <s v="Cliente nuevo"/>
    <x v="0"/>
    <m/>
    <m/>
    <m/>
    <m/>
    <m/>
    <m/>
  </r>
  <r>
    <d v="2022-06-30T00:00:00"/>
    <x v="5"/>
    <x v="25"/>
    <s v="NORTE"/>
    <n v="23640"/>
    <x v="2"/>
    <m/>
    <n v="1"/>
    <n v="0"/>
    <n v="0"/>
    <n v="0"/>
    <n v="0"/>
    <n v="0"/>
    <n v="0"/>
    <n v="991.8"/>
    <m/>
    <n v="991.8"/>
    <n v="0"/>
    <n v="1"/>
    <n v="991.8"/>
    <n v="0"/>
    <s v="Cliente nuevo"/>
    <x v="1"/>
    <m/>
    <m/>
    <m/>
    <m/>
    <m/>
    <m/>
  </r>
  <r>
    <d v="2022-06-30T00:00:00"/>
    <x v="5"/>
    <x v="25"/>
    <s v="NORTE"/>
    <n v="23641"/>
    <x v="0"/>
    <m/>
    <n v="1"/>
    <n v="0"/>
    <n v="0"/>
    <n v="0"/>
    <n v="0"/>
    <n v="0"/>
    <n v="0"/>
    <n v="4795.4400000000005"/>
    <m/>
    <n v="4795.4400000000005"/>
    <n v="84.68"/>
    <n v="1"/>
    <n v="4710.76"/>
    <n v="1.7658442186744071E-2"/>
    <s v="Cliente nuevo"/>
    <x v="1"/>
    <m/>
    <m/>
    <m/>
    <m/>
    <m/>
    <m/>
  </r>
  <r>
    <d v="2022-07-01T00:00:00"/>
    <x v="6"/>
    <x v="15"/>
    <s v="MAGALLANES"/>
    <n v="23642"/>
    <x v="0"/>
    <m/>
    <m/>
    <n v="0"/>
    <n v="0"/>
    <n v="0"/>
    <n v="0"/>
    <n v="0"/>
    <n v="0"/>
    <n v="91.64"/>
    <m/>
    <n v="91.64"/>
    <n v="784.8"/>
    <n v="1"/>
    <n v="-693.16"/>
    <n v="8.5639458751636841"/>
    <s v="Cliente nuevo"/>
    <x v="0"/>
    <m/>
    <m/>
    <m/>
    <m/>
    <m/>
    <m/>
  </r>
  <r>
    <d v="2022-07-01T00:00:00"/>
    <x v="6"/>
    <x v="15"/>
    <s v="MAGALLANES"/>
    <n v="23643"/>
    <x v="0"/>
    <m/>
    <n v="0"/>
    <n v="0"/>
    <n v="0"/>
    <n v="0"/>
    <n v="0"/>
    <n v="0"/>
    <n v="0"/>
    <n v="0"/>
    <m/>
    <n v="0"/>
    <n v="0"/>
    <n v="0"/>
    <n v="0"/>
    <n v="0"/>
    <s v="Alta sin facturar"/>
    <x v="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d v="2022-01-03T00:00:00"/>
    <x v="0"/>
    <s v="Miguel Ángel Romero"/>
    <s v="CENTRO"/>
    <n v="23080"/>
    <s v="Alta sin facturar"/>
    <m/>
    <n v="0"/>
    <n v="0"/>
    <n v="0"/>
    <n v="0"/>
    <n v="0"/>
    <n v="0"/>
    <n v="0"/>
    <n v="0"/>
    <n v="1"/>
    <n v="0"/>
    <m/>
    <n v="0"/>
    <n v="0"/>
    <n v="0"/>
    <s v="Alta sin facturar"/>
    <s v="Sin pago"/>
    <m/>
    <m/>
    <m/>
  </r>
  <r>
    <d v="2022-01-03T00:00:00"/>
    <x v="0"/>
    <s v="Sandra Escoto"/>
    <s v="CENTRO"/>
    <n v="23081"/>
    <s v="Cliente"/>
    <m/>
    <n v="7"/>
    <n v="5336"/>
    <n v="5744.32"/>
    <n v="9239.4"/>
    <n v="8745.24"/>
    <n v="6961.16"/>
    <n v="8067.8"/>
    <n v="9052.6400000000012"/>
    <m/>
    <n v="53146.559999999998"/>
    <n v="228.52"/>
    <n v="7"/>
    <n v="52918.04"/>
    <n v="4.2998079273616208E-3"/>
    <s v="Cliente"/>
    <s v="Ha pagado"/>
    <m/>
    <m/>
    <m/>
  </r>
  <r>
    <d v="2022-01-03T00:00:00"/>
    <x v="0"/>
    <s v="Sandra Escoto"/>
    <s v="CENTRO"/>
    <n v="23082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04T00:00:00"/>
    <x v="0"/>
    <s v="Marcos López"/>
    <s v="SUR"/>
    <n v="23083"/>
    <s v="Cliente"/>
    <m/>
    <n v="4"/>
    <n v="1740"/>
    <n v="0"/>
    <n v="0"/>
    <n v="610.16000000000008"/>
    <n v="0"/>
    <n v="690.2"/>
    <n v="511.56"/>
    <m/>
    <n v="3551.9199999999996"/>
    <n v="302.76"/>
    <n v="4"/>
    <n v="3249.16"/>
    <n v="8.5238406270411501E-2"/>
    <s v="Cliente"/>
    <s v="Ha pagado"/>
    <m/>
    <m/>
    <m/>
  </r>
  <r>
    <d v="2022-01-04T00:00:00"/>
    <x v="0"/>
    <s v="Yuriana Argüello"/>
    <s v="CENTRO"/>
    <n v="23084"/>
    <s v="Cliente"/>
    <m/>
    <n v="4"/>
    <n v="0"/>
    <n v="1401.28"/>
    <n v="0"/>
    <n v="772.56"/>
    <n v="0"/>
    <n v="9320.6"/>
    <n v="2934.8"/>
    <m/>
    <n v="14429.240000000002"/>
    <n v="324.8"/>
    <n v="4"/>
    <n v="14104.440000000002"/>
    <n v="2.2509848058525603E-2"/>
    <s v="Cliente"/>
    <s v="Ha pagado"/>
    <m/>
    <m/>
    <m/>
  </r>
  <r>
    <d v="2022-01-04T00:00:00"/>
    <x v="0"/>
    <s v="Yareli Flores"/>
    <s v="CENTRO"/>
    <n v="23085"/>
    <s v="Cliente nuevo"/>
    <m/>
    <n v="1"/>
    <n v="8700"/>
    <n v="0"/>
    <n v="0"/>
    <n v="0"/>
    <n v="0"/>
    <n v="0"/>
    <n v="0"/>
    <m/>
    <n v="8700"/>
    <n v="8700"/>
    <n v="1"/>
    <n v="0"/>
    <n v="1"/>
    <s v="Cliente nuevo"/>
    <s v="Sin pago"/>
    <m/>
    <m/>
    <m/>
  </r>
  <r>
    <d v="2022-01-06T00:00:00"/>
    <x v="0"/>
    <s v="Yuritzi Alejo"/>
    <s v="CENTRO"/>
    <n v="23086"/>
    <s v="Cliente"/>
    <m/>
    <n v="4"/>
    <n v="63512.32"/>
    <n v="0"/>
    <n v="0"/>
    <n v="0"/>
    <n v="4640"/>
    <n v="21460"/>
    <n v="11310"/>
    <m/>
    <n v="100922.32"/>
    <n v="3480"/>
    <n v="4"/>
    <n v="97442.32"/>
    <n v="3.4481965931817654E-2"/>
    <s v="Cliente"/>
    <s v="Ha pagado"/>
    <m/>
    <m/>
    <m/>
  </r>
  <r>
    <d v="2022-01-06T00:00:00"/>
    <x v="0"/>
    <s v="Yareli Flores"/>
    <s v="CENTRO"/>
    <n v="23087"/>
    <s v="Cliente"/>
    <m/>
    <n v="5"/>
    <n v="56028"/>
    <n v="15428"/>
    <n v="0"/>
    <n v="870"/>
    <n v="0"/>
    <n v="5684"/>
    <n v="14674"/>
    <m/>
    <n v="92684"/>
    <n v="2494"/>
    <n v="5"/>
    <n v="90190"/>
    <n v="2.6908635794743431E-2"/>
    <s v="Cliente"/>
    <s v="Ha pagado"/>
    <m/>
    <m/>
    <m/>
  </r>
  <r>
    <d v="2022-01-06T00:00:00"/>
    <x v="0"/>
    <s v="Genaro Castro"/>
    <s v="SUR"/>
    <n v="23088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06T00:00:00"/>
    <x v="0"/>
    <s v="Marcos López"/>
    <s v="SUR"/>
    <n v="23089"/>
    <s v="Cliente"/>
    <m/>
    <n v="3"/>
    <n v="0"/>
    <n v="0"/>
    <n v="0"/>
    <n v="0"/>
    <n v="1422.16"/>
    <n v="2304.92"/>
    <n v="2180.8000000000002"/>
    <m/>
    <n v="5907.88"/>
    <n v="428.03999999999996"/>
    <n v="3"/>
    <n v="5479.84"/>
    <n v="7.2452385627331625E-2"/>
    <s v="Cliente"/>
    <s v="Ha pagado"/>
    <m/>
    <m/>
    <m/>
  </r>
  <r>
    <d v="2022-01-06T00:00:00"/>
    <x v="0"/>
    <s v="Dulce González"/>
    <s v="NORTE"/>
    <n v="23090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06T00:00:00"/>
    <x v="0"/>
    <s v="Yareli Flores"/>
    <s v="CENTRO"/>
    <n v="23091"/>
    <s v="Cliente"/>
    <m/>
    <n v="6"/>
    <n v="4872"/>
    <n v="3248"/>
    <n v="747.04"/>
    <n v="174"/>
    <n v="0"/>
    <n v="1624"/>
    <n v="1624"/>
    <m/>
    <n v="12289.04"/>
    <n v="2371.04"/>
    <n v="6"/>
    <n v="9918"/>
    <n v="0.192939399660185"/>
    <s v="Cliente"/>
    <s v="Ha pagado"/>
    <m/>
    <m/>
    <m/>
  </r>
  <r>
    <d v="2022-01-06T00:00:00"/>
    <x v="0"/>
    <s v="Iván Luna"/>
    <s v="NORTE"/>
    <n v="23092"/>
    <s v="Cliente"/>
    <m/>
    <n v="7"/>
    <n v="205253.88"/>
    <n v="380995.04"/>
    <n v="335546.24"/>
    <n v="351265.4"/>
    <n v="292277.08"/>
    <n v="453933.52"/>
    <n v="387232.36"/>
    <m/>
    <n v="2406503.52"/>
    <n v="841165.88000000012"/>
    <n v="7"/>
    <n v="1565337.64"/>
    <n v="0.34953860362522976"/>
    <s v="Cliente"/>
    <s v="Ha pagado"/>
    <m/>
    <m/>
    <m/>
  </r>
  <r>
    <d v="2022-01-06T00:00:00"/>
    <x v="0"/>
    <s v="Dolores Jiménez"/>
    <s v="NORTE"/>
    <n v="23093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07T00:00:00"/>
    <x v="0"/>
    <s v="Yuriana Argüello"/>
    <s v="CENTRO"/>
    <n v="23094"/>
    <s v="Cliente"/>
    <m/>
    <n v="7"/>
    <n v="927884"/>
    <n v="379088"/>
    <n v="370562"/>
    <n v="63394"/>
    <n v="82650"/>
    <n v="262392"/>
    <n v="155382"/>
    <m/>
    <n v="2241352"/>
    <n v="49590"/>
    <n v="7"/>
    <n v="2191762"/>
    <n v="2.2125038815857572E-2"/>
    <s v="Cliente"/>
    <s v="Ha pagado"/>
    <m/>
    <m/>
    <m/>
  </r>
  <r>
    <d v="2022-01-07T00:00:00"/>
    <x v="0"/>
    <s v="Karla Ángeles"/>
    <s v="CENTRO"/>
    <n v="23095"/>
    <s v="Cliente"/>
    <m/>
    <n v="4"/>
    <n v="4594.76"/>
    <n v="17110"/>
    <n v="4060"/>
    <n v="0"/>
    <n v="0"/>
    <n v="1102"/>
    <n v="0"/>
    <m/>
    <n v="26866.760000000002"/>
    <n v="1102"/>
    <n v="4"/>
    <n v="25764.760000000002"/>
    <n v="4.101722723543888E-2"/>
    <s v="Cliente"/>
    <s v="Ha pagado"/>
    <m/>
    <m/>
    <m/>
  </r>
  <r>
    <d v="2022-01-08T00:00:00"/>
    <x v="0"/>
    <s v="Yuritzi Alejo"/>
    <s v="CENTRO"/>
    <n v="23096"/>
    <s v="Cliente nuevo"/>
    <m/>
    <n v="1"/>
    <n v="928"/>
    <n v="0"/>
    <n v="0"/>
    <n v="0"/>
    <n v="0"/>
    <n v="0"/>
    <n v="0"/>
    <m/>
    <n v="928"/>
    <n v="928"/>
    <n v="1"/>
    <n v="0"/>
    <n v="1"/>
    <s v="Cliente nuevo"/>
    <s v="Sin pago"/>
    <m/>
    <m/>
    <m/>
  </r>
  <r>
    <d v="2022-01-08T00:00:00"/>
    <x v="0"/>
    <s v="Alfredo Almaráz"/>
    <s v="MAGALLANES"/>
    <n v="23097"/>
    <s v="Cliente nuevo"/>
    <m/>
    <n v="1"/>
    <n v="10211.48"/>
    <n v="0"/>
    <n v="0"/>
    <n v="0"/>
    <n v="0"/>
    <n v="0"/>
    <n v="0"/>
    <m/>
    <n v="10211.48"/>
    <n v="10211.48"/>
    <n v="1"/>
    <n v="0"/>
    <n v="1"/>
    <s v="Cliente nuevo"/>
    <s v="Sin pago"/>
    <m/>
    <m/>
    <m/>
  </r>
  <r>
    <d v="2022-01-08T00:00:00"/>
    <x v="0"/>
    <s v="Alfredo Almaráz"/>
    <s v="MAGALLANES"/>
    <n v="23098"/>
    <s v="Cliente nuevo"/>
    <m/>
    <n v="1"/>
    <n v="836.36"/>
    <n v="0"/>
    <n v="0"/>
    <n v="0"/>
    <n v="0"/>
    <n v="0"/>
    <n v="0"/>
    <m/>
    <n v="836.36"/>
    <n v="24.36"/>
    <n v="1"/>
    <n v="812"/>
    <n v="2.9126213592233007E-2"/>
    <s v="Cliente nuevo"/>
    <s v="Ha pagado"/>
    <m/>
    <m/>
    <m/>
  </r>
  <r>
    <d v="2022-01-08T00:00:00"/>
    <x v="0"/>
    <s v="Alfredo Almaráz"/>
    <s v="MAGALLANES"/>
    <n v="23099"/>
    <s v="Cliente"/>
    <m/>
    <n v="7"/>
    <n v="6681.6"/>
    <n v="2853.6000000000004"/>
    <n v="835.2"/>
    <n v="4036.8"/>
    <n v="951.2"/>
    <n v="395.56"/>
    <n v="4803.5600000000004"/>
    <m/>
    <n v="20557.52"/>
    <n v="696"/>
    <n v="7"/>
    <n v="19861.52"/>
    <n v="3.3856223902494077E-2"/>
    <s v="Cliente"/>
    <s v="Ha pagado"/>
    <m/>
    <m/>
    <m/>
  </r>
  <r>
    <d v="2022-01-10T00:00:00"/>
    <x v="0"/>
    <s v="Yuritzi Alejo"/>
    <s v="CENTRO"/>
    <n v="23100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0T00:00:00"/>
    <x v="0"/>
    <s v="Yuritzi Alejo"/>
    <s v="CENTRO"/>
    <n v="23101"/>
    <s v="Cliente nuevo"/>
    <m/>
    <n v="1"/>
    <n v="928"/>
    <n v="0"/>
    <n v="0"/>
    <n v="0"/>
    <n v="0"/>
    <n v="0"/>
    <n v="0"/>
    <m/>
    <n v="928"/>
    <n v="0"/>
    <n v="1"/>
    <n v="928"/>
    <n v="0"/>
    <s v="Cliente nuevo"/>
    <s v="Ha pagado"/>
    <m/>
    <m/>
    <m/>
  </r>
  <r>
    <d v="2022-01-10T00:00:00"/>
    <x v="0"/>
    <s v="Sandra Escoto"/>
    <s v="CENTRO"/>
    <n v="23102"/>
    <s v="Cliente"/>
    <m/>
    <n v="6"/>
    <n v="725"/>
    <n v="0"/>
    <n v="3528.7200000000003"/>
    <n v="5274.52"/>
    <n v="2395.4"/>
    <n v="1633.2800000000002"/>
    <n v="5761.7199999999993"/>
    <m/>
    <n v="19318.64"/>
    <n v="0"/>
    <n v="6"/>
    <n v="19318.64"/>
    <n v="0"/>
    <s v="Cliente"/>
    <s v="Ha pagado"/>
    <m/>
    <m/>
    <m/>
  </r>
  <r>
    <d v="2022-01-10T00:00:00"/>
    <x v="0"/>
    <s v="Sandra Escoto"/>
    <s v="CENTRO"/>
    <n v="23103"/>
    <s v="Cliente"/>
    <m/>
    <n v="7"/>
    <n v="11368"/>
    <n v="26796"/>
    <n v="12180"/>
    <n v="4060"/>
    <n v="11368"/>
    <n v="9686"/>
    <n v="21228"/>
    <m/>
    <n v="96686"/>
    <n v="0"/>
    <n v="7"/>
    <n v="96686"/>
    <n v="0"/>
    <s v="Cliente"/>
    <s v="Ha pagado"/>
    <m/>
    <m/>
    <m/>
  </r>
  <r>
    <d v="2022-01-10T00:00:00"/>
    <x v="0"/>
    <s v="Dolores Jiménez"/>
    <s v="NORTE"/>
    <n v="23104"/>
    <s v="Cliente"/>
    <m/>
    <n v="7"/>
    <n v="16512.599999999999"/>
    <n v="14645"/>
    <n v="2308.4"/>
    <n v="5104"/>
    <n v="10540.92"/>
    <n v="3289.76"/>
    <n v="7108.4800000000005"/>
    <m/>
    <n v="59509.16"/>
    <n v="0"/>
    <n v="7"/>
    <n v="59509.16"/>
    <n v="0"/>
    <s v="Cliente"/>
    <s v="Ha pagado"/>
    <m/>
    <m/>
    <m/>
  </r>
  <r>
    <d v="2022-01-11T00:00:00"/>
    <x v="0"/>
    <s v="Rubí Rodríguez"/>
    <s v="CENTRO"/>
    <n v="23105"/>
    <s v="Cliente"/>
    <m/>
    <n v="6"/>
    <n v="9952.7999999999993"/>
    <n v="9048"/>
    <n v="904.8"/>
    <n v="580"/>
    <n v="0"/>
    <n v="580"/>
    <n v="904.8"/>
    <m/>
    <n v="21970.399999999998"/>
    <n v="0"/>
    <n v="6"/>
    <n v="21970.399999999998"/>
    <n v="0"/>
    <s v="Cliente"/>
    <s v="Ha pagado"/>
    <m/>
    <m/>
    <m/>
  </r>
  <r>
    <d v="2022-01-11T00:00:00"/>
    <x v="0"/>
    <s v="Yuritzi Alejo"/>
    <s v="CENTRO"/>
    <n v="23106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1T00:00:00"/>
    <x v="0"/>
    <s v="Christian Castellanos"/>
    <s v="NORTE"/>
    <n v="23107"/>
    <s v="Cliente"/>
    <m/>
    <n v="7"/>
    <n v="34333.68"/>
    <n v="22338.12"/>
    <n v="34126.04"/>
    <n v="26899.239999999998"/>
    <n v="17278.2"/>
    <n v="46328.08"/>
    <n v="24364.639999999999"/>
    <m/>
    <n v="205668"/>
    <n v="15179.76"/>
    <n v="7"/>
    <n v="190488.24"/>
    <n v="7.3807106598984776E-2"/>
    <s v="Cliente"/>
    <s v="Ha pagado"/>
    <m/>
    <m/>
    <m/>
  </r>
  <r>
    <d v="2022-01-11T00:00:00"/>
    <x v="0"/>
    <s v="Yuritzi Alejo"/>
    <s v="CENTRO"/>
    <n v="23108"/>
    <s v="Cliente"/>
    <m/>
    <n v="6"/>
    <n v="0"/>
    <n v="2148.3199999999997"/>
    <n v="1717.96"/>
    <n v="909.44"/>
    <n v="1039.3599999999999"/>
    <n v="6173.5199999999995"/>
    <n v="1209.8800000000001"/>
    <m/>
    <n v="13198.48"/>
    <n v="0"/>
    <n v="6"/>
    <n v="13198.48"/>
    <n v="0"/>
    <s v="Cliente"/>
    <s v="Ha pagado"/>
    <m/>
    <m/>
    <m/>
  </r>
  <r>
    <d v="2022-01-12T00:00:00"/>
    <x v="0"/>
    <s v="Marcos López"/>
    <s v="SUR"/>
    <n v="23109"/>
    <s v="Cliente"/>
    <m/>
    <n v="7"/>
    <n v="38634.959999999999"/>
    <n v="7589.88"/>
    <n v="559.12"/>
    <n v="812"/>
    <n v="2094.96"/>
    <n v="546.36"/>
    <n v="291.16000000000003"/>
    <m/>
    <n v="50528.44"/>
    <n v="291.16000000000003"/>
    <n v="7"/>
    <n v="50237.279999999999"/>
    <n v="5.7622994099956384E-3"/>
    <s v="Cliente"/>
    <s v="Ha pagado"/>
    <m/>
    <m/>
    <m/>
  </r>
  <r>
    <d v="2022-01-12T00:00:00"/>
    <x v="0"/>
    <s v="Jose Carlos Orozco"/>
    <s v="CENTRO"/>
    <n v="23110"/>
    <s v="Cliente"/>
    <m/>
    <n v="6"/>
    <n v="2343.1999999999998"/>
    <n v="3413.88"/>
    <n v="1485.96"/>
    <n v="435"/>
    <n v="403.68"/>
    <n v="351.48"/>
    <n v="0"/>
    <m/>
    <n v="8433.2000000000007"/>
    <n v="857.24"/>
    <n v="6"/>
    <n v="7575.9600000000009"/>
    <n v="0.10165061898211829"/>
    <s v="Cliente"/>
    <s v="Ha pagado"/>
    <m/>
    <m/>
    <m/>
  </r>
  <r>
    <d v="2022-01-12T00:00:00"/>
    <x v="0"/>
    <s v="Rubí Rodríguez"/>
    <s v="CENTRO"/>
    <n v="23111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2T00:00:00"/>
    <x v="0"/>
    <s v="Yuriana Argüello"/>
    <s v="CENTRO"/>
    <n v="23112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2T00:00:00"/>
    <x v="0"/>
    <s v="Yuriana Argüello"/>
    <s v="CENTRO"/>
    <n v="23113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2T00:00:00"/>
    <x v="0"/>
    <s v="Genaro Castro"/>
    <s v="SUR"/>
    <n v="23114"/>
    <s v="Cliente"/>
    <m/>
    <n v="3"/>
    <n v="0"/>
    <n v="0"/>
    <n v="0"/>
    <n v="430.36"/>
    <n v="0"/>
    <n v="91.64"/>
    <n v="183.28"/>
    <m/>
    <n v="705.28"/>
    <n v="0"/>
    <n v="3"/>
    <n v="705.28"/>
    <n v="0"/>
    <s v="Cliente"/>
    <s v="Ha pagado"/>
    <m/>
    <m/>
    <m/>
  </r>
  <r>
    <d v="2022-01-12T00:00:00"/>
    <x v="0"/>
    <s v="Rubí Rodríguez"/>
    <s v="CENTRO"/>
    <n v="23115"/>
    <s v="Cliente nuevo"/>
    <m/>
    <n v="2"/>
    <n v="0"/>
    <n v="904.8"/>
    <n v="0"/>
    <n v="3424.32"/>
    <n v="0"/>
    <n v="0"/>
    <n v="0"/>
    <m/>
    <n v="4329.12"/>
    <n v="290"/>
    <n v="2"/>
    <n v="4039.12"/>
    <n v="6.6988210075026797E-2"/>
    <s v="Cliente nuevo"/>
    <s v="Ha pagado"/>
    <m/>
    <m/>
    <m/>
  </r>
  <r>
    <d v="2022-01-12T00:00:00"/>
    <x v="0"/>
    <s v="Sandra Escoto"/>
    <s v="CENTRO"/>
    <n v="23116"/>
    <s v="Cliente"/>
    <m/>
    <n v="3"/>
    <n v="276.08000000000004"/>
    <n v="310.88"/>
    <n v="926.83999999999992"/>
    <n v="0"/>
    <n v="0"/>
    <n v="0"/>
    <n v="0"/>
    <m/>
    <n v="1513.8"/>
    <n v="0"/>
    <n v="3"/>
    <n v="1513.8"/>
    <n v="0"/>
    <s v="Cliente"/>
    <s v="Ha pagado"/>
    <m/>
    <m/>
    <m/>
  </r>
  <r>
    <d v="2022-01-13T00:00:00"/>
    <x v="0"/>
    <s v="Ricardo Vidal"/>
    <s v="MAGALLANES"/>
    <n v="23117"/>
    <s v="Cliente"/>
    <m/>
    <n v="5"/>
    <n v="0"/>
    <n v="15219.199999999999"/>
    <n v="0"/>
    <n v="928"/>
    <n v="280.72000000000003"/>
    <n v="1968.52"/>
    <n v="8451.76"/>
    <m/>
    <n v="26848.199999999997"/>
    <n v="1856"/>
    <n v="5"/>
    <n v="24992.199999999997"/>
    <n v="6.9129401598617413E-2"/>
    <s v="Cliente"/>
    <s v="Ha pagado"/>
    <m/>
    <m/>
    <m/>
  </r>
  <r>
    <d v="2022-01-13T00:00:00"/>
    <x v="0"/>
    <s v="Yareli Flores"/>
    <s v="CENTRO"/>
    <n v="23118"/>
    <s v="Cliente"/>
    <m/>
    <n v="6"/>
    <n v="28420"/>
    <n v="155092"/>
    <n v="159152"/>
    <n v="48488"/>
    <n v="4060"/>
    <n v="12992"/>
    <n v="0"/>
    <m/>
    <n v="408204"/>
    <n v="0"/>
    <n v="6"/>
    <n v="408204"/>
    <n v="0"/>
    <s v="Cliente"/>
    <s v="Ha pagado"/>
    <m/>
    <m/>
    <m/>
  </r>
  <r>
    <d v="2022-01-13T00:00:00"/>
    <x v="0"/>
    <s v="Sandra Escoto"/>
    <s v="CENTRO"/>
    <n v="23119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4T00:00:00"/>
    <x v="0"/>
    <s v="Marcos López"/>
    <s v="SUR"/>
    <n v="23120"/>
    <s v="Cliente"/>
    <m/>
    <n v="7"/>
    <n v="5155.04"/>
    <n v="11957.280000000002"/>
    <n v="20412.519999999997"/>
    <n v="8471.48"/>
    <n v="16582.2"/>
    <n v="13014.039999999999"/>
    <n v="15498.76"/>
    <m/>
    <n v="91091.319999999978"/>
    <n v="5.28"/>
    <n v="7"/>
    <n v="91086.039999999979"/>
    <n v="5.7963810382811461E-5"/>
    <s v="Cliente"/>
    <s v="Ha pagado"/>
    <m/>
    <m/>
    <m/>
  </r>
  <r>
    <d v="2022-01-14T00:00:00"/>
    <x v="0"/>
    <s v="Iván Luna"/>
    <s v="NORTE"/>
    <n v="23121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4T00:00:00"/>
    <x v="0"/>
    <s v="Ricardo Vidal"/>
    <s v="MAGALLANES"/>
    <n v="23122"/>
    <s v="Cliente"/>
    <m/>
    <n v="3"/>
    <n v="556.79999999999995"/>
    <n v="907.11999999999989"/>
    <n v="556.79999999999995"/>
    <n v="0"/>
    <n v="0"/>
    <n v="0"/>
    <n v="0"/>
    <m/>
    <n v="2020.7199999999998"/>
    <n v="556.79999999999995"/>
    <n v="3"/>
    <n v="1463.9199999999998"/>
    <n v="0.27554535017221587"/>
    <s v="Cliente"/>
    <s v="Ha pagado"/>
    <m/>
    <m/>
    <m/>
  </r>
  <r>
    <d v="2022-01-14T00:00:00"/>
    <x v="0"/>
    <s v="Christian Castellanos"/>
    <s v="NORTE"/>
    <n v="23123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4T00:00:00"/>
    <x v="0"/>
    <s v="Christian Castellanos"/>
    <s v="NORTE"/>
    <n v="23124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4T00:00:00"/>
    <x v="0"/>
    <s v="Christian Castellanos"/>
    <s v="NORTE"/>
    <n v="23125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4T00:00:00"/>
    <x v="0"/>
    <s v="Yuritzi Alejo"/>
    <s v="CENTRO"/>
    <n v="23126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4T00:00:00"/>
    <x v="0"/>
    <s v="Yuritzi Alejo"/>
    <s v="CENTRO"/>
    <n v="23127"/>
    <s v="Cliente nuevo"/>
    <m/>
    <n v="1"/>
    <n v="4640"/>
    <n v="0"/>
    <n v="0"/>
    <n v="0"/>
    <n v="0"/>
    <n v="0"/>
    <n v="0"/>
    <m/>
    <n v="4640"/>
    <n v="0"/>
    <n v="1"/>
    <n v="4640"/>
    <n v="0"/>
    <s v="Cliente nuevo"/>
    <s v="Ha pagado"/>
    <m/>
    <m/>
    <m/>
  </r>
  <r>
    <d v="2022-01-14T00:00:00"/>
    <x v="0"/>
    <s v="Julio César Trejo"/>
    <s v="NORTE"/>
    <n v="23128"/>
    <s v="Cliente nuevo"/>
    <m/>
    <n v="2"/>
    <n v="1270.2"/>
    <n v="214.6"/>
    <n v="0"/>
    <n v="0"/>
    <n v="0"/>
    <n v="0"/>
    <n v="0"/>
    <m/>
    <n v="1484.8"/>
    <n v="1484.8"/>
    <n v="2"/>
    <n v="0"/>
    <n v="1"/>
    <s v="Cliente nuevo"/>
    <s v="Sin pago"/>
    <m/>
    <m/>
    <m/>
  </r>
  <r>
    <d v="2022-01-14T00:00:00"/>
    <x v="0"/>
    <s v="Yuriana Argüello"/>
    <s v="CENTRO"/>
    <n v="23129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5T00:00:00"/>
    <x v="0"/>
    <s v="Christian Castellanos"/>
    <s v="NORTE"/>
    <n v="23132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5T00:00:00"/>
    <x v="0"/>
    <s v="Christian Castellanos"/>
    <s v="NORTE"/>
    <n v="23133"/>
    <s v="Alta sin facturar"/>
    <m/>
    <n v="1"/>
    <n v="1624"/>
    <n v="0"/>
    <n v="0"/>
    <n v="0"/>
    <n v="0"/>
    <n v="0"/>
    <n v="0"/>
    <m/>
    <n v="1624"/>
    <m/>
    <n v="1"/>
    <n v="1624"/>
    <n v="0"/>
    <s v="Cliente nuevo"/>
    <s v="Ha pagado"/>
    <m/>
    <m/>
    <m/>
  </r>
  <r>
    <d v="2022-01-15T00:00:00"/>
    <x v="0"/>
    <s v="Yuriana Argüello"/>
    <s v="CENTRO"/>
    <n v="23134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5T00:00:00"/>
    <x v="0"/>
    <s v="Yuriana Argüello"/>
    <s v="CENTRO"/>
    <n v="23135"/>
    <s v="Alta sin facturar"/>
    <m/>
    <n v="0"/>
    <n v="0"/>
    <n v="0"/>
    <n v="0"/>
    <n v="0"/>
    <n v="0"/>
    <n v="0"/>
    <n v="0"/>
    <m/>
    <n v="0"/>
    <n v="1624"/>
    <n v="0"/>
    <n v="-1624"/>
    <n v="0"/>
    <s v="Alta sin facturar"/>
    <s v="Sin pago"/>
    <m/>
    <m/>
    <m/>
  </r>
  <r>
    <d v="2022-01-15T00:00:00"/>
    <x v="0"/>
    <s v="Christian Castellanos"/>
    <s v="NORTE"/>
    <n v="23136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5T00:00:00"/>
    <x v="0"/>
    <s v="Christian Castellanos"/>
    <s v="NORTE"/>
    <n v="23137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5T00:00:00"/>
    <x v="0"/>
    <s v="Christian Castellanos"/>
    <s v="NORTE"/>
    <n v="23138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5T00:00:00"/>
    <x v="0"/>
    <s v="Dolores Jiménez"/>
    <s v="NORTE"/>
    <n v="23139"/>
    <s v="Cliente"/>
    <m/>
    <n v="5"/>
    <n v="0"/>
    <n v="17666.8"/>
    <n v="3462.6000000000004"/>
    <n v="116"/>
    <n v="0"/>
    <n v="3589.0399999999995"/>
    <n v="10073.44"/>
    <m/>
    <n v="34907.880000000005"/>
    <m/>
    <n v="5"/>
    <n v="34907.880000000005"/>
    <n v="0"/>
    <s v="Cliente"/>
    <s v="Ha pagado"/>
    <m/>
    <m/>
    <m/>
  </r>
  <r>
    <d v="2022-01-15T00:00:00"/>
    <x v="0"/>
    <s v="Alfredo Almaráz"/>
    <s v="MAGALLANES"/>
    <n v="23140"/>
    <s v="Cliente nuevo"/>
    <m/>
    <n v="7"/>
    <n v="14621.8"/>
    <n v="32857"/>
    <n v="47590.16"/>
    <n v="32242.199999999997"/>
    <n v="24063.040000000001"/>
    <n v="14834.08"/>
    <n v="33223.56"/>
    <m/>
    <n v="199431.84"/>
    <m/>
    <n v="7"/>
    <n v="199431.84"/>
    <n v="0"/>
    <s v="Cliente"/>
    <s v="Ha pagado"/>
    <m/>
    <m/>
    <m/>
  </r>
  <r>
    <d v="2022-01-15T00:00:00"/>
    <x v="0"/>
    <s v="Alfredo Almaráz"/>
    <s v="MAGALLANES"/>
    <n v="23141"/>
    <s v="Cliente"/>
    <m/>
    <n v="3"/>
    <n v="0"/>
    <n v="0"/>
    <n v="0"/>
    <n v="0"/>
    <n v="389.76"/>
    <n v="1180.8800000000001"/>
    <n v="4810.5200000000004"/>
    <m/>
    <n v="6381.1600000000008"/>
    <n v="3475.36"/>
    <n v="3"/>
    <n v="2905.8000000000006"/>
    <n v="0.5446282494091983"/>
    <s v="Cliente"/>
    <s v="Ha pagado"/>
    <m/>
    <m/>
    <m/>
  </r>
  <r>
    <d v="2022-01-15T00:00:00"/>
    <x v="0"/>
    <s v="Yuriana Argüello"/>
    <s v="CENTRO"/>
    <n v="23142"/>
    <s v="Cliente"/>
    <m/>
    <n v="1"/>
    <n v="0"/>
    <n v="0"/>
    <n v="0"/>
    <n v="3712"/>
    <n v="0"/>
    <n v="0"/>
    <n v="0"/>
    <m/>
    <n v="3712"/>
    <n v="18884.8"/>
    <n v="1"/>
    <n v="-15172.8"/>
    <n v="5.0874999999999995"/>
    <s v="Cliente nuevo"/>
    <s v="Sin pago"/>
    <m/>
    <m/>
    <m/>
  </r>
  <r>
    <d v="2022-01-17T00:00:00"/>
    <x v="0"/>
    <s v="Alfredo Almaráz"/>
    <s v="MAGALLANES"/>
    <n v="23143"/>
    <s v="Cliente"/>
    <m/>
    <n v="7"/>
    <n v="3483.48"/>
    <n v="567.2399999999999"/>
    <n v="8246.4399999999987"/>
    <n v="2687.7200000000003"/>
    <n v="2553.16"/>
    <n v="6919.4"/>
    <n v="2155.2800000000002"/>
    <m/>
    <n v="26612.719999999994"/>
    <n v="685.56"/>
    <n v="7"/>
    <n v="25927.159999999993"/>
    <n v="2.5760613721558717E-2"/>
    <s v="Cliente"/>
    <s v="Ha pagado"/>
    <m/>
    <m/>
    <m/>
  </r>
  <r>
    <d v="2022-01-17T00:00:00"/>
    <x v="0"/>
    <s v="Jose Carlos Orozco"/>
    <s v="CENTRO"/>
    <n v="23144"/>
    <s v="Cliente"/>
    <m/>
    <n v="7"/>
    <n v="25172"/>
    <n v="17632"/>
    <n v="1624"/>
    <n v="9744"/>
    <n v="1044"/>
    <n v="7308"/>
    <n v="7540"/>
    <m/>
    <n v="70064"/>
    <n v="0"/>
    <n v="7"/>
    <n v="70064"/>
    <n v="0"/>
    <s v="Cliente"/>
    <s v="Ha pagado"/>
    <m/>
    <m/>
    <m/>
  </r>
  <r>
    <d v="2022-01-17T00:00:00"/>
    <x v="0"/>
    <s v="Rubí Rodríguez"/>
    <s v="CENTRO"/>
    <n v="23145"/>
    <s v="Cliente"/>
    <m/>
    <n v="3"/>
    <n v="1809.6"/>
    <n v="0"/>
    <n v="1359.52"/>
    <n v="247.08"/>
    <n v="0"/>
    <n v="0"/>
    <n v="0"/>
    <m/>
    <n v="3416.2"/>
    <n v="1318.6"/>
    <n v="3"/>
    <n v="2097.6"/>
    <n v="0.38598442714126807"/>
    <s v="Cliente"/>
    <s v="Ha pagado"/>
    <m/>
    <m/>
    <m/>
  </r>
  <r>
    <d v="2022-01-17T00:00:00"/>
    <x v="0"/>
    <s v="Yuritzi Alejo"/>
    <s v="CENTRO"/>
    <n v="23146"/>
    <s v="Alta sin facturar"/>
    <m/>
    <n v="6"/>
    <n v="11137.16"/>
    <n v="5568"/>
    <n v="3712"/>
    <n v="1856"/>
    <n v="0"/>
    <n v="5568"/>
    <n v="11484"/>
    <m/>
    <n v="39325.160000000003"/>
    <n v="2436"/>
    <n v="6"/>
    <n v="36889.160000000003"/>
    <n v="6.1945075366508354E-2"/>
    <s v="Cliente"/>
    <s v="Ha pagado"/>
    <m/>
    <m/>
    <m/>
  </r>
  <r>
    <d v="2022-01-17T00:00:00"/>
    <x v="0"/>
    <s v="Diana Tejadilla"/>
    <s v="CENTRO"/>
    <n v="23147"/>
    <s v="Alta sin facturar"/>
    <m/>
    <n v="5"/>
    <n v="0"/>
    <n v="0"/>
    <n v="6296.48"/>
    <n v="9632.64"/>
    <n v="10268.32"/>
    <n v="5230.4399999999996"/>
    <n v="8150.1599999999989"/>
    <m/>
    <n v="39578.039999999994"/>
    <n v="3416.2"/>
    <n v="5"/>
    <n v="36161.839999999997"/>
    <n v="8.6315542659515229E-2"/>
    <s v="Cliente"/>
    <s v="Ha pagado"/>
    <m/>
    <m/>
    <m/>
  </r>
  <r>
    <d v="2022-01-17T00:00:00"/>
    <x v="0"/>
    <s v="Diana Tejadilla"/>
    <s v="CENTRO"/>
    <n v="23148"/>
    <s v="Alta sin facturar"/>
    <m/>
    <n v="0"/>
    <n v="0"/>
    <n v="0"/>
    <n v="0"/>
    <n v="0"/>
    <n v="0"/>
    <n v="0"/>
    <n v="0"/>
    <m/>
    <n v="0"/>
    <n v="1624"/>
    <n v="0"/>
    <n v="-1624"/>
    <n v="0"/>
    <s v="Alta sin facturar"/>
    <s v="Sin pago"/>
    <m/>
    <m/>
    <m/>
  </r>
  <r>
    <d v="2022-01-17T00:00:00"/>
    <x v="0"/>
    <s v="Sandra Escoto"/>
    <s v="CENTRO"/>
    <n v="23149"/>
    <s v="Cliente"/>
    <m/>
    <n v="0"/>
    <n v="0"/>
    <n v="0"/>
    <n v="0"/>
    <n v="0"/>
    <n v="0"/>
    <n v="0"/>
    <n v="0"/>
    <m/>
    <n v="0"/>
    <n v="5944.9999999999991"/>
    <n v="0"/>
    <n v="-5944.9999999999991"/>
    <n v="0"/>
    <s v="Alta sin facturar"/>
    <s v="Sin pago"/>
    <m/>
    <m/>
    <m/>
  </r>
  <r>
    <d v="2022-01-17T00:00:00"/>
    <x v="0"/>
    <s v="Sandra Escoto"/>
    <s v="CENTRO"/>
    <n v="23150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7T00:00:00"/>
    <x v="0"/>
    <s v="Alfredo Almaráz"/>
    <s v="MAGALLANES"/>
    <n v="23151"/>
    <s v="Cliente nuevo"/>
    <m/>
    <n v="7"/>
    <n v="3712"/>
    <n v="3129.6800000000003"/>
    <n v="12921.24"/>
    <n v="6644.4800000000005"/>
    <n v="8032.9999999999991"/>
    <n v="8111.8799999999992"/>
    <n v="11451.519999999999"/>
    <m/>
    <n v="54003.799999999988"/>
    <m/>
    <n v="7"/>
    <n v="54003.799999999988"/>
    <n v="0"/>
    <s v="Cliente"/>
    <s v="Ha pagado"/>
    <m/>
    <m/>
    <m/>
  </r>
  <r>
    <d v="2022-01-18T00:00:00"/>
    <x v="0"/>
    <s v="Marcos López"/>
    <s v="SUR"/>
    <n v="23152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8T00:00:00"/>
    <x v="0"/>
    <s v="Marcos López"/>
    <s v="SUR"/>
    <n v="23153"/>
    <s v="Cliente"/>
    <m/>
    <n v="1"/>
    <n v="837.52"/>
    <n v="0"/>
    <n v="0"/>
    <n v="0"/>
    <n v="0"/>
    <n v="0"/>
    <n v="0"/>
    <m/>
    <n v="837.52"/>
    <n v="3526.4"/>
    <n v="1"/>
    <n v="-2688.88"/>
    <n v="4.2105263157894735"/>
    <s v="Cliente nuevo"/>
    <s v="Sin pago"/>
    <m/>
    <m/>
    <m/>
  </r>
  <r>
    <d v="2022-01-18T00:00:00"/>
    <x v="0"/>
    <s v="Alfredo Almaráz"/>
    <s v="MAGALLANES"/>
    <n v="23154"/>
    <s v="Cliente nuevo"/>
    <m/>
    <n v="7"/>
    <n v="1643.7199999999998"/>
    <n v="1966.1999999999998"/>
    <n v="5735.0399999999981"/>
    <n v="3177.24"/>
    <n v="3874.4"/>
    <n v="2753.84"/>
    <n v="1780.6000000000001"/>
    <m/>
    <n v="20931.039999999997"/>
    <m/>
    <n v="7"/>
    <n v="20931.039999999997"/>
    <n v="0"/>
    <s v="Cliente"/>
    <s v="Ha pagado"/>
    <m/>
    <m/>
    <m/>
  </r>
  <r>
    <d v="2022-01-18T00:00:00"/>
    <x v="0"/>
    <s v="Noe Acevedo"/>
    <s v="NORTE"/>
    <n v="23155"/>
    <s v="Cliente nuevo"/>
    <m/>
    <n v="7"/>
    <n v="1392"/>
    <n v="5990.24"/>
    <n v="8325.32"/>
    <n v="15277.2"/>
    <n v="14458.240000000002"/>
    <n v="20869.559999999998"/>
    <n v="12753.04"/>
    <m/>
    <n v="79065.600000000006"/>
    <n v="0"/>
    <n v="7"/>
    <n v="79065.600000000006"/>
    <n v="0"/>
    <s v="Cliente"/>
    <s v="Ha pagado"/>
    <m/>
    <m/>
    <m/>
  </r>
  <r>
    <d v="2022-01-18T00:00:00"/>
    <x v="0"/>
    <s v="Rubí Rodríguez"/>
    <s v="CENTRO"/>
    <n v="23156"/>
    <s v="Cliente"/>
    <m/>
    <n v="1"/>
    <n v="0"/>
    <n v="0"/>
    <n v="0"/>
    <n v="0"/>
    <n v="0"/>
    <n v="5800"/>
    <n v="0"/>
    <m/>
    <n v="5800"/>
    <n v="389.76"/>
    <n v="1"/>
    <n v="5410.24"/>
    <n v="6.7199999999999996E-2"/>
    <s v="Cliente nuevo"/>
    <s v="Ha pagado"/>
    <m/>
    <m/>
    <m/>
  </r>
  <r>
    <d v="2022-01-18T00:00:00"/>
    <x v="0"/>
    <s v="Yuriana Argüello"/>
    <s v="CENTRO"/>
    <n v="23157"/>
    <s v="Cliente"/>
    <m/>
    <n v="1"/>
    <n v="1102"/>
    <n v="0"/>
    <n v="0"/>
    <n v="0"/>
    <n v="0"/>
    <n v="0"/>
    <n v="0"/>
    <m/>
    <n v="1102"/>
    <n v="4692.2"/>
    <n v="1"/>
    <n v="-3590.2"/>
    <n v="4.257894736842105"/>
    <s v="Cliente nuevo"/>
    <s v="Sin pago"/>
    <m/>
    <m/>
    <m/>
  </r>
  <r>
    <d v="2022-01-18T00:00:00"/>
    <x v="0"/>
    <s v="Sandra Escoto"/>
    <s v="CENTRO"/>
    <n v="23158"/>
    <s v="Cliente nuevo"/>
    <m/>
    <n v="6"/>
    <n v="0"/>
    <n v="12992"/>
    <n v="34916"/>
    <n v="47154"/>
    <n v="36076"/>
    <n v="24302"/>
    <n v="103704"/>
    <m/>
    <n v="259144"/>
    <n v="5800"/>
    <n v="6"/>
    <n v="253344"/>
    <n v="2.2381378692927483E-2"/>
    <s v="Cliente"/>
    <s v="Ha pagado"/>
    <m/>
    <m/>
    <m/>
  </r>
  <r>
    <d v="2022-01-19T00:00:00"/>
    <x v="0"/>
    <s v="Sandra Escoto"/>
    <s v="CENTRO"/>
    <n v="23159"/>
    <s v="Alta sin facturar"/>
    <m/>
    <n v="7"/>
    <n v="78.88"/>
    <n v="1122.8799999999999"/>
    <n v="105.56"/>
    <n v="66.12"/>
    <n v="1517.28"/>
    <n v="3485.8"/>
    <n v="12193.92"/>
    <m/>
    <n v="18570.439999999999"/>
    <n v="0"/>
    <n v="7"/>
    <n v="18570.439999999999"/>
    <n v="0"/>
    <s v="Cliente"/>
    <s v="Ha pagado"/>
    <m/>
    <m/>
    <m/>
  </r>
  <r>
    <d v="2022-01-19T00:00:00"/>
    <x v="0"/>
    <s v="Julio César Trejo"/>
    <s v="NORTE"/>
    <n v="23160"/>
    <s v="Cliente"/>
    <m/>
    <n v="1"/>
    <n v="0"/>
    <n v="0"/>
    <n v="0"/>
    <n v="116"/>
    <n v="0"/>
    <n v="0"/>
    <n v="0"/>
    <m/>
    <n v="116"/>
    <n v="66352"/>
    <n v="1"/>
    <n v="-66236"/>
    <n v="572"/>
    <s v="Cliente nuevo"/>
    <s v="Sin pago"/>
    <m/>
    <m/>
    <m/>
  </r>
  <r>
    <d v="2022-01-19T00:00:00"/>
    <x v="0"/>
    <s v="Christian Castellanos"/>
    <s v="NORTE"/>
    <n v="23161"/>
    <s v="Alta sin facturar"/>
    <m/>
    <n v="0"/>
    <n v="0"/>
    <n v="0"/>
    <n v="0"/>
    <n v="0"/>
    <n v="0"/>
    <n v="0"/>
    <n v="0"/>
    <m/>
    <n v="0"/>
    <n v="6439.16"/>
    <n v="0"/>
    <n v="-6439.16"/>
    <n v="0"/>
    <s v="Alta sin facturar"/>
    <s v="Sin pago"/>
    <m/>
    <m/>
    <m/>
  </r>
  <r>
    <d v="2022-01-19T00:00:00"/>
    <x v="0"/>
    <s v="Noe Acevedo"/>
    <s v="NORTE"/>
    <n v="23162"/>
    <s v="Cliente"/>
    <m/>
    <n v="7"/>
    <n v="324.8"/>
    <n v="1231.92"/>
    <n v="2019.56"/>
    <n v="2323.48"/>
    <n v="2730.64"/>
    <n v="3636.6000000000004"/>
    <n v="4815.16"/>
    <m/>
    <n v="17082.16"/>
    <n v="116"/>
    <n v="7"/>
    <n v="16966.16"/>
    <n v="6.7907103082982482E-3"/>
    <s v="Cliente"/>
    <s v="Ha pagado"/>
    <m/>
    <m/>
    <m/>
  </r>
  <r>
    <d v="2022-01-19T00:00:00"/>
    <x v="0"/>
    <s v="Christian Castellanos"/>
    <s v="NORTE"/>
    <n v="23163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19T00:00:00"/>
    <x v="0"/>
    <s v="Genaro Castro"/>
    <s v="SUR"/>
    <n v="23164"/>
    <s v="Cliente"/>
    <m/>
    <n v="7"/>
    <n v="1930.24"/>
    <n v="1831.6399999999999"/>
    <n v="3650.52"/>
    <n v="2807.2"/>
    <n v="5747.8"/>
    <n v="5635.28"/>
    <n v="6911.2799999999988"/>
    <m/>
    <n v="28513.959999999995"/>
    <n v="0"/>
    <n v="7"/>
    <n v="28513.959999999995"/>
    <n v="0"/>
    <s v="Cliente"/>
    <s v="Ha pagado"/>
    <m/>
    <m/>
    <m/>
  </r>
  <r>
    <d v="2022-01-20T00:00:00"/>
    <x v="0"/>
    <s v="Rubí Rodríguez"/>
    <s v="CENTRO"/>
    <n v="23165"/>
    <s v="Alta sin facturar"/>
    <m/>
    <n v="7"/>
    <n v="60323.48"/>
    <n v="318313.28000000003"/>
    <n v="66816"/>
    <n v="25520"/>
    <n v="27840"/>
    <n v="37700"/>
    <n v="1856"/>
    <m/>
    <n v="538368.76"/>
    <m/>
    <n v="7"/>
    <n v="538368.76"/>
    <n v="0"/>
    <s v="Cliente"/>
    <s v="Ha pagado"/>
    <m/>
    <m/>
    <m/>
  </r>
  <r>
    <d v="2022-01-20T00:00:00"/>
    <x v="0"/>
    <s v="Jose Carlos Orozco"/>
    <s v="CENTRO"/>
    <n v="23166"/>
    <s v="Cliente"/>
    <m/>
    <n v="3"/>
    <n v="0"/>
    <n v="127.6"/>
    <n v="0"/>
    <n v="0"/>
    <n v="0"/>
    <n v="14290.04"/>
    <n v="881.6"/>
    <m/>
    <n v="15299.240000000002"/>
    <n v="5754.76"/>
    <n v="3"/>
    <n v="9544.4800000000014"/>
    <n v="0.37614678899082565"/>
    <s v="Cliente"/>
    <s v="Ha pagado"/>
    <m/>
    <m/>
    <m/>
  </r>
  <r>
    <d v="2022-01-20T00:00:00"/>
    <x v="0"/>
    <s v="Christian Castellanos"/>
    <s v="NORTE"/>
    <n v="23167"/>
    <s v="Cliente"/>
    <m/>
    <n v="0"/>
    <n v="0"/>
    <n v="0"/>
    <n v="0"/>
    <n v="0"/>
    <n v="0"/>
    <n v="0"/>
    <n v="0"/>
    <m/>
    <n v="0"/>
    <n v="28304"/>
    <n v="0"/>
    <n v="-28304"/>
    <n v="0"/>
    <s v="Alta sin facturar"/>
    <s v="Sin pago"/>
    <m/>
    <m/>
    <m/>
  </r>
  <r>
    <d v="2022-01-21T00:00:00"/>
    <x v="0"/>
    <s v="Rubí Rodríguez"/>
    <s v="CENTRO"/>
    <n v="23168"/>
    <s v="Cliente"/>
    <m/>
    <n v="6"/>
    <n v="1193.6399999999999"/>
    <n v="671.64"/>
    <n v="3731.7200000000003"/>
    <n v="925.68000000000006"/>
    <n v="814.31999999999994"/>
    <n v="15864.16"/>
    <n v="0"/>
    <m/>
    <n v="23201.16"/>
    <n v="0"/>
    <n v="6"/>
    <n v="23201.16"/>
    <n v="0"/>
    <s v="Cliente"/>
    <s v="Ha pagado"/>
    <m/>
    <m/>
    <m/>
  </r>
  <r>
    <d v="2022-01-21T00:00:00"/>
    <x v="0"/>
    <s v="Yuritzi Alejo"/>
    <s v="CENTRO"/>
    <n v="23169"/>
    <s v="Alta sin facturar"/>
    <m/>
    <n v="7"/>
    <n v="468.64"/>
    <n v="8683.76"/>
    <n v="5373.12"/>
    <n v="17345.48"/>
    <n v="22040"/>
    <n v="4290.84"/>
    <n v="512.72"/>
    <m/>
    <n v="58714.559999999998"/>
    <m/>
    <n v="7"/>
    <n v="58714.559999999998"/>
    <n v="0"/>
    <s v="Cliente"/>
    <s v="Ha pagado"/>
    <m/>
    <m/>
    <m/>
  </r>
  <r>
    <d v="2022-01-21T00:00:00"/>
    <x v="0"/>
    <s v="Sandra Escoto"/>
    <s v="CENTRO"/>
    <n v="23170"/>
    <s v="Cliente"/>
    <m/>
    <n v="6"/>
    <n v="4640"/>
    <n v="1856"/>
    <n v="11136"/>
    <n v="4735.12"/>
    <n v="4060"/>
    <n v="1856"/>
    <n v="0"/>
    <m/>
    <n v="28283.119999999999"/>
    <n v="16681.439999999999"/>
    <n v="6"/>
    <n v="11601.68"/>
    <n v="0.58980197375678489"/>
    <s v="Cliente"/>
    <s v="Ha pagado"/>
    <m/>
    <m/>
    <m/>
  </r>
  <r>
    <d v="2022-01-21T00:00:00"/>
    <x v="0"/>
    <s v="CANCELADA"/>
    <e v="#N/A"/>
    <n v="23171"/>
    <s v="Alta sin facturar"/>
    <m/>
    <n v="0"/>
    <n v="0"/>
    <n v="0"/>
    <n v="0"/>
    <n v="0"/>
    <n v="0"/>
    <n v="0"/>
    <n v="0"/>
    <m/>
    <n v="0"/>
    <n v="512.72"/>
    <n v="0"/>
    <n v="-512.72"/>
    <n v="0"/>
    <s v="Alta sin facturar"/>
    <s v="Sin pago"/>
    <m/>
    <m/>
    <m/>
  </r>
  <r>
    <d v="2022-01-21T00:00:00"/>
    <x v="0"/>
    <s v="Christian Castellanos"/>
    <s v="NORTE"/>
    <n v="23172"/>
    <s v="Cliente"/>
    <m/>
    <n v="6"/>
    <n v="0"/>
    <n v="3252.6400000000003"/>
    <n v="9841.4399999999987"/>
    <n v="5623.68"/>
    <n v="2709.76"/>
    <n v="5238.5599999999995"/>
    <n v="8530.64"/>
    <m/>
    <n v="35196.719999999994"/>
    <n v="1376"/>
    <n v="6"/>
    <n v="33820.719999999994"/>
    <n v="3.9094551992344746E-2"/>
    <s v="Cliente"/>
    <s v="Ha pagado"/>
    <m/>
    <m/>
    <m/>
  </r>
  <r>
    <d v="2022-01-21T00:00:00"/>
    <x v="0"/>
    <s v="Christian Castellanos"/>
    <s v="NORTE"/>
    <n v="23173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21T00:00:00"/>
    <x v="0"/>
    <s v="Rubí Rodríguez"/>
    <s v="CENTRO"/>
    <n v="23174"/>
    <s v="Cliente"/>
    <m/>
    <n v="5"/>
    <n v="1923.28"/>
    <n v="4456.72"/>
    <n v="0"/>
    <n v="530.12"/>
    <n v="1786.4"/>
    <n v="962.8"/>
    <n v="0"/>
    <m/>
    <n v="9659.32"/>
    <n v="676.28"/>
    <n v="5"/>
    <n v="8983.0399999999991"/>
    <n v="7.0013210039630125E-2"/>
    <s v="Cliente"/>
    <s v="Ha pagado"/>
    <m/>
    <m/>
    <m/>
  </r>
  <r>
    <d v="2022-01-21T00:00:00"/>
    <x v="0"/>
    <s v="Ricardo Vidal"/>
    <s v="MAGALLANES"/>
    <n v="23175"/>
    <s v="Alta sin facturar"/>
    <m/>
    <n v="5"/>
    <n v="1624"/>
    <n v="2437.16"/>
    <n v="3248"/>
    <n v="0"/>
    <n v="0"/>
    <n v="2494"/>
    <n v="1624"/>
    <m/>
    <n v="11427.16"/>
    <m/>
    <n v="5"/>
    <n v="11427.16"/>
    <n v="0"/>
    <s v="Cliente"/>
    <s v="Ha pagado"/>
    <m/>
    <m/>
    <m/>
  </r>
  <r>
    <d v="2022-01-22T00:00:00"/>
    <x v="0"/>
    <s v="Genaro Castro"/>
    <s v="SUR"/>
    <n v="23176"/>
    <s v="Cliente nuevo"/>
    <m/>
    <n v="6"/>
    <n v="0"/>
    <n v="6496"/>
    <n v="9744"/>
    <n v="6799.92"/>
    <n v="2622.76"/>
    <n v="2215.6"/>
    <n v="2680.7599999999998"/>
    <m/>
    <n v="30559.039999999997"/>
    <n v="962.8"/>
    <n v="6"/>
    <n v="29596.239999999998"/>
    <n v="3.1506225326450046E-2"/>
    <s v="Cliente"/>
    <s v="Ha pagado"/>
    <m/>
    <m/>
    <m/>
  </r>
  <r>
    <d v="2022-01-22T00:00:00"/>
    <x v="0"/>
    <s v="Yuriana Argüello"/>
    <s v="CENTRO"/>
    <n v="23177"/>
    <s v="Cliente"/>
    <m/>
    <n v="0"/>
    <n v="0"/>
    <n v="0"/>
    <n v="0"/>
    <n v="0"/>
    <n v="0"/>
    <n v="0"/>
    <n v="0"/>
    <m/>
    <n v="0"/>
    <n v="1682"/>
    <n v="0"/>
    <n v="-1682"/>
    <n v="0"/>
    <s v="Alta sin facturar"/>
    <s v="Sin pago"/>
    <m/>
    <m/>
    <m/>
  </r>
  <r>
    <d v="2022-01-24T00:00:00"/>
    <x v="0"/>
    <s v="Yuritzi Alejo"/>
    <s v="CENTRO"/>
    <n v="23178"/>
    <s v="Cliente"/>
    <m/>
    <n v="2"/>
    <n v="2204"/>
    <n v="3074"/>
    <n v="0"/>
    <n v="0"/>
    <n v="0"/>
    <n v="0"/>
    <n v="0"/>
    <m/>
    <n v="5278"/>
    <n v="0"/>
    <n v="2"/>
    <n v="5278"/>
    <n v="0"/>
    <s v="Cliente nuevo"/>
    <s v="Ha pagado"/>
    <m/>
    <m/>
    <m/>
  </r>
  <r>
    <d v="2022-01-24T00:00:00"/>
    <x v="0"/>
    <s v="Marcos López"/>
    <s v="SUR"/>
    <n v="23179"/>
    <s v="Cliente"/>
    <m/>
    <n v="6"/>
    <n v="0"/>
    <n v="11484"/>
    <n v="12528"/>
    <n v="12698.52"/>
    <n v="10336.76"/>
    <n v="20880"/>
    <n v="16704"/>
    <m/>
    <n v="84631.28"/>
    <m/>
    <n v="6"/>
    <n v="84631.28"/>
    <n v="0"/>
    <s v="Cliente"/>
    <s v="Ha pagado"/>
    <m/>
    <m/>
    <m/>
  </r>
  <r>
    <d v="2022-01-24T00:00:00"/>
    <x v="0"/>
    <s v="Marcos López"/>
    <s v="SUR"/>
    <n v="23180"/>
    <s v="Alta sin facturar"/>
    <m/>
    <n v="4"/>
    <n v="0"/>
    <n v="0"/>
    <n v="564.91999999999996"/>
    <n v="0"/>
    <n v="383.96"/>
    <n v="1407.08"/>
    <n v="660.04"/>
    <m/>
    <n v="3016"/>
    <n v="0"/>
    <n v="4"/>
    <n v="3016"/>
    <n v="0"/>
    <s v="Cliente"/>
    <s v="Ha pagado"/>
    <m/>
    <m/>
    <m/>
  </r>
  <r>
    <d v="2022-01-24T00:00:00"/>
    <x v="0"/>
    <s v="Dolores Jiménez"/>
    <s v="NORTE"/>
    <n v="23181"/>
    <s v="Cliente"/>
    <m/>
    <n v="3"/>
    <n v="0"/>
    <n v="5677.04"/>
    <n v="5529.72"/>
    <n v="1154.2"/>
    <n v="0"/>
    <n v="0"/>
    <n v="0"/>
    <m/>
    <n v="12360.960000000001"/>
    <n v="6554"/>
    <n v="3"/>
    <n v="5806.9600000000009"/>
    <n v="0.53021771771771764"/>
    <s v="Cliente"/>
    <s v="Ha pagado"/>
    <m/>
    <m/>
    <m/>
  </r>
  <r>
    <d v="2022-01-24T00:00:00"/>
    <x v="0"/>
    <s v="Iván Luna"/>
    <s v="NORTE"/>
    <n v="23182"/>
    <s v="Cliente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1-25T00:00:00"/>
    <x v="0"/>
    <s v="Julio César Trejo"/>
    <s v="NORTE"/>
    <n v="23183"/>
    <s v="Alta sin facturar"/>
    <m/>
    <n v="7"/>
    <n v="5852.2"/>
    <n v="11030.44"/>
    <n v="4498.4800000000005"/>
    <n v="1926.76"/>
    <n v="10829.76"/>
    <n v="13775"/>
    <n v="30328.199999999997"/>
    <m/>
    <n v="78240.84"/>
    <n v="0"/>
    <n v="7"/>
    <n v="78240.84"/>
    <n v="0"/>
    <s v="Cliente"/>
    <s v="Ha pagado"/>
    <m/>
    <m/>
    <m/>
  </r>
  <r>
    <d v="2022-01-25T00:00:00"/>
    <x v="0"/>
    <s v="Yuritzi Alejo"/>
    <s v="CENTRO"/>
    <n v="23184"/>
    <s v="Cliente"/>
    <m/>
    <n v="4"/>
    <n v="0"/>
    <n v="4285.04"/>
    <n v="640.32000000000005"/>
    <n v="0"/>
    <n v="1316.6"/>
    <n v="2833.88"/>
    <n v="0"/>
    <m/>
    <n v="9075.84"/>
    <m/>
    <n v="4"/>
    <n v="9075.84"/>
    <n v="0"/>
    <s v="Cliente"/>
    <s v="Ha pagado"/>
    <m/>
    <m/>
    <m/>
  </r>
  <r>
    <d v="2022-01-26T00:00:00"/>
    <x v="0"/>
    <s v="Yuriana Argüello"/>
    <s v="CENTRO"/>
    <n v="23185"/>
    <s v="Cliente nuevo"/>
    <m/>
    <n v="0"/>
    <n v="0"/>
    <n v="0"/>
    <n v="0"/>
    <n v="0"/>
    <n v="0"/>
    <n v="0"/>
    <n v="0"/>
    <m/>
    <n v="0"/>
    <n v="13183.4"/>
    <n v="0"/>
    <n v="-13183.4"/>
    <n v="0"/>
    <s v="Alta sin facturar"/>
    <s v="Sin pago"/>
    <m/>
    <m/>
    <m/>
  </r>
  <r>
    <d v="2022-01-26T00:00:00"/>
    <x v="0"/>
    <s v="Alfredo Almaráz"/>
    <s v="MAGALLANES"/>
    <n v="23186"/>
    <s v="Alta sin facturar"/>
    <m/>
    <n v="3"/>
    <n v="0"/>
    <n v="0"/>
    <n v="0"/>
    <n v="430.36"/>
    <n v="143.84"/>
    <n v="0"/>
    <n v="612.48"/>
    <m/>
    <n v="1186.68"/>
    <n v="2833.88"/>
    <n v="3"/>
    <n v="-1647.2"/>
    <n v="2.3880742913000979"/>
    <s v="Cliente"/>
    <s v="Sin pago"/>
    <m/>
    <m/>
    <m/>
  </r>
  <r>
    <d v="2022-01-26T00:00:00"/>
    <x v="0"/>
    <s v="Ricardo Vidal"/>
    <s v="MAGALLANES"/>
    <n v="23187"/>
    <s v="Cliente"/>
    <m/>
    <n v="2"/>
    <n v="812"/>
    <n v="812"/>
    <n v="0"/>
    <n v="0"/>
    <n v="0"/>
    <n v="0"/>
    <n v="0"/>
    <m/>
    <n v="1624"/>
    <m/>
    <n v="2"/>
    <n v="1624"/>
    <n v="0"/>
    <s v="Cliente nuevo"/>
    <s v="Ha pagado"/>
    <m/>
    <m/>
    <m/>
  </r>
  <r>
    <d v="2022-01-26T00:00:00"/>
    <x v="0"/>
    <s v="Ricardo Vidal"/>
    <s v="MAGALLANES"/>
    <n v="23188"/>
    <s v="Cliente"/>
    <m/>
    <n v="0"/>
    <n v="0"/>
    <n v="0"/>
    <n v="0"/>
    <n v="0"/>
    <n v="0"/>
    <n v="0"/>
    <n v="0"/>
    <m/>
    <n v="0"/>
    <n v="287.68"/>
    <n v="0"/>
    <n v="-287.68"/>
    <n v="0"/>
    <s v="Alta sin facturar"/>
    <s v="Sin pago"/>
    <m/>
    <m/>
    <m/>
  </r>
  <r>
    <d v="2022-01-26T00:00:00"/>
    <x v="0"/>
    <s v="Alondra Díaz"/>
    <s v="SUR"/>
    <n v="23189"/>
    <s v="Cliente nuevo"/>
    <m/>
    <n v="4"/>
    <n v="1044"/>
    <n v="3390.68"/>
    <n v="1276"/>
    <n v="0"/>
    <n v="0"/>
    <n v="580"/>
    <n v="0"/>
    <m/>
    <n v="6290.68"/>
    <n v="1624"/>
    <n v="4"/>
    <n v="4666.68"/>
    <n v="0.25815969020837176"/>
    <s v="Cliente"/>
    <s v="Ha pagado"/>
    <m/>
    <m/>
    <m/>
  </r>
  <r>
    <d v="2022-01-26T00:00:00"/>
    <x v="0"/>
    <s v="Marcos López"/>
    <s v="SUR"/>
    <n v="23190"/>
    <s v="Cliente"/>
    <m/>
    <n v="7"/>
    <n v="204.16"/>
    <n v="2547.3599999999997"/>
    <n v="5858"/>
    <n v="1948.8"/>
    <n v="6710.6"/>
    <n v="7215.2000000000007"/>
    <n v="4325.6400000000003"/>
    <m/>
    <n v="28809.759999999998"/>
    <m/>
    <n v="7"/>
    <n v="28809.759999999998"/>
    <n v="0"/>
    <s v="Cliente"/>
    <s v="Ha pagado"/>
    <m/>
    <m/>
    <m/>
  </r>
  <r>
    <d v="2022-01-26T00:00:00"/>
    <x v="0"/>
    <s v="MOSTRADOR"/>
    <e v="#N/A"/>
    <n v="23191"/>
    <s v="Cliente"/>
    <m/>
    <n v="1"/>
    <n v="1.1599999999999999"/>
    <n v="0"/>
    <n v="0"/>
    <n v="0"/>
    <n v="0"/>
    <n v="0"/>
    <n v="0"/>
    <m/>
    <n v="1.1599999999999999"/>
    <n v="0"/>
    <n v="1"/>
    <n v="1.1599999999999999"/>
    <n v="0"/>
    <s v="Cliente nuevo"/>
    <s v="Ha pagado"/>
    <m/>
    <m/>
    <m/>
  </r>
  <r>
    <d v="2022-01-26T00:00:00"/>
    <x v="0"/>
    <s v="Yareli Flores"/>
    <s v="CENTRO"/>
    <n v="23192"/>
    <s v="Cliente"/>
    <m/>
    <n v="4"/>
    <n v="0"/>
    <n v="0"/>
    <n v="0"/>
    <n v="2562.44"/>
    <n v="11895.8"/>
    <n v="24863.439999999999"/>
    <n v="10320.52"/>
    <m/>
    <n v="49642.2"/>
    <n v="0"/>
    <n v="4"/>
    <n v="49642.2"/>
    <n v="0"/>
    <s v="Cliente"/>
    <s v="Ha pagado"/>
    <m/>
    <m/>
    <m/>
  </r>
  <r>
    <d v="2022-01-26T00:00:00"/>
    <x v="0"/>
    <s v="Yareli Flores"/>
    <s v="CENTRO"/>
    <n v="23193"/>
    <s v="Cliente"/>
    <m/>
    <n v="6"/>
    <n v="0"/>
    <n v="4640"/>
    <n v="14285.4"/>
    <n v="6496"/>
    <n v="1611.24"/>
    <n v="1426.8"/>
    <n v="8932"/>
    <m/>
    <n v="37391.440000000002"/>
    <n v="0"/>
    <n v="6"/>
    <n v="37391.440000000002"/>
    <n v="0"/>
    <s v="Cliente"/>
    <s v="Ha pagado"/>
    <m/>
    <m/>
    <m/>
  </r>
  <r>
    <d v="2022-01-27T00:00:00"/>
    <x v="0"/>
    <s v="Genaro Castro"/>
    <s v="SUR"/>
    <n v="23194"/>
    <s v="Cliente"/>
    <m/>
    <n v="6"/>
    <n v="0"/>
    <n v="3201.6"/>
    <n v="8245.2799999999988"/>
    <n v="5044.84"/>
    <n v="7002.92"/>
    <n v="3809.44"/>
    <n v="4304.76"/>
    <m/>
    <n v="31608.839999999997"/>
    <n v="10320.52"/>
    <n v="6"/>
    <n v="21288.319999999996"/>
    <n v="0.32650739476678048"/>
    <s v="Cliente"/>
    <s v="Ha pagado"/>
    <m/>
    <m/>
    <m/>
  </r>
  <r>
    <d v="2022-01-27T00:00:00"/>
    <x v="0"/>
    <s v="Jose Carlos Orozco"/>
    <s v="CENTRO"/>
    <n v="23195"/>
    <s v="Cliente"/>
    <m/>
    <n v="3"/>
    <n v="0"/>
    <n v="0"/>
    <n v="352.64"/>
    <n v="266.8"/>
    <n v="907.12"/>
    <n v="0"/>
    <n v="0"/>
    <m/>
    <n v="1526.56"/>
    <n v="8932"/>
    <n v="3"/>
    <n v="-7405.4400000000005"/>
    <n v="5.8510638297872344"/>
    <s v="Cliente"/>
    <s v="Sin pago"/>
    <m/>
    <m/>
    <m/>
  </r>
  <r>
    <d v="2022-01-27T00:00:00"/>
    <x v="0"/>
    <s v="Genaro Castro"/>
    <s v="SUR"/>
    <n v="23196"/>
    <s v="Cliente"/>
    <m/>
    <n v="5"/>
    <n v="0"/>
    <n v="0"/>
    <n v="422.24"/>
    <n v="2054.3599999999997"/>
    <n v="1190.1599999999999"/>
    <n v="777.19999999999993"/>
    <n v="279.56"/>
    <m/>
    <n v="4723.5199999999995"/>
    <n v="9019"/>
    <n v="5"/>
    <n v="-4295.4800000000005"/>
    <n v="1.9093811394891946"/>
    <s v="Cliente"/>
    <s v="Sin pago"/>
    <m/>
    <m/>
    <m/>
  </r>
  <r>
    <d v="2022-01-27T00:00:00"/>
    <x v="0"/>
    <s v="Marcos López"/>
    <s v="SUR"/>
    <n v="23197"/>
    <s v="Alta sin facturar"/>
    <m/>
    <n v="6"/>
    <n v="0"/>
    <n v="2471.96"/>
    <n v="7415.88"/>
    <n v="4943.92"/>
    <n v="10051.400000000001"/>
    <n v="6261.68"/>
    <n v="7305.68"/>
    <m/>
    <n v="38450.520000000004"/>
    <n v="0"/>
    <n v="6"/>
    <n v="38450.520000000004"/>
    <n v="0"/>
    <s v="Cliente"/>
    <s v="Ha pagado"/>
    <m/>
    <m/>
    <m/>
  </r>
  <r>
    <d v="2022-01-27T00:00:00"/>
    <x v="0"/>
    <s v="Alondra Díaz"/>
    <s v="SUR"/>
    <n v="23198"/>
    <s v="Cliente nuevo"/>
    <m/>
    <n v="6"/>
    <n v="0"/>
    <n v="221.56"/>
    <n v="78.88"/>
    <n v="223.88"/>
    <n v="1015"/>
    <n v="2291"/>
    <n v="663.52"/>
    <m/>
    <n v="4493.84"/>
    <n v="0"/>
    <n v="6"/>
    <n v="4493.84"/>
    <n v="0"/>
    <s v="Cliente"/>
    <s v="Ha pagado"/>
    <m/>
    <m/>
    <m/>
  </r>
  <r>
    <d v="2022-01-27T00:00:00"/>
    <x v="0"/>
    <s v="Rubí Rodríguez"/>
    <s v="CENTRO"/>
    <n v="23199"/>
    <s v="Cliente"/>
    <m/>
    <n v="0"/>
    <n v="0"/>
    <n v="0"/>
    <n v="0"/>
    <n v="0"/>
    <n v="0"/>
    <n v="0"/>
    <n v="0"/>
    <m/>
    <n v="0"/>
    <n v="3652.84"/>
    <n v="0"/>
    <n v="-3652.84"/>
    <n v="0"/>
    <s v="Alta sin facturar"/>
    <s v="Sin pago"/>
    <m/>
    <m/>
    <m/>
  </r>
  <r>
    <d v="2022-01-28T00:00:00"/>
    <x v="0"/>
    <s v="Christian Castellanos"/>
    <s v="NORTE"/>
    <n v="23200"/>
    <s v="Cliente nuevo"/>
    <m/>
    <n v="1"/>
    <n v="0"/>
    <n v="812"/>
    <n v="0"/>
    <n v="0"/>
    <n v="0"/>
    <n v="0"/>
    <n v="0"/>
    <m/>
    <n v="812"/>
    <n v="0"/>
    <n v="1"/>
    <n v="812"/>
    <n v="0"/>
    <s v="Cliente nuevo"/>
    <s v="Ha pagado"/>
    <m/>
    <m/>
    <m/>
  </r>
  <r>
    <d v="2022-01-28T00:00:00"/>
    <x v="0"/>
    <s v="Iván Luna"/>
    <s v="NORTE"/>
    <n v="23201"/>
    <s v="Cliente"/>
    <m/>
    <n v="5"/>
    <n v="0"/>
    <n v="203"/>
    <n v="2291"/>
    <n v="1237.72"/>
    <n v="527.79999999999995"/>
    <n v="213.44"/>
    <n v="0"/>
    <m/>
    <n v="4472.96"/>
    <m/>
    <n v="5"/>
    <n v="4472.96"/>
    <n v="0"/>
    <s v="Cliente"/>
    <s v="Ha pagado"/>
    <m/>
    <m/>
    <m/>
  </r>
  <r>
    <d v="2022-01-29T00:00:00"/>
    <x v="0"/>
    <s v="Miguel Ángel Romero"/>
    <s v="CENTRO"/>
    <n v="23202"/>
    <s v="Alta sin facturar"/>
    <m/>
    <n v="2"/>
    <n v="0"/>
    <n v="0"/>
    <n v="0"/>
    <n v="481.4"/>
    <n v="388.6"/>
    <n v="0"/>
    <n v="0"/>
    <m/>
    <n v="870"/>
    <n v="0"/>
    <n v="2"/>
    <n v="870"/>
    <n v="0"/>
    <s v="Cliente nuevo"/>
    <s v="Ha pagado"/>
    <m/>
    <m/>
    <m/>
  </r>
  <r>
    <d v="2022-01-29T00:00:00"/>
    <x v="0"/>
    <s v="Miguel Ángel Romero"/>
    <s v="CENTRO"/>
    <n v="23203"/>
    <s v="Alta sin facturar"/>
    <m/>
    <n v="5"/>
    <n v="0"/>
    <n v="812"/>
    <n v="0"/>
    <n v="1624"/>
    <n v="812"/>
    <n v="1624"/>
    <n v="9222"/>
    <m/>
    <n v="14094"/>
    <n v="1978.96"/>
    <n v="5"/>
    <n v="12115.04"/>
    <n v="0.14041152263374485"/>
    <s v="Cliente"/>
    <s v="Ha pagado"/>
    <m/>
    <m/>
    <m/>
  </r>
  <r>
    <d v="2022-01-31T00:00:00"/>
    <x v="0"/>
    <s v="MOSTRADOR"/>
    <e v="#N/A"/>
    <n v="23204"/>
    <s v="Cliente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1-31T00:00:00"/>
    <x v="0"/>
    <s v="Noe Acevedo"/>
    <s v="NORTE"/>
    <n v="23205"/>
    <s v="Alta sin facturar"/>
    <m/>
    <n v="0"/>
    <n v="0"/>
    <n v="0"/>
    <n v="0"/>
    <n v="0"/>
    <n v="0"/>
    <n v="0"/>
    <n v="0"/>
    <m/>
    <n v="0"/>
    <n v="1972"/>
    <n v="0"/>
    <n v="-1972"/>
    <n v="0"/>
    <s v="Alta sin facturar"/>
    <s v="Sin pago"/>
    <m/>
    <m/>
    <m/>
  </r>
  <r>
    <d v="2022-01-31T00:00:00"/>
    <x v="0"/>
    <s v="Sandra Escoto"/>
    <s v="CENTRO"/>
    <n v="23206"/>
    <s v="Cliente"/>
    <m/>
    <n v="6"/>
    <n v="0"/>
    <n v="1862.96"/>
    <n v="2056.6799999999998"/>
    <n v="1484.8"/>
    <n v="1291.08"/>
    <n v="2115.8399999999997"/>
    <n v="1930.24"/>
    <m/>
    <n v="10741.599999999999"/>
    <m/>
    <n v="6"/>
    <n v="10741.599999999999"/>
    <n v="0"/>
    <s v="Cliente"/>
    <s v="Ha pagado"/>
    <m/>
    <m/>
    <m/>
  </r>
  <r>
    <d v="2022-01-31T00:00:00"/>
    <x v="0"/>
    <s v="Sandra Escoto"/>
    <s v="CENTRO"/>
    <n v="23207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1-31T00:00:00"/>
    <x v="0"/>
    <s v="Ricardo Vidal"/>
    <s v="MAGALLANES"/>
    <n v="23208"/>
    <s v="Cliente"/>
    <m/>
    <n v="5"/>
    <n v="0"/>
    <n v="4060"/>
    <n v="1624"/>
    <n v="0"/>
    <n v="1914"/>
    <n v="8120"/>
    <n v="3248"/>
    <m/>
    <n v="18966"/>
    <n v="116"/>
    <n v="5"/>
    <n v="18850"/>
    <n v="6.1162079510703364E-3"/>
    <s v="Cliente"/>
    <s v="Ha pagado"/>
    <m/>
    <m/>
    <m/>
  </r>
  <r>
    <d v="2022-01-31T00:00:00"/>
    <x v="0"/>
    <s v="Yuriana Argüello"/>
    <s v="CENTRO"/>
    <n v="23209"/>
    <s v="Alta sin facturar"/>
    <m/>
    <n v="2"/>
    <n v="0"/>
    <n v="1434.92"/>
    <n v="13001.28"/>
    <n v="0"/>
    <n v="0"/>
    <n v="0"/>
    <n v="0"/>
    <m/>
    <n v="14436.2"/>
    <m/>
    <n v="2"/>
    <n v="14436.2"/>
    <n v="0"/>
    <s v="Cliente nuevo"/>
    <s v="Ha pagado"/>
    <m/>
    <m/>
    <m/>
  </r>
  <r>
    <d v="2022-02-01T00:00:00"/>
    <x v="1"/>
    <s v="Genaro Castro"/>
    <s v="SUR"/>
    <n v="23210"/>
    <s v="Alta sin facturar"/>
    <m/>
    <n v="6"/>
    <n v="0"/>
    <n v="3902.24"/>
    <n v="3169.12"/>
    <n v="2436"/>
    <n v="2864.04"/>
    <n v="9335.6800000000021"/>
    <n v="13075.519999999997"/>
    <m/>
    <n v="34782.6"/>
    <n v="9744"/>
    <n v="6"/>
    <n v="25038.6"/>
    <n v="0.28014007003501751"/>
    <s v="Cliente"/>
    <s v="Ha pagado"/>
    <m/>
    <m/>
    <m/>
  </r>
  <r>
    <d v="2022-02-01T00:00:00"/>
    <x v="1"/>
    <s v="Miguel Ángel Romero"/>
    <s v="CENTRO"/>
    <n v="23211"/>
    <s v="Cliente"/>
    <m/>
    <n v="0"/>
    <n v="0"/>
    <n v="0"/>
    <n v="0"/>
    <n v="0"/>
    <n v="0"/>
    <n v="0"/>
    <n v="0"/>
    <m/>
    <n v="0"/>
    <n v="13001.28"/>
    <n v="0"/>
    <n v="-13001.28"/>
    <n v="0"/>
    <s v="Alta sin facturar"/>
    <s v="Sin pago"/>
    <m/>
    <m/>
    <m/>
  </r>
  <r>
    <d v="2022-02-01T00:00:00"/>
    <x v="1"/>
    <s v="Miguel Ángel Romero"/>
    <s v="CENTRO"/>
    <n v="23212"/>
    <s v="Cliente"/>
    <m/>
    <n v="0"/>
    <n v="0"/>
    <n v="0"/>
    <n v="0"/>
    <n v="0"/>
    <n v="0"/>
    <n v="0"/>
    <n v="0"/>
    <m/>
    <n v="0"/>
    <n v="6866.04"/>
    <n v="0"/>
    <n v="-6866.04"/>
    <n v="0"/>
    <s v="Alta sin facturar"/>
    <s v="Sin pago"/>
    <m/>
    <m/>
    <m/>
  </r>
  <r>
    <d v="2022-02-01T00:00:00"/>
    <x v="1"/>
    <s v="Marcos López"/>
    <s v="SUR"/>
    <n v="23213"/>
    <s v="Cliente nuevo"/>
    <m/>
    <n v="6"/>
    <n v="0"/>
    <n v="47200.4"/>
    <n v="7301.0399999999991"/>
    <n v="14508.12"/>
    <n v="9639.6"/>
    <n v="12935.16"/>
    <n v="6101.6"/>
    <m/>
    <n v="97685.920000000013"/>
    <m/>
    <n v="6"/>
    <n v="97685.920000000013"/>
    <n v="0"/>
    <s v="Cliente"/>
    <s v="Ha pagado"/>
    <m/>
    <m/>
    <m/>
  </r>
  <r>
    <d v="2022-02-01T00:00:00"/>
    <x v="1"/>
    <s v="Genaro Castro"/>
    <s v="SUR"/>
    <n v="23214"/>
    <s v="Alta sin facturar"/>
    <m/>
    <n v="6"/>
    <n v="0"/>
    <n v="4098.28"/>
    <n v="11290.279999999999"/>
    <n v="9840.2799999999988"/>
    <n v="7647.88"/>
    <n v="10455.080000000002"/>
    <n v="5797.68"/>
    <m/>
    <n v="49129.479999999996"/>
    <m/>
    <n v="6"/>
    <n v="49129.479999999996"/>
    <n v="0"/>
    <s v="Cliente"/>
    <s v="Ha pagado"/>
    <m/>
    <m/>
    <m/>
  </r>
  <r>
    <d v="2022-02-01T00:00:00"/>
    <x v="1"/>
    <s v="Christian Castellanos"/>
    <s v="NORTE"/>
    <n v="23215"/>
    <s v="Cliente nuevo"/>
    <m/>
    <n v="1"/>
    <n v="0"/>
    <n v="2436"/>
    <n v="0"/>
    <n v="0"/>
    <n v="0"/>
    <n v="0"/>
    <n v="0"/>
    <m/>
    <n v="2436"/>
    <n v="1272.52"/>
    <n v="1"/>
    <n v="1163.48"/>
    <n v="0.52238095238095239"/>
    <s v="Cliente nuevo"/>
    <s v="Ha pagado"/>
    <m/>
    <m/>
    <m/>
  </r>
  <r>
    <d v="2022-02-01T00:00:00"/>
    <x v="1"/>
    <s v="Noemí Castillo"/>
    <s v="NORTE"/>
    <n v="23216"/>
    <s v="Cliente"/>
    <m/>
    <n v="0"/>
    <n v="0"/>
    <n v="0"/>
    <n v="0"/>
    <n v="0"/>
    <n v="0"/>
    <n v="0"/>
    <n v="0"/>
    <m/>
    <n v="0"/>
    <n v="4363.8"/>
    <n v="0"/>
    <n v="-4363.8"/>
    <n v="0"/>
    <s v="Alta sin facturar"/>
    <s v="Sin pago"/>
    <m/>
    <m/>
    <m/>
  </r>
  <r>
    <d v="2022-02-01T00:00:00"/>
    <x v="1"/>
    <s v="Rubí Rodríguez"/>
    <s v="CENTRO"/>
    <n v="23217"/>
    <s v="Alta sin facturar"/>
    <m/>
    <n v="1"/>
    <n v="0"/>
    <n v="0"/>
    <n v="1809.6"/>
    <n v="0"/>
    <n v="0"/>
    <n v="0"/>
    <n v="0"/>
    <m/>
    <n v="1809.6"/>
    <n v="2436"/>
    <n v="1"/>
    <n v="-626.40000000000009"/>
    <n v="1.3461538461538463"/>
    <s v="Cliente nuevo"/>
    <s v="Sin pago"/>
    <m/>
    <m/>
    <m/>
  </r>
  <r>
    <d v="2022-02-01T00:00:00"/>
    <x v="1"/>
    <s v="Yareli Flores"/>
    <s v="CENTRO"/>
    <n v="23218"/>
    <s v="Cliente"/>
    <m/>
    <n v="3"/>
    <n v="0"/>
    <n v="0"/>
    <n v="943.08"/>
    <n v="0"/>
    <n v="346.84"/>
    <n v="303.92"/>
    <n v="0"/>
    <m/>
    <n v="1593.8400000000001"/>
    <m/>
    <n v="3"/>
    <n v="1593.8400000000001"/>
    <n v="0"/>
    <s v="Cliente"/>
    <s v="Ha pagado"/>
    <m/>
    <m/>
    <m/>
  </r>
  <r>
    <d v="2022-02-01T00:00:00"/>
    <x v="1"/>
    <s v="Yareli Flores"/>
    <s v="CENTRO"/>
    <n v="23219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2-02T00:00:00"/>
    <x v="1"/>
    <s v="Dolores Jiménez"/>
    <s v="NORTE"/>
    <n v="23220"/>
    <s v="Cliente"/>
    <m/>
    <n v="4"/>
    <n v="0"/>
    <n v="214.6"/>
    <n v="1523.08"/>
    <n v="0"/>
    <n v="1502.1999999999998"/>
    <n v="174"/>
    <n v="0"/>
    <m/>
    <n v="3413.8799999999997"/>
    <n v="0"/>
    <n v="4"/>
    <n v="3413.8799999999997"/>
    <n v="0"/>
    <s v="Cliente"/>
    <s v="Ha pagado"/>
    <m/>
    <m/>
    <m/>
  </r>
  <r>
    <d v="2022-02-02T00:00:00"/>
    <x v="1"/>
    <s v="Ricardo Vidal"/>
    <s v="MAGALLANES"/>
    <n v="23221"/>
    <s v="Cliente"/>
    <m/>
    <n v="1"/>
    <n v="0"/>
    <n v="287.68"/>
    <n v="0"/>
    <n v="0"/>
    <n v="0"/>
    <n v="0"/>
    <n v="0"/>
    <m/>
    <n v="287.68"/>
    <m/>
    <n v="1"/>
    <n v="287.68"/>
    <n v="0"/>
    <s v="Cliente nuevo"/>
    <s v="Ha pagado"/>
    <m/>
    <m/>
    <m/>
  </r>
  <r>
    <d v="2022-02-02T00:00:00"/>
    <x v="1"/>
    <s v="Ricardo Vidal"/>
    <s v="MAGALLANES"/>
    <n v="23222"/>
    <s v="Alta sin facturar"/>
    <m/>
    <n v="6"/>
    <n v="0"/>
    <n v="9349.6"/>
    <n v="15074.2"/>
    <n v="2586.8000000000002"/>
    <n v="5745.48"/>
    <n v="4909.12"/>
    <n v="18167.919999999998"/>
    <m/>
    <n v="55833.120000000003"/>
    <n v="0"/>
    <n v="6"/>
    <n v="55833.120000000003"/>
    <n v="0"/>
    <s v="Cliente"/>
    <s v="Ha pagado"/>
    <m/>
    <m/>
    <m/>
  </r>
  <r>
    <d v="2022-02-02T00:00:00"/>
    <x v="1"/>
    <s v="Genaro Castro"/>
    <s v="SUR"/>
    <n v="23223"/>
    <s v="Cliente"/>
    <m/>
    <n v="4"/>
    <n v="0"/>
    <n v="3248"/>
    <n v="1624"/>
    <n v="0"/>
    <n v="0"/>
    <n v="3248"/>
    <n v="812"/>
    <m/>
    <n v="8932"/>
    <n v="287.68"/>
    <n v="4"/>
    <n v="8644.32"/>
    <n v="3.2207792207792206E-2"/>
    <s v="Cliente"/>
    <s v="Ha pagado"/>
    <m/>
    <m/>
    <m/>
  </r>
  <r>
    <d v="2022-02-03T00:00:00"/>
    <x v="1"/>
    <s v="Oscar Moreno"/>
    <s v="MAGALLANES"/>
    <n v="23224"/>
    <s v="Alta sin facturar"/>
    <m/>
    <n v="0"/>
    <n v="0"/>
    <n v="0"/>
    <n v="0"/>
    <n v="0"/>
    <n v="0"/>
    <n v="0"/>
    <n v="0"/>
    <m/>
    <n v="0"/>
    <n v="1734.2"/>
    <n v="0"/>
    <n v="-1734.2"/>
    <n v="0"/>
    <s v="Alta sin facturar"/>
    <s v="Sin pago"/>
    <m/>
    <m/>
    <m/>
  </r>
  <r>
    <d v="2022-02-03T00:00:00"/>
    <x v="1"/>
    <s v="Yareli Flores"/>
    <s v="CENTRO"/>
    <n v="23225"/>
    <s v="Cliente"/>
    <m/>
    <n v="5"/>
    <n v="0"/>
    <n v="0"/>
    <n v="488.36"/>
    <n v="600.88"/>
    <n v="1238.8800000000001"/>
    <n v="1460.44"/>
    <n v="1881.52"/>
    <m/>
    <n v="5670.08"/>
    <n v="0"/>
    <n v="5"/>
    <n v="5670.08"/>
    <n v="0"/>
    <s v="Cliente"/>
    <s v="Ha pagado"/>
    <m/>
    <m/>
    <m/>
  </r>
  <r>
    <d v="2022-02-03T00:00:00"/>
    <x v="1"/>
    <s v="Yareli Flores"/>
    <s v="CENTRO"/>
    <n v="23226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2-04T00:00:00"/>
    <x v="1"/>
    <s v="Dolores Jiménez"/>
    <s v="NORTE"/>
    <n v="23227"/>
    <s v="Cliente"/>
    <m/>
    <n v="5"/>
    <n v="0"/>
    <n v="0"/>
    <n v="1212.2"/>
    <n v="1930.24"/>
    <n v="58"/>
    <n v="2606.52"/>
    <n v="3099.5200000000004"/>
    <m/>
    <n v="8906.48"/>
    <n v="1881.52"/>
    <n v="5"/>
    <n v="7024.9599999999991"/>
    <n v="0.2112529304506382"/>
    <s v="Cliente"/>
    <s v="Ha pagado"/>
    <m/>
    <m/>
    <m/>
  </r>
  <r>
    <d v="2022-02-04T00:00:00"/>
    <x v="1"/>
    <s v="Genaro Castro"/>
    <s v="SUR"/>
    <n v="23228"/>
    <s v="Cliente nuevo"/>
    <m/>
    <n v="5"/>
    <n v="0"/>
    <n v="0"/>
    <n v="5157.3599999999997"/>
    <n v="1756.24"/>
    <n v="2133.2399999999998"/>
    <n v="887.40000000000009"/>
    <n v="7436.76"/>
    <m/>
    <n v="17371"/>
    <m/>
    <n v="5"/>
    <n v="17371"/>
    <n v="0"/>
    <s v="Cliente"/>
    <s v="Ha pagado"/>
    <m/>
    <m/>
    <m/>
  </r>
  <r>
    <d v="2022-02-08T00:00:00"/>
    <x v="1"/>
    <s v="Dolores Jiménez"/>
    <s v="NORTE"/>
    <n v="23229"/>
    <s v="Cliente nuevo"/>
    <m/>
    <n v="4"/>
    <n v="0"/>
    <n v="396.72"/>
    <n v="2056.6799999999998"/>
    <n v="972.08"/>
    <n v="2713.2400000000002"/>
    <n v="0"/>
    <n v="0"/>
    <m/>
    <n v="6138.7199999999993"/>
    <n v="976.72"/>
    <n v="4"/>
    <n v="5161.9999999999991"/>
    <n v="0.15910808767951629"/>
    <s v="Cliente"/>
    <s v="Ha pagado"/>
    <m/>
    <m/>
    <m/>
  </r>
  <r>
    <d v="2022-02-08T00:00:00"/>
    <x v="1"/>
    <s v="Diana Tejadilla"/>
    <s v="CENTRO"/>
    <n v="23230"/>
    <s v="Cliente"/>
    <m/>
    <n v="1"/>
    <n v="0"/>
    <n v="0"/>
    <n v="0"/>
    <n v="151.96"/>
    <n v="0"/>
    <n v="0"/>
    <n v="0"/>
    <m/>
    <n v="151.96"/>
    <n v="3077.48"/>
    <n v="1"/>
    <n v="-2925.52"/>
    <n v="20.251908396946565"/>
    <s v="Cliente nuevo"/>
    <s v="Sin pago"/>
    <m/>
    <m/>
    <m/>
  </r>
  <r>
    <d v="2022-02-08T00:00:00"/>
    <x v="1"/>
    <s v="Diana Tejadilla"/>
    <s v="CENTRO"/>
    <n v="23231"/>
    <s v="Cliente"/>
    <m/>
    <n v="2"/>
    <n v="0"/>
    <n v="0"/>
    <n v="2784"/>
    <n v="0"/>
    <n v="928"/>
    <n v="0"/>
    <n v="0"/>
    <m/>
    <n v="3712"/>
    <n v="0"/>
    <n v="2"/>
    <n v="3712"/>
    <n v="0"/>
    <s v="Cliente nuevo"/>
    <s v="Ha pagado"/>
    <m/>
    <m/>
    <m/>
  </r>
  <r>
    <d v="2022-01-08T00:00:00"/>
    <x v="0"/>
    <s v="Alfredo Almaráz"/>
    <s v="MAGALLANES"/>
    <n v="23232"/>
    <s v="Cliente"/>
    <m/>
    <n v="6"/>
    <n v="0"/>
    <n v="70.760000000000005"/>
    <n v="605.52"/>
    <n v="464"/>
    <n v="1021.96"/>
    <n v="832.88"/>
    <n v="807.36"/>
    <m/>
    <n v="3802.48"/>
    <n v="0"/>
    <n v="6"/>
    <n v="3802.48"/>
    <n v="0"/>
    <s v="Cliente"/>
    <s v="Ha pagado"/>
    <m/>
    <m/>
    <m/>
  </r>
  <r>
    <d v="2022-02-08T00:00:00"/>
    <x v="1"/>
    <s v="Dulce González"/>
    <s v="NORTE"/>
    <n v="23233"/>
    <s v="Cliente nuevo"/>
    <m/>
    <n v="5"/>
    <n v="0"/>
    <n v="20880"/>
    <n v="0"/>
    <n v="19488"/>
    <n v="198.36"/>
    <n v="3717.8"/>
    <n v="696"/>
    <m/>
    <n v="44980.160000000003"/>
    <n v="0"/>
    <n v="5"/>
    <n v="44980.160000000003"/>
    <n v="0"/>
    <s v="Cliente"/>
    <s v="Ha pagado"/>
    <m/>
    <m/>
    <m/>
  </r>
  <r>
    <d v="2022-02-08T00:00:00"/>
    <x v="1"/>
    <s v="Noe Acevedo"/>
    <s v="NORTE"/>
    <n v="23234"/>
    <s v="Alta sin facturar"/>
    <m/>
    <n v="3"/>
    <n v="0"/>
    <n v="4872"/>
    <n v="1760.88"/>
    <n v="0"/>
    <n v="0"/>
    <n v="5800"/>
    <n v="0"/>
    <m/>
    <n v="12432.880000000001"/>
    <n v="0"/>
    <n v="3"/>
    <n v="12432.880000000001"/>
    <n v="0"/>
    <s v="Cliente"/>
    <s v="Ha pagado"/>
    <m/>
    <m/>
    <m/>
  </r>
  <r>
    <d v="2022-02-09T00:00:00"/>
    <x v="1"/>
    <s v="Noemí Castillo"/>
    <s v="NORTE"/>
    <n v="23235"/>
    <s v="Alta sin facturar"/>
    <m/>
    <n v="2"/>
    <n v="0"/>
    <n v="0"/>
    <n v="0"/>
    <n v="0"/>
    <n v="0"/>
    <n v="1160"/>
    <n v="1624"/>
    <m/>
    <n v="2784"/>
    <n v="0"/>
    <n v="2"/>
    <n v="2784"/>
    <n v="0"/>
    <s v="Cliente nuevo"/>
    <s v="Ha pagado"/>
    <m/>
    <m/>
    <m/>
  </r>
  <r>
    <d v="2022-02-09T00:00:00"/>
    <x v="1"/>
    <s v="Ricardo Vidal"/>
    <s v="MAGALLANES"/>
    <n v="23236"/>
    <s v="Cliente nuevo"/>
    <m/>
    <n v="0"/>
    <n v="0"/>
    <n v="0"/>
    <n v="0"/>
    <n v="0"/>
    <n v="0"/>
    <n v="0"/>
    <n v="0"/>
    <m/>
    <n v="0"/>
    <n v="7560.88"/>
    <n v="0"/>
    <n v="-7560.88"/>
    <n v="0"/>
    <s v="Alta sin facturar"/>
    <s v="Sin pago"/>
    <m/>
    <m/>
    <m/>
  </r>
  <r>
    <d v="2022-02-09T00:00:00"/>
    <x v="1"/>
    <s v="Karla Ángeles"/>
    <s v="CENTRO"/>
    <n v="23237"/>
    <s v="Alta sin facturar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2-10T00:00:00"/>
    <x v="1"/>
    <s v="Karla Ángeles"/>
    <s v="CENTRO"/>
    <n v="23238"/>
    <s v="Cliente"/>
    <m/>
    <n v="1"/>
    <n v="0"/>
    <n v="0"/>
    <n v="0"/>
    <n v="0"/>
    <n v="0"/>
    <n v="11.6"/>
    <n v="0"/>
    <m/>
    <n v="11.6"/>
    <m/>
    <n v="1"/>
    <n v="11.6"/>
    <n v="0"/>
    <s v="Cliente nuevo"/>
    <s v="Ha pagado"/>
    <m/>
    <m/>
    <m/>
  </r>
  <r>
    <d v="2022-02-10T00:00:00"/>
    <x v="1"/>
    <s v="Alfredo Almaráz"/>
    <s v="MAGALLANES"/>
    <n v="23239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2-10T00:00:00"/>
    <x v="1"/>
    <s v="Christian Castellanos"/>
    <s v="NORTE"/>
    <n v="23240"/>
    <s v="Cliente"/>
    <m/>
    <n v="6"/>
    <n v="0"/>
    <n v="3248"/>
    <n v="11329.72"/>
    <n v="1624"/>
    <n v="7088.76"/>
    <n v="5303.52"/>
    <n v="16188.96"/>
    <m/>
    <n v="44782.96"/>
    <n v="11.6"/>
    <n v="6"/>
    <n v="44771.360000000001"/>
    <n v="2.5902709423405686E-4"/>
    <s v="Cliente"/>
    <s v="Ha pagado"/>
    <m/>
    <m/>
    <m/>
  </r>
  <r>
    <d v="2022-02-10T00:00:00"/>
    <x v="1"/>
    <s v="Julio César Trejo"/>
    <s v="NORTE"/>
    <n v="23241"/>
    <s v="Cliente nuevo"/>
    <m/>
    <n v="5"/>
    <n v="0"/>
    <n v="1308.48"/>
    <n v="2300.2799999999997"/>
    <n v="2146"/>
    <n v="1006.88"/>
    <n v="2633.2000000000003"/>
    <n v="0"/>
    <m/>
    <n v="9394.84"/>
    <m/>
    <n v="5"/>
    <n v="9394.84"/>
    <n v="0"/>
    <s v="Cliente"/>
    <s v="Ha pagado"/>
    <m/>
    <m/>
    <m/>
  </r>
  <r>
    <d v="2022-02-10T00:00:00"/>
    <x v="1"/>
    <s v="Marcos López"/>
    <s v="SUR"/>
    <n v="23242"/>
    <s v="Cliente"/>
    <m/>
    <n v="5"/>
    <n v="0"/>
    <n v="0"/>
    <n v="269462.19999999995"/>
    <n v="27834.199999999997"/>
    <n v="12489.720000000001"/>
    <n v="27444.440000000002"/>
    <n v="4280.3999999999996"/>
    <m/>
    <n v="341510.96"/>
    <n v="16188.96"/>
    <n v="5"/>
    <n v="325322"/>
    <n v="4.7403925191742011E-2"/>
    <s v="Cliente"/>
    <s v="Ha pagado"/>
    <m/>
    <m/>
    <m/>
  </r>
  <r>
    <d v="2022-02-11T00:00:00"/>
    <x v="1"/>
    <s v="RECEPCION"/>
    <e v="#N/A"/>
    <n v="23243"/>
    <s v="Alta sin facturar"/>
    <m/>
    <n v="1"/>
    <n v="0"/>
    <n v="0"/>
    <n v="0"/>
    <n v="0"/>
    <n v="44011.31"/>
    <n v="0"/>
    <n v="0"/>
    <m/>
    <n v="44011.31"/>
    <n v="2633.2000000000003"/>
    <n v="1"/>
    <n v="41378.11"/>
    <n v="5.9830075496503064E-2"/>
    <s v="Cliente nuevo"/>
    <s v="Ha pagado"/>
    <m/>
    <m/>
    <m/>
  </r>
  <r>
    <d v="2022-02-11T00:00:00"/>
    <x v="1"/>
    <s v="Christian Castellanos"/>
    <s v="NORTE"/>
    <n v="23244"/>
    <s v="Cliente nuevo"/>
    <m/>
    <n v="6"/>
    <n v="0"/>
    <n v="1648.36"/>
    <n v="3821.04"/>
    <n v="6950.72"/>
    <n v="5675.88"/>
    <n v="3829.16"/>
    <n v="6290.68"/>
    <m/>
    <n v="28215.84"/>
    <n v="3424.3199999999997"/>
    <n v="6"/>
    <n v="24791.52"/>
    <n v="0.12136161815490872"/>
    <s v="Cliente"/>
    <s v="Ha pagado"/>
    <m/>
    <m/>
    <m/>
  </r>
  <r>
    <d v="2022-02-11T00:00:00"/>
    <x v="1"/>
    <s v="Iván Luna"/>
    <s v="NORTE"/>
    <n v="23245"/>
    <s v="Cliente"/>
    <m/>
    <n v="0"/>
    <n v="0"/>
    <n v="0"/>
    <n v="0"/>
    <n v="0"/>
    <n v="0"/>
    <n v="0"/>
    <n v="0"/>
    <m/>
    <n v="0"/>
    <n v="44011.31"/>
    <n v="0"/>
    <n v="-44011.31"/>
    <n v="0"/>
    <s v="Alta sin facturar"/>
    <s v="Sin pago"/>
    <m/>
    <m/>
    <m/>
  </r>
  <r>
    <d v="2022-02-11T00:00:00"/>
    <x v="1"/>
    <s v="Iván Luna"/>
    <s v="NORTE"/>
    <n v="23246"/>
    <s v="Alta sin facturar"/>
    <m/>
    <n v="2"/>
    <n v="0"/>
    <n v="8120"/>
    <n v="8932"/>
    <n v="0"/>
    <n v="0"/>
    <n v="0"/>
    <n v="0"/>
    <m/>
    <n v="17052"/>
    <n v="1647.2"/>
    <n v="2"/>
    <n v="15404.8"/>
    <n v="9.6598639455782315E-2"/>
    <s v="Cliente nuevo"/>
    <s v="Ha pagado"/>
    <m/>
    <m/>
    <m/>
  </r>
  <r>
    <d v="2022-02-11T00:00:00"/>
    <x v="1"/>
    <s v="Dulce González"/>
    <s v="NORTE"/>
    <n v="23247"/>
    <s v="Cliente nuevo"/>
    <m/>
    <n v="3"/>
    <n v="0"/>
    <n v="11413.240000000002"/>
    <n v="17606.480000000003"/>
    <n v="14146.2"/>
    <n v="0"/>
    <n v="0"/>
    <n v="0"/>
    <m/>
    <n v="43165.920000000006"/>
    <m/>
    <n v="3"/>
    <n v="43165.920000000006"/>
    <n v="0"/>
    <s v="Cliente"/>
    <s v="Ha pagado"/>
    <m/>
    <m/>
    <m/>
  </r>
  <r>
    <d v="2022-02-12T00:00:00"/>
    <x v="1"/>
    <s v="Marcos López"/>
    <s v="SUR"/>
    <n v="23248"/>
    <s v="Cliente"/>
    <m/>
    <n v="0"/>
    <n v="0"/>
    <n v="0"/>
    <n v="0"/>
    <n v="0"/>
    <n v="0"/>
    <n v="0"/>
    <n v="0"/>
    <m/>
    <n v="0"/>
    <n v="17052"/>
    <n v="0"/>
    <n v="-17052"/>
    <n v="0"/>
    <s v="Alta sin facturar"/>
    <s v="Sin pago"/>
    <m/>
    <m/>
    <m/>
  </r>
  <r>
    <d v="2022-02-12T00:00:00"/>
    <x v="1"/>
    <s v="Dolores Jiménez"/>
    <s v="NORTE"/>
    <n v="23249"/>
    <s v="Cliente"/>
    <m/>
    <n v="2"/>
    <n v="0"/>
    <n v="0"/>
    <n v="2308.4"/>
    <n v="0"/>
    <n v="0"/>
    <n v="580"/>
    <n v="0"/>
    <m/>
    <n v="2888.4"/>
    <n v="0"/>
    <n v="2"/>
    <n v="2888.4"/>
    <n v="0"/>
    <s v="Cliente nuevo"/>
    <s v="Ha pagado"/>
    <m/>
    <m/>
    <m/>
  </r>
  <r>
    <d v="2022-02-12T00:00:00"/>
    <x v="1"/>
    <s v="Iván Luna"/>
    <s v="NORTE"/>
    <n v="23250"/>
    <s v="Cliente"/>
    <m/>
    <n v="4"/>
    <n v="0"/>
    <n v="0"/>
    <n v="1237.72"/>
    <n v="0"/>
    <n v="2207.48"/>
    <n v="1227.28"/>
    <n v="11254.32"/>
    <m/>
    <n v="15926.8"/>
    <m/>
    <n v="4"/>
    <n v="15926.8"/>
    <n v="0"/>
    <s v="Cliente"/>
    <s v="Ha pagado"/>
    <m/>
    <m/>
    <m/>
  </r>
  <r>
    <d v="2022-02-12T00:00:00"/>
    <x v="1"/>
    <s v="Christian Castellanos"/>
    <s v="NORTE"/>
    <n v="23251"/>
    <s v="Cliente nuevo"/>
    <m/>
    <n v="3"/>
    <n v="0"/>
    <n v="0"/>
    <n v="4776.88"/>
    <n v="676.28"/>
    <n v="2533.44"/>
    <n v="0"/>
    <n v="0"/>
    <m/>
    <n v="7986.6"/>
    <n v="580"/>
    <n v="3"/>
    <n v="7406.6"/>
    <n v="7.262164124909222E-2"/>
    <s v="Cliente"/>
    <s v="Ha pagado"/>
    <m/>
    <m/>
    <m/>
  </r>
  <r>
    <d v="2022-02-12T00:00:00"/>
    <x v="1"/>
    <s v="Genaro Castro"/>
    <s v="SUR"/>
    <n v="23252"/>
    <s v="Cliente"/>
    <m/>
    <n v="5"/>
    <n v="0"/>
    <n v="546.36"/>
    <n v="1422.1599999999999"/>
    <n v="0"/>
    <n v="2396.56"/>
    <n v="1211.04"/>
    <n v="751.68"/>
    <m/>
    <n v="6327.8"/>
    <n v="11627.84"/>
    <n v="5"/>
    <n v="-5300.04"/>
    <n v="1.8375802016498626"/>
    <s v="Cliente"/>
    <s v="Sin pago"/>
    <m/>
    <m/>
    <m/>
  </r>
  <r>
    <d v="2022-02-15T00:00:00"/>
    <x v="1"/>
    <s v="Christian Castellanos"/>
    <s v="NORTE"/>
    <n v="23253"/>
    <s v="Alta sin facturar"/>
    <m/>
    <n v="1"/>
    <n v="0"/>
    <n v="0"/>
    <n v="0"/>
    <n v="0"/>
    <n v="0"/>
    <n v="0"/>
    <n v="866.52"/>
    <m/>
    <n v="866.52"/>
    <n v="0"/>
    <n v="1"/>
    <n v="866.52"/>
    <n v="0"/>
    <s v="Cliente nuevo"/>
    <s v="Ha pagado"/>
    <m/>
    <m/>
    <m/>
  </r>
  <r>
    <d v="2022-01-15T00:00:00"/>
    <x v="0"/>
    <s v="Ricardo Vidal"/>
    <s v="MAGALLANES"/>
    <n v="23255"/>
    <s v="Cliente"/>
    <m/>
    <n v="4"/>
    <n v="0"/>
    <n v="928"/>
    <n v="6352.16"/>
    <n v="1856"/>
    <n v="0"/>
    <n v="3016"/>
    <n v="0"/>
    <m/>
    <n v="12152.16"/>
    <n v="0"/>
    <n v="4"/>
    <n v="12152.16"/>
    <n v="0"/>
    <s v="Cliente"/>
    <s v="Ha pagado"/>
    <m/>
    <m/>
    <m/>
  </r>
  <r>
    <d v="2022-02-15T00:00:00"/>
    <x v="1"/>
    <s v="Karla Ángeles"/>
    <s v="CENTRO"/>
    <n v="23256"/>
    <s v="Cliente nuevo"/>
    <m/>
    <n v="0"/>
    <n v="0"/>
    <n v="0"/>
    <n v="0"/>
    <n v="0"/>
    <n v="0"/>
    <n v="0"/>
    <n v="0"/>
    <m/>
    <n v="0"/>
    <n v="866.52"/>
    <n v="0"/>
    <n v="-866.52"/>
    <n v="0"/>
    <s v="Alta sin facturar"/>
    <s v="Sin pago"/>
    <m/>
    <m/>
    <m/>
  </r>
  <r>
    <d v="2022-02-15T00:00:00"/>
    <x v="1"/>
    <s v="Alfredo Almaráz"/>
    <s v="MAGALLANES"/>
    <n v="23257"/>
    <s v="Cliente"/>
    <m/>
    <n v="5"/>
    <n v="0"/>
    <n v="80736"/>
    <n v="28536"/>
    <n v="9744"/>
    <n v="4872"/>
    <n v="696"/>
    <n v="0"/>
    <m/>
    <n v="124584"/>
    <n v="0"/>
    <n v="5"/>
    <n v="124584"/>
    <n v="0"/>
    <s v="Cliente"/>
    <s v="Ha pagado"/>
    <m/>
    <m/>
    <m/>
  </r>
  <r>
    <d v="2022-02-15T00:00:00"/>
    <x v="1"/>
    <s v="Yuriana Argüello"/>
    <s v="CENTRO"/>
    <n v="23258"/>
    <s v="Cliente"/>
    <m/>
    <n v="1"/>
    <n v="0"/>
    <n v="0"/>
    <n v="299.27999999999997"/>
    <n v="0"/>
    <n v="0"/>
    <n v="0"/>
    <n v="0"/>
    <m/>
    <n v="299.27999999999997"/>
    <m/>
    <n v="1"/>
    <n v="299.27999999999997"/>
    <n v="0"/>
    <s v="Cliente nuevo"/>
    <s v="Ha pagado"/>
    <m/>
    <m/>
    <m/>
  </r>
  <r>
    <d v="2022-02-16T00:00:00"/>
    <x v="1"/>
    <s v="Dolores Jiménez"/>
    <s v="NORTE"/>
    <n v="23259"/>
    <s v="Alta sin facturar"/>
    <m/>
    <n v="3"/>
    <n v="0"/>
    <n v="2650.6"/>
    <n v="9152.4"/>
    <n v="3753.7599999999998"/>
    <n v="0"/>
    <n v="0"/>
    <n v="0"/>
    <m/>
    <n v="15556.76"/>
    <n v="696"/>
    <n v="3"/>
    <n v="14860.76"/>
    <n v="4.4739393035567815E-2"/>
    <s v="Cliente"/>
    <s v="Ha pagado"/>
    <m/>
    <m/>
    <m/>
  </r>
  <r>
    <d v="2022-02-17T00:00:00"/>
    <x v="1"/>
    <s v="Dolores Jiménez"/>
    <s v="NORTE"/>
    <n v="23260"/>
    <s v="Cliente"/>
    <m/>
    <n v="4"/>
    <n v="0"/>
    <n v="0"/>
    <n v="506.92"/>
    <n v="395.56"/>
    <n v="0"/>
    <n v="95.12"/>
    <n v="1131"/>
    <m/>
    <n v="2128.6"/>
    <n v="0"/>
    <n v="4"/>
    <n v="2128.6"/>
    <n v="0"/>
    <s v="Cliente"/>
    <s v="Ha pagado"/>
    <m/>
    <m/>
    <m/>
  </r>
  <r>
    <d v="2022-02-17T00:00:00"/>
    <x v="1"/>
    <s v="Rubí Rodríguez"/>
    <s v="CENTRO"/>
    <n v="23261"/>
    <s v="Cliente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2-18T00:00:00"/>
    <x v="1"/>
    <s v="Jose Carlos Orozco"/>
    <s v="CENTRO"/>
    <n v="23262"/>
    <s v="Cliente nuevo"/>
    <m/>
    <n v="5"/>
    <n v="0"/>
    <n v="0"/>
    <n v="1856"/>
    <n v="16936"/>
    <n v="8816"/>
    <n v="8352"/>
    <n v="16008"/>
    <m/>
    <n v="51968"/>
    <n v="0"/>
    <n v="5"/>
    <n v="51968"/>
    <n v="0"/>
    <s v="Cliente"/>
    <s v="Ha pagado"/>
    <m/>
    <m/>
    <m/>
  </r>
  <r>
    <d v="2022-02-19T00:00:00"/>
    <x v="1"/>
    <s v="Marcos López"/>
    <s v="SUR"/>
    <n v="23263"/>
    <s v="Cliente"/>
    <m/>
    <n v="6"/>
    <n v="0"/>
    <n v="526.64"/>
    <n v="1128.68"/>
    <n v="2284.04"/>
    <n v="1001.0799999999999"/>
    <n v="1624"/>
    <n v="1356.04"/>
    <m/>
    <n v="7920.4800000000005"/>
    <m/>
    <n v="6"/>
    <n v="7920.4800000000005"/>
    <n v="0"/>
    <s v="Cliente"/>
    <s v="Ha pagado"/>
    <m/>
    <m/>
    <m/>
  </r>
  <r>
    <d v="2022-02-19T00:00:00"/>
    <x v="1"/>
    <s v="Diana Tejadilla"/>
    <s v="CENTRO"/>
    <n v="23264"/>
    <s v="Cliente"/>
    <m/>
    <n v="2"/>
    <n v="0"/>
    <n v="0"/>
    <n v="0"/>
    <n v="2784"/>
    <n v="928"/>
    <n v="0"/>
    <n v="0"/>
    <m/>
    <n v="3712"/>
    <n v="3016"/>
    <n v="2"/>
    <n v="696"/>
    <n v="0.8125"/>
    <s v="Cliente nuevo"/>
    <s v="Ha pagado"/>
    <m/>
    <m/>
    <m/>
  </r>
  <r>
    <d v="2022-02-19T00:00:00"/>
    <x v="1"/>
    <s v="Dulce González"/>
    <s v="NORTE"/>
    <n v="23265"/>
    <s v="Cliente nuevo"/>
    <m/>
    <n v="4"/>
    <n v="0"/>
    <n v="0"/>
    <n v="327.12"/>
    <n v="0"/>
    <n v="93.96"/>
    <n v="81.2"/>
    <n v="3064.7200000000003"/>
    <m/>
    <n v="3567"/>
    <n v="1084.5999999999999"/>
    <n v="4"/>
    <n v="2482.4"/>
    <n v="0.30406504065040646"/>
    <s v="Cliente"/>
    <s v="Ha pagado"/>
    <m/>
    <m/>
    <m/>
  </r>
  <r>
    <d v="2022-02-19T00:00:00"/>
    <x v="1"/>
    <s v="Jose Carlos Orozco"/>
    <s v="CENTRO"/>
    <n v="23266"/>
    <s v="Cliente"/>
    <m/>
    <n v="5"/>
    <n v="0"/>
    <n v="0"/>
    <n v="2217.92"/>
    <n v="46836.159999999996"/>
    <n v="6216.44"/>
    <n v="2894.2"/>
    <n v="7970.36"/>
    <m/>
    <n v="66135.079999999987"/>
    <n v="928"/>
    <n v="5"/>
    <n v="65207.079999999987"/>
    <n v="1.403188746426254E-2"/>
    <s v="Cliente"/>
    <s v="Ha pagado"/>
    <m/>
    <m/>
    <m/>
  </r>
  <r>
    <d v="2022-02-21T00:00:00"/>
    <x v="1"/>
    <s v="Genaro Castro"/>
    <s v="SUR"/>
    <n v="23267"/>
    <s v="Cliente"/>
    <m/>
    <n v="2"/>
    <n v="0"/>
    <n v="0"/>
    <n v="194.88"/>
    <n v="0"/>
    <n v="0"/>
    <n v="0"/>
    <n v="976.72"/>
    <m/>
    <n v="1171.5999999999999"/>
    <n v="0"/>
    <n v="2"/>
    <n v="1171.5999999999999"/>
    <n v="0"/>
    <s v="Cliente nuevo"/>
    <s v="Ha pagado"/>
    <m/>
    <m/>
    <m/>
  </r>
  <r>
    <d v="2022-02-21T00:00:00"/>
    <x v="1"/>
    <s v="Marcos López"/>
    <s v="SUR"/>
    <n v="23268"/>
    <s v="Alta sin facturar"/>
    <m/>
    <n v="5"/>
    <n v="0"/>
    <n v="0"/>
    <n v="2724.84"/>
    <n v="1611.24"/>
    <n v="443.12"/>
    <n v="1133.3200000000002"/>
    <n v="1354.88"/>
    <m/>
    <n v="7267.4000000000005"/>
    <n v="4170.2"/>
    <n v="5"/>
    <n v="3097.2000000000007"/>
    <n v="0.57382282521947314"/>
    <s v="Cliente"/>
    <s v="Ha pagado"/>
    <m/>
    <m/>
    <m/>
  </r>
  <r>
    <d v="2022-02-21T00:00:00"/>
    <x v="1"/>
    <s v="Miguel Ángel Romero"/>
    <s v="CENTRO"/>
    <n v="23269"/>
    <s v="Cliente"/>
    <m/>
    <n v="5"/>
    <n v="0"/>
    <n v="0"/>
    <n v="50891.520000000004"/>
    <n v="7761.5599999999995"/>
    <n v="1216.8399999999999"/>
    <n v="1270.1999999999998"/>
    <n v="2842"/>
    <m/>
    <n v="63982.119999999995"/>
    <n v="976.72"/>
    <n v="5"/>
    <n v="63005.399999999994"/>
    <n v="1.5265514803198144E-2"/>
    <s v="Cliente"/>
    <s v="Ha pagado"/>
    <m/>
    <m/>
    <m/>
  </r>
  <r>
    <d v="2022-02-22T00:00:00"/>
    <x v="1"/>
    <s v="Alfredo Almaráz"/>
    <s v="MAGALLANES"/>
    <n v="23270"/>
    <s v="Cliente nuevo"/>
    <m/>
    <n v="0"/>
    <n v="0"/>
    <n v="0"/>
    <n v="0"/>
    <n v="0"/>
    <n v="0"/>
    <n v="0"/>
    <n v="0"/>
    <m/>
    <n v="0"/>
    <n v="649.6"/>
    <n v="0"/>
    <n v="-649.6"/>
    <n v="0"/>
    <s v="Alta sin facturar"/>
    <s v="Sin pago"/>
    <m/>
    <m/>
    <m/>
  </r>
  <r>
    <d v="2022-02-22T00:00:00"/>
    <x v="1"/>
    <s v="Yareli Flores"/>
    <s v="CENTRO"/>
    <n v="23271"/>
    <s v="Alta sin facturar"/>
    <m/>
    <n v="5"/>
    <n v="0"/>
    <n v="0"/>
    <n v="34757.08"/>
    <n v="5079.6400000000003"/>
    <n v="3853.52"/>
    <n v="5079.6400000000003"/>
    <n v="26211.360000000001"/>
    <m/>
    <n v="74981.239999999991"/>
    <n v="6101.04"/>
    <n v="5"/>
    <n v="68880.2"/>
    <n v="8.1367552737191345E-2"/>
    <s v="Cliente"/>
    <s v="Ha pagado"/>
    <m/>
    <m/>
    <m/>
  </r>
  <r>
    <d v="2022-02-22T00:00:00"/>
    <x v="1"/>
    <s v="Iván Luna"/>
    <s v="NORTE"/>
    <n v="23272"/>
    <s v="Cliente nuevo"/>
    <m/>
    <n v="1"/>
    <n v="0"/>
    <n v="0"/>
    <n v="0"/>
    <n v="0"/>
    <n v="0"/>
    <n v="1160"/>
    <n v="0"/>
    <m/>
    <n v="1160"/>
    <m/>
    <n v="1"/>
    <n v="1160"/>
    <n v="0"/>
    <s v="Cliente nuevo"/>
    <s v="Ha pagado"/>
    <m/>
    <m/>
    <m/>
  </r>
  <r>
    <d v="2022-02-22T00:00:00"/>
    <x v="1"/>
    <s v="Diana Tejadilla"/>
    <s v="CENTRO"/>
    <n v="23273"/>
    <s v="Cliente"/>
    <m/>
    <n v="0"/>
    <n v="0"/>
    <n v="0"/>
    <n v="0"/>
    <n v="0"/>
    <n v="0"/>
    <n v="0"/>
    <n v="0"/>
    <m/>
    <n v="0"/>
    <n v="31291"/>
    <n v="0"/>
    <n v="-31291"/>
    <n v="0"/>
    <s v="Alta sin facturar"/>
    <s v="Sin pago"/>
    <m/>
    <m/>
    <m/>
  </r>
  <r>
    <d v="2022-02-22T00:00:00"/>
    <x v="1"/>
    <s v="Julio César Trejo"/>
    <s v="NORTE"/>
    <n v="23274"/>
    <s v="Alta sin facturar"/>
    <m/>
    <n v="2"/>
    <n v="0"/>
    <n v="0"/>
    <n v="0"/>
    <n v="116"/>
    <n v="10609.36"/>
    <n v="0"/>
    <n v="0"/>
    <m/>
    <n v="10725.36"/>
    <n v="1160"/>
    <n v="2"/>
    <n v="9565.36"/>
    <n v="0.1081548777849881"/>
    <s v="Cliente nuevo"/>
    <s v="Ha pagado"/>
    <m/>
    <m/>
    <m/>
  </r>
  <r>
    <d v="2022-02-23T00:00:00"/>
    <x v="1"/>
    <s v="Yuritzi Alejo"/>
    <s v="CENTRO"/>
    <n v="23275"/>
    <s v="Cliente"/>
    <m/>
    <n v="5"/>
    <n v="0"/>
    <n v="0"/>
    <n v="2629.7200000000003"/>
    <n v="4724.68"/>
    <n v="1001.08"/>
    <n v="1472.04"/>
    <n v="3578.6000000000004"/>
    <m/>
    <n v="13406.12"/>
    <m/>
    <n v="5"/>
    <n v="13406.12"/>
    <n v="0"/>
    <s v="Cliente"/>
    <s v="Ha pagado"/>
    <m/>
    <m/>
    <m/>
  </r>
  <r>
    <d v="2022-02-23T00:00:00"/>
    <x v="1"/>
    <s v="Yareli Flores"/>
    <s v="CENTRO"/>
    <n v="23276"/>
    <s v="Alta sin facturar"/>
    <m/>
    <n v="0"/>
    <n v="0"/>
    <n v="0"/>
    <n v="0"/>
    <n v="0"/>
    <n v="0"/>
    <n v="0"/>
    <n v="0"/>
    <m/>
    <n v="0"/>
    <n v="5323.24"/>
    <n v="0"/>
    <n v="-5323.24"/>
    <n v="0"/>
    <s v="Alta sin facturar"/>
    <s v="Sin pago"/>
    <m/>
    <m/>
    <m/>
  </r>
  <r>
    <d v="2022-02-23T00:00:00"/>
    <x v="1"/>
    <s v="Yareli Flores"/>
    <s v="CENTRO"/>
    <n v="23277"/>
    <s v="Cliente"/>
    <m/>
    <n v="4"/>
    <n v="0"/>
    <n v="0"/>
    <n v="2648.2799999999997"/>
    <n v="3594.84"/>
    <n v="1198.28"/>
    <n v="1198.28"/>
    <n v="0"/>
    <m/>
    <n v="8639.68"/>
    <n v="2637.84"/>
    <n v="4"/>
    <n v="6001.84"/>
    <n v="0.30531686358754029"/>
    <s v="Cliente"/>
    <s v="Ha pagado"/>
    <m/>
    <m/>
    <m/>
  </r>
  <r>
    <d v="2022-02-23T00:00:00"/>
    <x v="1"/>
    <s v="Yareli Flores"/>
    <s v="CENTRO"/>
    <n v="23278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2-23T00:00:00"/>
    <x v="1"/>
    <s v="Rubí Rodríguez"/>
    <s v="CENTRO"/>
    <n v="23279"/>
    <s v="Cliente"/>
    <m/>
    <n v="5"/>
    <n v="0"/>
    <n v="0"/>
    <n v="5071.5200000000004"/>
    <n v="582.32000000000005"/>
    <n v="2324.6400000000003"/>
    <n v="2555.48"/>
    <n v="2451.08"/>
    <m/>
    <n v="12985.04"/>
    <n v="0"/>
    <n v="5"/>
    <n v="12985.04"/>
    <n v="0"/>
    <s v="Cliente"/>
    <s v="Ha pagado"/>
    <m/>
    <m/>
    <m/>
  </r>
  <r>
    <d v="2022-02-23T00:00:00"/>
    <x v="1"/>
    <s v="Genaro Castro"/>
    <s v="SUR"/>
    <n v="23280"/>
    <s v="Cliente"/>
    <m/>
    <n v="5"/>
    <n v="0"/>
    <n v="0"/>
    <n v="1763.2"/>
    <n v="2643.6400000000003"/>
    <n v="1276"/>
    <n v="1451.16"/>
    <n v="5184.0399999999991"/>
    <m/>
    <n v="12318.039999999999"/>
    <m/>
    <n v="5"/>
    <n v="12318.039999999999"/>
    <n v="0"/>
    <s v="Cliente"/>
    <s v="Ha pagado"/>
    <m/>
    <m/>
    <m/>
  </r>
  <r>
    <d v="2022-02-23T00:00:00"/>
    <x v="1"/>
    <s v="Marcos López"/>
    <s v="SUR"/>
    <n v="23281"/>
    <s v="Cliente"/>
    <m/>
    <n v="3"/>
    <n v="0"/>
    <n v="0"/>
    <n v="101790"/>
    <n v="0"/>
    <n v="870"/>
    <n v="870"/>
    <n v="0"/>
    <m/>
    <n v="103530"/>
    <n v="2858.24"/>
    <n v="3"/>
    <n v="100671.76"/>
    <n v="2.7607843137254898E-2"/>
    <s v="Cliente"/>
    <s v="Ha pagado"/>
    <m/>
    <m/>
    <m/>
  </r>
  <r>
    <d v="2022-02-24T00:00:00"/>
    <x v="1"/>
    <s v="Yareli Flores"/>
    <s v="CENTRO"/>
    <n v="23282"/>
    <s v="Cliente"/>
    <m/>
    <n v="5"/>
    <n v="0"/>
    <n v="0"/>
    <n v="99412"/>
    <n v="27956"/>
    <n v="37062"/>
    <n v="6960"/>
    <n v="9280"/>
    <m/>
    <n v="180670"/>
    <n v="2446.44"/>
    <n v="5"/>
    <n v="178223.56"/>
    <n v="1.3540930979133227E-2"/>
    <s v="Cliente"/>
    <s v="Ha pagado"/>
    <m/>
    <m/>
    <m/>
  </r>
  <r>
    <d v="2022-02-24T00:00:00"/>
    <x v="1"/>
    <s v="Yuritzi Alejo"/>
    <s v="CENTRO"/>
    <n v="23283"/>
    <s v="Alta sin facturar"/>
    <m/>
    <n v="5"/>
    <n v="0"/>
    <n v="0"/>
    <n v="28776.12"/>
    <n v="72748.240000000005"/>
    <n v="76254.92"/>
    <n v="117447.67999999999"/>
    <n v="75260.800000000003"/>
    <m/>
    <n v="370487.75999999995"/>
    <n v="0"/>
    <n v="5"/>
    <n v="370487.75999999995"/>
    <n v="0"/>
    <s v="Cliente"/>
    <s v="Ha pagado"/>
    <m/>
    <m/>
    <m/>
  </r>
  <r>
    <d v="2022-02-24T00:00:00"/>
    <x v="1"/>
    <s v="Yareli Flores"/>
    <s v="CENTRO"/>
    <n v="23284"/>
    <s v="Cliente nuevo"/>
    <m/>
    <n v="5"/>
    <n v="0"/>
    <n v="0"/>
    <n v="2556.64"/>
    <n v="994.12"/>
    <n v="157.76"/>
    <n v="423.40000000000003"/>
    <n v="157.76"/>
    <m/>
    <n v="4289.6799999999994"/>
    <n v="11542"/>
    <n v="5"/>
    <n v="-7252.3200000000006"/>
    <n v="2.6906435911303412"/>
    <s v="Cliente"/>
    <s v="Sin pago"/>
    <m/>
    <m/>
    <m/>
  </r>
  <r>
    <d v="2022-02-24T00:00:00"/>
    <x v="1"/>
    <s v="Yareli Flores"/>
    <s v="CENTRO"/>
    <n v="23285"/>
    <s v="Cliente"/>
    <m/>
    <n v="0"/>
    <n v="0"/>
    <n v="0"/>
    <n v="0"/>
    <n v="0"/>
    <n v="0"/>
    <n v="0"/>
    <n v="0"/>
    <m/>
    <n v="0"/>
    <n v="75260.800000000003"/>
    <n v="0"/>
    <n v="-75260.800000000003"/>
    <n v="0"/>
    <s v="Alta sin facturar"/>
    <s v="Sin pago"/>
    <m/>
    <m/>
    <m/>
  </r>
  <r>
    <d v="2022-02-24T00:00:00"/>
    <x v="1"/>
    <s v="Julio César Trejo"/>
    <s v="NORTE"/>
    <n v="23286"/>
    <s v="Cliente nuevo"/>
    <m/>
    <n v="2"/>
    <n v="0"/>
    <n v="0"/>
    <n v="0"/>
    <n v="928"/>
    <n v="0"/>
    <n v="0"/>
    <n v="928"/>
    <m/>
    <n v="1856"/>
    <n v="646.40000000000009"/>
    <n v="2"/>
    <n v="1209.5999999999999"/>
    <n v="0.34827586206896555"/>
    <s v="Cliente nuevo"/>
    <s v="Ha pagado"/>
    <m/>
    <m/>
    <m/>
  </r>
  <r>
    <d v="2022-02-25T00:00:00"/>
    <x v="1"/>
    <s v="Alfredo Almaráz"/>
    <s v="MAGALLANES"/>
    <n v="23287"/>
    <s v="Cliente"/>
    <m/>
    <n v="5"/>
    <n v="0"/>
    <n v="0"/>
    <n v="2107.7199999999998"/>
    <n v="494.16"/>
    <n v="951.19999999999993"/>
    <n v="395.56000000000006"/>
    <n v="1310.8"/>
    <m/>
    <n v="5259.44"/>
    <m/>
    <n v="5"/>
    <n v="5259.44"/>
    <n v="0"/>
    <s v="Cliente"/>
    <s v="Ha pagado"/>
    <m/>
    <m/>
    <m/>
  </r>
  <r>
    <d v="2022-02-25T00:00:00"/>
    <x v="1"/>
    <s v="Alfredo Almaráz"/>
    <s v="MAGALLANES"/>
    <n v="23288"/>
    <s v="Alta sin facturar"/>
    <m/>
    <n v="1"/>
    <n v="0"/>
    <n v="0"/>
    <n v="220.4"/>
    <n v="0"/>
    <n v="0"/>
    <n v="0"/>
    <n v="0"/>
    <m/>
    <n v="220.4"/>
    <n v="1856"/>
    <n v="1"/>
    <n v="-1635.6"/>
    <n v="8.4210526315789469"/>
    <s v="Cliente nuevo"/>
    <s v="Sin pago"/>
    <m/>
    <m/>
    <m/>
  </r>
  <r>
    <d v="2022-02-25T00:00:00"/>
    <x v="1"/>
    <s v="Alfredo Almaráz"/>
    <s v="MAGALLANES"/>
    <n v="23289"/>
    <s v="Alta sin facturar"/>
    <m/>
    <n v="3"/>
    <n v="0"/>
    <n v="0"/>
    <n v="0"/>
    <n v="1840.92"/>
    <n v="18684.12"/>
    <n v="1044"/>
    <n v="0"/>
    <m/>
    <n v="21569.040000000001"/>
    <n v="801.56000000000006"/>
    <n v="3"/>
    <n v="20767.48"/>
    <n v="3.7162525545875014E-2"/>
    <s v="Cliente"/>
    <s v="Ha pagado"/>
    <m/>
    <m/>
    <m/>
  </r>
  <r>
    <d v="2022-02-28T00:00:00"/>
    <x v="1"/>
    <s v="Dolores Jiménez"/>
    <s v="NORTE"/>
    <n v="23290"/>
    <s v="Cliente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2-28T00:00:00"/>
    <x v="1"/>
    <s v="Yuriana Argüello"/>
    <s v="CENTRO"/>
    <n v="23291"/>
    <s v="Alta sin facturar"/>
    <m/>
    <n v="0"/>
    <n v="0"/>
    <n v="0"/>
    <n v="0"/>
    <n v="0"/>
    <n v="0"/>
    <n v="0"/>
    <n v="0"/>
    <m/>
    <n v="0"/>
    <n v="7963.4000000000005"/>
    <n v="0"/>
    <n v="-7963.4000000000005"/>
    <n v="0"/>
    <s v="Alta sin facturar"/>
    <s v="Sin pago"/>
    <m/>
    <m/>
    <m/>
  </r>
  <r>
    <d v="2022-03-01T00:00:00"/>
    <x v="2"/>
    <s v="Noemí Castillo"/>
    <s v="NORTE"/>
    <n v="23292"/>
    <s v="Cliente"/>
    <m/>
    <n v="3"/>
    <n v="0"/>
    <n v="0"/>
    <n v="1224.96"/>
    <n v="1719.12"/>
    <n v="0"/>
    <n v="0"/>
    <n v="1127.52"/>
    <m/>
    <n v="4071.6"/>
    <m/>
    <n v="3"/>
    <n v="4071.6"/>
    <n v="0"/>
    <s v="Cliente"/>
    <s v="Ha pagado"/>
    <m/>
    <m/>
    <m/>
  </r>
  <r>
    <d v="2022-03-01T00:00:00"/>
    <x v="2"/>
    <s v="Noemí Castillo"/>
    <s v="NORTE"/>
    <n v="23293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3-01T00:00:00"/>
    <x v="2"/>
    <s v="Alfredo Almaráz"/>
    <s v="MAGALLANES"/>
    <n v="23294"/>
    <s v="Cliente nuevo"/>
    <m/>
    <n v="4"/>
    <n v="0"/>
    <n v="0"/>
    <n v="0"/>
    <n v="610.16"/>
    <n v="293.48"/>
    <n v="3711.9999999999995"/>
    <n v="3579.7599999999993"/>
    <m/>
    <n v="8195.3999999999978"/>
    <n v="1224.96"/>
    <n v="4"/>
    <n v="6970.4399999999978"/>
    <n v="0.14946921443736735"/>
    <s v="Cliente"/>
    <s v="Ha pagado"/>
    <m/>
    <m/>
    <m/>
  </r>
  <r>
    <d v="2022-03-01T00:00:00"/>
    <x v="2"/>
    <s v="Dolores Jiménez"/>
    <s v="NORTE"/>
    <n v="23295"/>
    <s v="Cliente"/>
    <m/>
    <n v="3"/>
    <n v="0"/>
    <n v="0"/>
    <n v="0"/>
    <n v="0"/>
    <n v="2603.04"/>
    <n v="9184.880000000001"/>
    <n v="2583.3199999999997"/>
    <m/>
    <n v="14371.240000000002"/>
    <m/>
    <n v="3"/>
    <n v="14371.240000000002"/>
    <n v="0"/>
    <s v="Cliente"/>
    <s v="Ha pagado"/>
    <m/>
    <m/>
    <m/>
  </r>
  <r>
    <d v="2022-03-01T00:00:00"/>
    <x v="2"/>
    <s v="Ricardo Vidal"/>
    <s v="MAGALLANES"/>
    <n v="23296"/>
    <s v="Cliente"/>
    <m/>
    <n v="1"/>
    <n v="0"/>
    <n v="0"/>
    <n v="0"/>
    <n v="0"/>
    <n v="0"/>
    <n v="613.64"/>
    <n v="0"/>
    <m/>
    <n v="613.64"/>
    <n v="110.2"/>
    <n v="1"/>
    <n v="503.44"/>
    <n v="0.17958412098298679"/>
    <s v="Cliente nuevo"/>
    <s v="Ha pagado"/>
    <m/>
    <m/>
    <m/>
  </r>
  <r>
    <d v="2022-03-01T00:00:00"/>
    <x v="2"/>
    <s v="Alfredo Almaráz"/>
    <s v="MAGALLANES"/>
    <n v="23297"/>
    <s v="Cliente nuevo"/>
    <m/>
    <n v="5"/>
    <n v="0"/>
    <n v="0"/>
    <n v="4932.32"/>
    <n v="4989.16"/>
    <n v="3834.96"/>
    <n v="9332.2000000000007"/>
    <n v="3270.0399999999995"/>
    <m/>
    <n v="26358.68"/>
    <n v="619.44000000000005"/>
    <n v="5"/>
    <n v="25739.24"/>
    <n v="2.3500418078598779E-2"/>
    <s v="Cliente"/>
    <s v="Ha pagado"/>
    <m/>
    <m/>
    <m/>
  </r>
  <r>
    <d v="2022-03-01T00:00:00"/>
    <x v="2"/>
    <s v="Yuritzi Alejo"/>
    <s v="CENTRO"/>
    <n v="23298"/>
    <s v="Alta sin facturar"/>
    <m/>
    <n v="5"/>
    <n v="0"/>
    <n v="0"/>
    <n v="3602.96"/>
    <n v="2679.6"/>
    <n v="3282.8"/>
    <n v="5305.84"/>
    <n v="3336.16"/>
    <m/>
    <n v="18207.36"/>
    <n v="613.64"/>
    <n v="5"/>
    <n v="17593.72"/>
    <n v="3.3702854230377166E-2"/>
    <s v="Cliente"/>
    <s v="Ha pagado"/>
    <m/>
    <m/>
    <m/>
  </r>
  <r>
    <d v="2022-03-02T00:00:00"/>
    <x v="2"/>
    <s v="Alfredo Almaráz"/>
    <s v="MAGALLANES"/>
    <n v="23299"/>
    <s v="Alta sin facturar"/>
    <m/>
    <n v="2"/>
    <n v="0"/>
    <n v="0"/>
    <n v="0"/>
    <n v="0"/>
    <n v="0"/>
    <n v="970.92"/>
    <n v="2674.9599999999996"/>
    <m/>
    <n v="3645.8799999999997"/>
    <n v="0"/>
    <n v="2"/>
    <n v="3645.8799999999997"/>
    <n v="0"/>
    <s v="Cliente nuevo"/>
    <s v="Ha pagado"/>
    <m/>
    <m/>
    <m/>
  </r>
  <r>
    <d v="2022-03-02T00:00:00"/>
    <x v="2"/>
    <s v="Miguel Ángel Romero"/>
    <s v="CENTRO"/>
    <n v="23300"/>
    <s v="Cliente nuevo"/>
    <m/>
    <n v="0"/>
    <n v="0"/>
    <n v="0"/>
    <n v="0"/>
    <n v="0"/>
    <n v="0"/>
    <n v="0"/>
    <n v="0"/>
    <m/>
    <n v="0"/>
    <n v="3336.16"/>
    <n v="0"/>
    <n v="-3336.16"/>
    <n v="0"/>
    <s v="Alta sin facturar"/>
    <s v="Sin pago"/>
    <m/>
    <m/>
    <m/>
  </r>
  <r>
    <d v="2022-03-02T00:00:00"/>
    <x v="2"/>
    <s v="Miguel Ángel Romero"/>
    <s v="CENTRO"/>
    <n v="23301"/>
    <s v="Cliente"/>
    <m/>
    <n v="0"/>
    <n v="0"/>
    <n v="0"/>
    <n v="0"/>
    <n v="0"/>
    <n v="0"/>
    <n v="0"/>
    <n v="0"/>
    <m/>
    <n v="0"/>
    <n v="335.24"/>
    <n v="0"/>
    <n v="-335.24"/>
    <n v="0"/>
    <s v="Alta sin facturar"/>
    <s v="Sin pago"/>
    <m/>
    <m/>
    <m/>
  </r>
  <r>
    <d v="2022-03-02T00:00:00"/>
    <x v="2"/>
    <s v="Iván Luna"/>
    <s v="NORTE"/>
    <n v="23302"/>
    <s v="Cliente"/>
    <m/>
    <n v="1"/>
    <n v="0"/>
    <n v="0"/>
    <n v="1090.4000000000001"/>
    <n v="0"/>
    <n v="0"/>
    <n v="0"/>
    <n v="0"/>
    <m/>
    <n v="1090.4000000000001"/>
    <m/>
    <n v="1"/>
    <n v="1090.4000000000001"/>
    <n v="0"/>
    <s v="Cliente nuevo"/>
    <s v="Ha pagado"/>
    <m/>
    <m/>
    <m/>
  </r>
  <r>
    <d v="2022-03-02T00:00:00"/>
    <x v="2"/>
    <s v="Dolores Jiménez"/>
    <s v="NORTE"/>
    <n v="23303"/>
    <s v="Alta sin facturar"/>
    <m/>
    <n v="4"/>
    <n v="0"/>
    <n v="0"/>
    <n v="1562.52"/>
    <n v="6338.24"/>
    <n v="1367.64"/>
    <n v="7440.24"/>
    <n v="0"/>
    <m/>
    <n v="16708.64"/>
    <m/>
    <n v="4"/>
    <n v="16708.64"/>
    <n v="0"/>
    <s v="Cliente"/>
    <s v="Ha pagado"/>
    <m/>
    <m/>
    <m/>
  </r>
  <r>
    <d v="2022-03-03T00:00:00"/>
    <x v="2"/>
    <s v="Oscar Moreno"/>
    <s v="MAGALLANES"/>
    <n v="23304"/>
    <s v="Alta sin facturar"/>
    <m/>
    <n v="3"/>
    <n v="0"/>
    <n v="0"/>
    <n v="5119.08"/>
    <n v="200.68"/>
    <n v="174"/>
    <n v="0"/>
    <n v="0"/>
    <m/>
    <n v="5493.76"/>
    <n v="1090.4000000000001"/>
    <n v="3"/>
    <n v="4403.3600000000006"/>
    <n v="0.19847972972972974"/>
    <s v="Cliente"/>
    <s v="Ha pagado"/>
    <m/>
    <m/>
    <m/>
  </r>
  <r>
    <d v="2022-03-03T00:00:00"/>
    <x v="2"/>
    <s v="Jose Carlos Orozco"/>
    <s v="CENTRO"/>
    <n v="23305"/>
    <s v="Alta sin facturar"/>
    <m/>
    <n v="0"/>
    <n v="0"/>
    <n v="0"/>
    <n v="0"/>
    <n v="0"/>
    <n v="0"/>
    <n v="0"/>
    <n v="0"/>
    <m/>
    <n v="0"/>
    <n v="7440.24"/>
    <n v="0"/>
    <n v="-7440.24"/>
    <n v="0"/>
    <s v="Alta sin facturar"/>
    <s v="Sin pago"/>
    <m/>
    <m/>
    <m/>
  </r>
  <r>
    <d v="2022-03-04T00:00:00"/>
    <x v="2"/>
    <s v="Rubí Rodríguez"/>
    <s v="CENTRO"/>
    <n v="23306"/>
    <s v="Cliente"/>
    <m/>
    <n v="0"/>
    <n v="0"/>
    <n v="0"/>
    <n v="0"/>
    <n v="0"/>
    <n v="0"/>
    <n v="0"/>
    <n v="0"/>
    <m/>
    <n v="0"/>
    <n v="4036.7999999999997"/>
    <n v="0"/>
    <n v="-4036.7999999999997"/>
    <n v="0"/>
    <s v="Alta sin facturar"/>
    <s v="Sin pago"/>
    <m/>
    <m/>
    <m/>
  </r>
  <r>
    <d v="2022-03-04T00:00:00"/>
    <x v="2"/>
    <s v="Yareli Flores"/>
    <s v="CENTRO"/>
    <n v="23307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3-07T00:00:00"/>
    <x v="2"/>
    <s v="Genaro Castro"/>
    <s v="SUR"/>
    <n v="23308"/>
    <s v="Cliente"/>
    <m/>
    <n v="5"/>
    <n v="0"/>
    <n v="0"/>
    <n v="1676.1999999999998"/>
    <n v="3473.04"/>
    <n v="6287.2"/>
    <n v="989.48"/>
    <n v="2710.92"/>
    <m/>
    <n v="15136.839999999998"/>
    <m/>
    <n v="5"/>
    <n v="15136.839999999998"/>
    <n v="0"/>
    <s v="Cliente"/>
    <s v="Ha pagado"/>
    <m/>
    <m/>
    <m/>
  </r>
  <r>
    <d v="2022-03-07T00:00:00"/>
    <x v="2"/>
    <s v="Alfredo Almaráz"/>
    <s v="MAGALLANES"/>
    <n v="23309"/>
    <s v="Cliente nuevo"/>
    <m/>
    <n v="3"/>
    <n v="0"/>
    <n v="0"/>
    <n v="0"/>
    <n v="0"/>
    <n v="501.12"/>
    <n v="377"/>
    <n v="377"/>
    <m/>
    <n v="1255.1199999999999"/>
    <m/>
    <n v="3"/>
    <n v="1255.1199999999999"/>
    <n v="0"/>
    <s v="Cliente"/>
    <s v="Ha pagado"/>
    <m/>
    <m/>
    <m/>
  </r>
  <r>
    <d v="2022-03-07T00:00:00"/>
    <x v="2"/>
    <s v="Genaro Castro"/>
    <s v="SUR"/>
    <n v="23310"/>
    <s v="Cliente"/>
    <m/>
    <n v="5"/>
    <n v="0"/>
    <n v="0"/>
    <n v="22187.32"/>
    <n v="8079.4000000000005"/>
    <n v="15293.439999999999"/>
    <n v="38485.320000000007"/>
    <n v="10830.92"/>
    <m/>
    <n v="94876.400000000009"/>
    <n v="0"/>
    <n v="5"/>
    <n v="94876.400000000009"/>
    <n v="0"/>
    <s v="Cliente"/>
    <s v="Ha pagado"/>
    <m/>
    <m/>
    <m/>
  </r>
  <r>
    <d v="2022-03-08T00:00:00"/>
    <x v="2"/>
    <s v="Yuritzi Alejo"/>
    <s v="CENTRO"/>
    <n v="23311"/>
    <s v="Alta sin facturar"/>
    <m/>
    <n v="1"/>
    <n v="0"/>
    <n v="0"/>
    <n v="476.76"/>
    <n v="0"/>
    <n v="0"/>
    <n v="0"/>
    <n v="0"/>
    <m/>
    <n v="476.76"/>
    <n v="243"/>
    <n v="1"/>
    <n v="233.76"/>
    <n v="0.50969041026931794"/>
    <s v="Cliente nuevo"/>
    <s v="Ha pagado"/>
    <m/>
    <m/>
    <m/>
  </r>
  <r>
    <d v="2022-03-08T00:00:00"/>
    <x v="2"/>
    <s v="Iván Luna"/>
    <s v="NORTE"/>
    <n v="23312"/>
    <s v="Alta sin facturar"/>
    <m/>
    <n v="3"/>
    <n v="0"/>
    <n v="0"/>
    <n v="6552.8399999999992"/>
    <n v="2313.04"/>
    <n v="1042.8400000000001"/>
    <n v="0"/>
    <n v="0"/>
    <m/>
    <n v="9908.7199999999993"/>
    <n v="0"/>
    <n v="3"/>
    <n v="9908.7199999999993"/>
    <n v="0"/>
    <s v="Cliente"/>
    <s v="Ha pagado"/>
    <m/>
    <m/>
    <m/>
  </r>
  <r>
    <d v="2022-03-08T00:00:00"/>
    <x v="2"/>
    <s v="Alondra Díaz"/>
    <s v="SUR"/>
    <n v="23313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3-10T00:00:00"/>
    <x v="2"/>
    <s v="Dulce González"/>
    <s v="NORTE"/>
    <n v="23314"/>
    <s v="Cliente nuevo"/>
    <m/>
    <n v="0"/>
    <n v="0"/>
    <n v="0"/>
    <n v="0"/>
    <n v="0"/>
    <n v="0"/>
    <n v="0"/>
    <n v="0"/>
    <m/>
    <n v="0"/>
    <n v="1042.8400000000001"/>
    <n v="0"/>
    <n v="-1042.8400000000001"/>
    <n v="0"/>
    <s v="Alta sin facturar"/>
    <s v="Sin pago"/>
    <m/>
    <m/>
    <m/>
  </r>
  <r>
    <d v="2022-03-10T00:00:00"/>
    <x v="2"/>
    <s v="Marcos López"/>
    <s v="SUR"/>
    <n v="23315"/>
    <s v="Cliente"/>
    <m/>
    <n v="1"/>
    <n v="0"/>
    <n v="0"/>
    <n v="251.72"/>
    <n v="0"/>
    <n v="0"/>
    <n v="0"/>
    <n v="0"/>
    <m/>
    <n v="251.72"/>
    <m/>
    <n v="1"/>
    <n v="251.72"/>
    <n v="0"/>
    <s v="Cliente nuevo"/>
    <s v="Ha pagado"/>
    <m/>
    <m/>
    <m/>
  </r>
  <r>
    <d v="2022-03-10T00:00:00"/>
    <x v="2"/>
    <s v="Antonio Salazar"/>
    <s v="NORTE"/>
    <n v="23316"/>
    <s v="Alta sin facturar"/>
    <m/>
    <n v="2"/>
    <n v="0"/>
    <n v="0"/>
    <n v="791.12"/>
    <n v="169.36"/>
    <n v="0"/>
    <n v="0"/>
    <n v="0"/>
    <m/>
    <n v="960.48"/>
    <m/>
    <n v="2"/>
    <n v="960.48"/>
    <n v="0"/>
    <s v="Cliente nuevo"/>
    <s v="Ha pagado"/>
    <m/>
    <m/>
    <m/>
  </r>
  <r>
    <d v="2022-03-10T00:00:00"/>
    <x v="2"/>
    <s v="Dolores Jiménez"/>
    <s v="NORTE"/>
    <n v="23317"/>
    <s v="Cliente"/>
    <m/>
    <n v="5"/>
    <n v="0"/>
    <n v="0"/>
    <n v="665.84"/>
    <n v="3411.5600000000004"/>
    <n v="3933.5599999999995"/>
    <n v="2061.3199999999997"/>
    <n v="3273.52"/>
    <m/>
    <n v="13345.8"/>
    <n v="0"/>
    <n v="5"/>
    <n v="13345.8"/>
    <n v="0"/>
    <s v="Cliente"/>
    <s v="Ha pagado"/>
    <m/>
    <m/>
    <m/>
  </r>
  <r>
    <d v="2022-03-10T00:00:00"/>
    <x v="2"/>
    <s v="Dolores Jiménez"/>
    <s v="NORTE"/>
    <n v="23318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3-10T00:00:00"/>
    <x v="2"/>
    <s v="Dolores Jiménez"/>
    <s v="NORTE"/>
    <n v="23319"/>
    <s v="Alta sin facturar"/>
    <m/>
    <n v="4"/>
    <n v="0"/>
    <n v="0"/>
    <n v="0"/>
    <n v="287.68"/>
    <n v="588.12"/>
    <n v="346.84"/>
    <n v="385.12"/>
    <m/>
    <n v="1607.7599999999998"/>
    <n v="416.44"/>
    <n v="4"/>
    <n v="1191.3199999999997"/>
    <n v="0.25901875901875904"/>
    <s v="Cliente"/>
    <s v="Ha pagado"/>
    <m/>
    <m/>
    <m/>
  </r>
  <r>
    <d v="2022-03-10T00:00:00"/>
    <x v="2"/>
    <s v="Noe Acevedo"/>
    <s v="NORTE"/>
    <n v="23320"/>
    <s v="Cliente"/>
    <m/>
    <n v="1"/>
    <n v="0"/>
    <n v="0"/>
    <n v="2436"/>
    <n v="0"/>
    <n v="0"/>
    <n v="0"/>
    <n v="0"/>
    <m/>
    <n v="2436"/>
    <m/>
    <n v="1"/>
    <n v="2436"/>
    <n v="0"/>
    <s v="Cliente nuevo"/>
    <s v="Ha pagado"/>
    <m/>
    <m/>
    <m/>
  </r>
  <r>
    <d v="2022-03-10T00:00:00"/>
    <x v="2"/>
    <s v="Sandra Escoto"/>
    <s v="CENTRO"/>
    <n v="23321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3-11T00:00:00"/>
    <x v="2"/>
    <s v="Sandra Escoto"/>
    <s v="CENTRO"/>
    <n v="23322"/>
    <s v="Cliente"/>
    <m/>
    <n v="5"/>
    <n v="0"/>
    <n v="0"/>
    <n v="1794.52"/>
    <n v="2176.16"/>
    <n v="1229.5999999999999"/>
    <n v="5766.3599999999988"/>
    <n v="3649.3599999999997"/>
    <m/>
    <n v="14616"/>
    <n v="2436"/>
    <n v="5"/>
    <n v="12180"/>
    <n v="0.16666666666666666"/>
    <s v="Cliente"/>
    <s v="Ha pagado"/>
    <m/>
    <m/>
    <m/>
  </r>
  <r>
    <d v="2022-03-11T00:00:00"/>
    <x v="2"/>
    <s v="Sandra Escoto"/>
    <s v="CENTRO"/>
    <n v="23323"/>
    <s v="Alta sin facturar"/>
    <m/>
    <n v="1"/>
    <n v="0"/>
    <n v="0"/>
    <n v="0"/>
    <n v="0"/>
    <n v="0"/>
    <n v="0"/>
    <n v="928"/>
    <m/>
    <n v="928"/>
    <m/>
    <n v="1"/>
    <n v="928"/>
    <n v="0"/>
    <s v="Cliente nuevo"/>
    <s v="Ha pagado"/>
    <m/>
    <m/>
    <m/>
  </r>
  <r>
    <d v="2022-03-11T00:00:00"/>
    <x v="2"/>
    <s v="Noemí Castillo"/>
    <s v="NORTE"/>
    <n v="23324"/>
    <s v="Alta sin facturar"/>
    <m/>
    <n v="5"/>
    <n v="0"/>
    <n v="0"/>
    <n v="4872"/>
    <n v="2436"/>
    <n v="812"/>
    <n v="1624"/>
    <n v="4234"/>
    <m/>
    <n v="13978"/>
    <n v="0"/>
    <n v="5"/>
    <n v="13978"/>
    <n v="0"/>
    <s v="Cliente"/>
    <s v="Ha pagado"/>
    <m/>
    <m/>
    <m/>
  </r>
  <r>
    <d v="2022-03-11T00:00:00"/>
    <x v="2"/>
    <s v="Oscar Moreno"/>
    <s v="MAGALLANES"/>
    <n v="23325"/>
    <s v="Cliente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3-11T00:00:00"/>
    <x v="2"/>
    <s v="Oscar Moreno"/>
    <s v="MAGALLANES"/>
    <n v="23326"/>
    <s v="Cliente"/>
    <m/>
    <n v="0"/>
    <n v="0"/>
    <n v="0"/>
    <n v="0"/>
    <n v="0"/>
    <n v="0"/>
    <n v="0"/>
    <n v="0"/>
    <m/>
    <n v="0"/>
    <n v="1160"/>
    <n v="0"/>
    <n v="-1160"/>
    <n v="0"/>
    <s v="Alta sin facturar"/>
    <s v="Sin pago"/>
    <m/>
    <m/>
    <m/>
  </r>
  <r>
    <d v="2022-03-11T00:00:00"/>
    <x v="2"/>
    <s v="Genaro Castro"/>
    <s v="SUR"/>
    <n v="23327"/>
    <s v="Cliente"/>
    <m/>
    <n v="4"/>
    <n v="0"/>
    <n v="0"/>
    <n v="380.48"/>
    <n v="380.48"/>
    <n v="380.48"/>
    <n v="0"/>
    <n v="760.96"/>
    <m/>
    <n v="1902.4"/>
    <m/>
    <n v="4"/>
    <n v="1902.4"/>
    <n v="0"/>
    <s v="Cliente"/>
    <s v="Ha pagado"/>
    <m/>
    <m/>
    <m/>
  </r>
  <r>
    <d v="2022-03-11T00:00:00"/>
    <x v="2"/>
    <s v="Leonar Lule"/>
    <s v="SUR"/>
    <n v="23328"/>
    <s v="Cliente nuevo"/>
    <m/>
    <n v="5"/>
    <n v="0"/>
    <n v="0"/>
    <n v="3307.16"/>
    <n v="10808.88"/>
    <n v="5163.16"/>
    <n v="3763.04"/>
    <n v="4130.76"/>
    <m/>
    <n v="27173"/>
    <m/>
    <n v="5"/>
    <n v="27173"/>
    <n v="0"/>
    <s v="Cliente"/>
    <s v="Ha pagado"/>
    <m/>
    <m/>
    <m/>
  </r>
  <r>
    <d v="2022-03-11T00:00:00"/>
    <x v="2"/>
    <s v="Julio César Trejo"/>
    <s v="NORTE"/>
    <n v="23329"/>
    <s v="Cliente nuevo"/>
    <m/>
    <n v="5"/>
    <n v="0"/>
    <n v="0"/>
    <n v="9218.5199999999986"/>
    <n v="13668.279999999999"/>
    <n v="7151.4"/>
    <n v="12610.36"/>
    <n v="7673.4"/>
    <m/>
    <n v="50321.96"/>
    <n v="380.48"/>
    <n v="5"/>
    <n v="49941.479999999996"/>
    <n v="7.5609137640902701E-3"/>
    <s v="Cliente"/>
    <s v="Ha pagado"/>
    <m/>
    <m/>
    <m/>
  </r>
  <r>
    <d v="2022-03-12T00:00:00"/>
    <x v="2"/>
    <s v="Ricardo Vidal"/>
    <s v="MAGALLANES"/>
    <n v="23330"/>
    <s v="Cliente"/>
    <m/>
    <n v="1"/>
    <n v="0"/>
    <n v="0"/>
    <n v="91.64"/>
    <n v="0"/>
    <n v="0"/>
    <n v="0"/>
    <n v="0"/>
    <m/>
    <n v="91.64"/>
    <n v="668.16"/>
    <n v="1"/>
    <n v="-576.52"/>
    <n v="7.2911392405063289"/>
    <s v="Cliente nuevo"/>
    <s v="Sin pago"/>
    <m/>
    <m/>
    <m/>
  </r>
  <r>
    <d v="2022-03-12T00:00:00"/>
    <x v="2"/>
    <s v="Ricardo Vidal"/>
    <s v="MAGALLANES"/>
    <n v="23331"/>
    <s v="Cliente"/>
    <m/>
    <n v="2"/>
    <n v="0"/>
    <n v="0"/>
    <n v="0"/>
    <n v="1824.68"/>
    <n v="0"/>
    <n v="136.88"/>
    <n v="0"/>
    <m/>
    <n v="1961.56"/>
    <n v="4392.92"/>
    <n v="2"/>
    <n v="-2431.36"/>
    <n v="2.2395032525133058"/>
    <s v="Cliente nuevo"/>
    <s v="Sin pago"/>
    <m/>
    <m/>
    <m/>
  </r>
  <r>
    <d v="2022-03-12T00:00:00"/>
    <x v="2"/>
    <s v="Giovanni Salas"/>
    <s v="NORTE"/>
    <n v="23332"/>
    <s v="Cliente"/>
    <m/>
    <n v="5"/>
    <n v="0"/>
    <n v="0"/>
    <n v="4629.5599999999995"/>
    <n v="5932.24"/>
    <n v="7415.88"/>
    <n v="9514.32"/>
    <n v="9385.56"/>
    <m/>
    <n v="36877.56"/>
    <n v="0"/>
    <n v="5"/>
    <n v="36877.56"/>
    <n v="0"/>
    <s v="Cliente"/>
    <s v="Ha pagado"/>
    <m/>
    <m/>
    <m/>
  </r>
  <r>
    <d v="2022-03-14T00:00:00"/>
    <x v="2"/>
    <s v="Leonar Lule"/>
    <s v="SUR"/>
    <n v="23333"/>
    <s v="Cliente"/>
    <m/>
    <n v="5"/>
    <n v="0"/>
    <n v="0"/>
    <n v="1295.72"/>
    <n v="634.52"/>
    <n v="6809.2000000000007"/>
    <n v="2589.12"/>
    <n v="6003"/>
    <m/>
    <n v="17331.560000000001"/>
    <n v="136.88"/>
    <n v="5"/>
    <n v="17194.68"/>
    <n v="7.8977310755638831E-3"/>
    <s v="Cliente"/>
    <s v="Ha pagado"/>
    <m/>
    <m/>
    <m/>
  </r>
  <r>
    <d v="2022-03-14T00:00:00"/>
    <x v="2"/>
    <s v="Ricardo Vidal"/>
    <s v="MAGALLANES"/>
    <n v="23334"/>
    <s v="Alta sin facturar"/>
    <m/>
    <n v="3"/>
    <n v="0"/>
    <n v="0"/>
    <n v="0"/>
    <n v="0"/>
    <n v="2751.52"/>
    <n v="6601.5599999999995"/>
    <n v="4570.3999999999996"/>
    <m/>
    <n v="13923.48"/>
    <n v="2672.64"/>
    <n v="3"/>
    <n v="11250.84"/>
    <n v="0.19195201199700074"/>
    <s v="Cliente"/>
    <s v="Ha pagado"/>
    <m/>
    <m/>
    <m/>
  </r>
  <r>
    <d v="2022-03-14T00:00:00"/>
    <x v="2"/>
    <s v="Christian Castellanos"/>
    <s v="NORTE"/>
    <n v="23335"/>
    <s v="Cliente"/>
    <m/>
    <n v="4"/>
    <n v="0"/>
    <n v="0"/>
    <n v="992.95999999999992"/>
    <n v="1031.24"/>
    <n v="0"/>
    <n v="134.56"/>
    <n v="2940.6"/>
    <m/>
    <n v="5099.3599999999997"/>
    <n v="3108.8"/>
    <n v="4"/>
    <n v="1990.5599999999995"/>
    <n v="0.60964513193812564"/>
    <s v="Cliente"/>
    <s v="Ha pagado"/>
    <m/>
    <m/>
    <m/>
  </r>
  <r>
    <d v="2022-03-16T00:00:00"/>
    <x v="2"/>
    <s v="Genaro Castro"/>
    <s v="SUR"/>
    <n v="23336"/>
    <s v="Cliente nuevo"/>
    <m/>
    <n v="0"/>
    <n v="0"/>
    <n v="0"/>
    <n v="0"/>
    <n v="0"/>
    <n v="0"/>
    <n v="0"/>
    <n v="0"/>
    <m/>
    <n v="0"/>
    <n v="13668.279999999999"/>
    <n v="0"/>
    <n v="-13668.279999999999"/>
    <n v="0"/>
    <s v="Alta sin facturar"/>
    <s v="Sin pago"/>
    <m/>
    <m/>
    <m/>
  </r>
  <r>
    <d v="2022-03-16T00:00:00"/>
    <x v="2"/>
    <s v="Oscar Moreno"/>
    <s v="MAGALLANES"/>
    <n v="23337"/>
    <s v="Alta sin facturar"/>
    <m/>
    <n v="3"/>
    <n v="0"/>
    <n v="0"/>
    <n v="0"/>
    <n v="116"/>
    <n v="2842"/>
    <n v="0"/>
    <n v="812"/>
    <m/>
    <n v="3770"/>
    <n v="1387.36"/>
    <n v="3"/>
    <n v="2382.6400000000003"/>
    <n v="0.36799999999999999"/>
    <s v="Cliente"/>
    <s v="Ha pagado"/>
    <m/>
    <m/>
    <m/>
  </r>
  <r>
    <d v="2022-03-16T00:00:00"/>
    <x v="2"/>
    <s v="Giovanni Salas"/>
    <s v="NORTE"/>
    <n v="23338"/>
    <s v="Cliente"/>
    <m/>
    <n v="1"/>
    <n v="0"/>
    <n v="0"/>
    <n v="0"/>
    <n v="0"/>
    <n v="0"/>
    <n v="0"/>
    <n v="1972"/>
    <m/>
    <n v="1972"/>
    <m/>
    <n v="1"/>
    <n v="1972"/>
    <n v="0"/>
    <s v="Cliente nuevo"/>
    <s v="Ha pagado"/>
    <m/>
    <m/>
    <m/>
  </r>
  <r>
    <d v="2022-03-16T00:00:00"/>
    <x v="2"/>
    <s v="Iván Luna"/>
    <s v="NORTE"/>
    <n v="23339"/>
    <s v="Cliente nuevo"/>
    <m/>
    <n v="0"/>
    <n v="0"/>
    <n v="0"/>
    <n v="0"/>
    <n v="0"/>
    <n v="0"/>
    <n v="0"/>
    <n v="0"/>
    <m/>
    <n v="0"/>
    <n v="812"/>
    <n v="0"/>
    <n v="-812"/>
    <n v="0"/>
    <s v="Alta sin facturar"/>
    <s v="Sin pago"/>
    <m/>
    <m/>
    <m/>
  </r>
  <r>
    <d v="2022-03-17T00:00:00"/>
    <x v="2"/>
    <s v="Rubí Rodríguez"/>
    <s v="CENTRO"/>
    <n v="23340"/>
    <s v="Cliente"/>
    <m/>
    <n v="5"/>
    <n v="0"/>
    <n v="0"/>
    <n v="1311.96"/>
    <n v="6705.9599999999991"/>
    <n v="2549.6800000000003"/>
    <n v="4614.4799999999996"/>
    <n v="7225.64"/>
    <m/>
    <n v="22407.719999999998"/>
    <n v="0"/>
    <n v="5"/>
    <n v="22407.719999999998"/>
    <n v="0"/>
    <s v="Cliente"/>
    <s v="Ha pagado"/>
    <m/>
    <m/>
    <m/>
  </r>
  <r>
    <d v="2022-03-17T00:00:00"/>
    <x v="2"/>
    <s v="Rubí Rodríguez"/>
    <s v="CENTRO"/>
    <n v="23341"/>
    <s v="Cliente"/>
    <m/>
    <n v="2"/>
    <n v="0"/>
    <n v="0"/>
    <n v="0"/>
    <n v="0"/>
    <n v="5860.32"/>
    <n v="1849.04"/>
    <n v="0"/>
    <m/>
    <n v="7709.36"/>
    <m/>
    <n v="2"/>
    <n v="7709.36"/>
    <n v="0"/>
    <s v="Cliente nuevo"/>
    <s v="Ha pagado"/>
    <m/>
    <m/>
    <m/>
  </r>
  <r>
    <d v="2022-03-17T00:00:00"/>
    <x v="2"/>
    <s v="Genaro Castro"/>
    <s v="SUR"/>
    <n v="23342"/>
    <s v="Alta sin facturar"/>
    <m/>
    <n v="4"/>
    <n v="0"/>
    <n v="0"/>
    <n v="0"/>
    <n v="1531.2"/>
    <n v="535.91999999999996"/>
    <n v="2119.3199999999997"/>
    <n v="1244.68"/>
    <m/>
    <n v="5431.12"/>
    <n v="0"/>
    <n v="4"/>
    <n v="5431.12"/>
    <n v="0"/>
    <s v="Cliente"/>
    <s v="Ha pagado"/>
    <m/>
    <m/>
    <m/>
  </r>
  <r>
    <d v="2022-03-18T00:00:00"/>
    <x v="2"/>
    <s v="Iván Luna"/>
    <s v="NORTE"/>
    <n v="23343"/>
    <s v="Cliente"/>
    <m/>
    <n v="5"/>
    <n v="0"/>
    <n v="0"/>
    <n v="1263.24"/>
    <n v="16323.52"/>
    <n v="18402.239999999998"/>
    <n v="19192.2"/>
    <n v="15364.2"/>
    <m/>
    <n v="70545.399999999994"/>
    <n v="1849.04"/>
    <n v="5"/>
    <n v="68696.36"/>
    <n v="2.6210638822658887E-2"/>
    <s v="Cliente"/>
    <s v="Ha pagado"/>
    <m/>
    <m/>
    <m/>
  </r>
  <r>
    <d v="2022-03-18T00:00:00"/>
    <x v="2"/>
    <s v="Iván Luna"/>
    <s v="NORTE"/>
    <n v="23344"/>
    <s v="Cliente"/>
    <m/>
    <n v="0"/>
    <n v="0"/>
    <n v="0"/>
    <n v="0"/>
    <n v="0"/>
    <n v="0"/>
    <n v="0"/>
    <n v="0"/>
    <m/>
    <n v="0"/>
    <n v="766.76"/>
    <n v="0"/>
    <n v="-766.76"/>
    <n v="0"/>
    <s v="Alta sin facturar"/>
    <s v="Sin pago"/>
    <m/>
    <m/>
    <m/>
  </r>
  <r>
    <d v="2022-03-18T00:00:00"/>
    <x v="2"/>
    <s v="Dolores Jiménez"/>
    <s v="NORTE"/>
    <n v="23345"/>
    <s v="Cliente nuevo"/>
    <m/>
    <n v="4"/>
    <n v="0"/>
    <n v="0"/>
    <n v="0"/>
    <n v="1248.1599999999999"/>
    <n v="551"/>
    <n v="546.36"/>
    <n v="305.08000000000004"/>
    <m/>
    <n v="2650.6"/>
    <n v="12971.119999999999"/>
    <n v="4"/>
    <n v="-10320.519999999999"/>
    <n v="4.893654266958424"/>
    <s v="Cliente"/>
    <s v="Sin pago"/>
    <m/>
    <m/>
    <m/>
  </r>
  <r>
    <d v="2022-03-18T00:00:00"/>
    <x v="2"/>
    <s v="Yuritzi Alejo"/>
    <s v="CENTRO"/>
    <n v="23346"/>
    <s v="Cliente"/>
    <m/>
    <n v="5"/>
    <n v="0"/>
    <n v="0"/>
    <n v="3271.2"/>
    <n v="6214.12"/>
    <n v="5918.32"/>
    <n v="11386.560000000001"/>
    <n v="4972.92"/>
    <m/>
    <n v="31763.120000000003"/>
    <m/>
    <n v="5"/>
    <n v="31763.120000000003"/>
    <n v="0"/>
    <s v="Cliente"/>
    <s v="Ha pagado"/>
    <m/>
    <m/>
    <m/>
  </r>
  <r>
    <d v="2022-03-18T00:00:00"/>
    <x v="2"/>
    <s v="Iván Luna"/>
    <s v="NORTE"/>
    <n v="23347"/>
    <s v="Cliente"/>
    <m/>
    <n v="1"/>
    <n v="0"/>
    <n v="0"/>
    <n v="1364.1599999999999"/>
    <n v="0"/>
    <n v="0"/>
    <n v="0"/>
    <n v="0"/>
    <m/>
    <n v="1364.1599999999999"/>
    <n v="851.44"/>
    <n v="1"/>
    <n v="512.7199999999998"/>
    <n v="0.62414965986394566"/>
    <s v="Cliente nuevo"/>
    <s v="Ha pagado"/>
    <m/>
    <m/>
    <m/>
  </r>
  <r>
    <d v="2022-03-19T00:00:00"/>
    <x v="2"/>
    <s v="Leonar Lule"/>
    <s v="SUR"/>
    <n v="23348"/>
    <s v="Cliente"/>
    <m/>
    <n v="5"/>
    <n v="0"/>
    <n v="0"/>
    <n v="476.76"/>
    <n v="934.95999999999992"/>
    <n v="3328.04"/>
    <n v="2676.1200000000003"/>
    <n v="2026.52"/>
    <m/>
    <n v="9442.4000000000015"/>
    <n v="230.84"/>
    <n v="5"/>
    <n v="9211.5600000000013"/>
    <n v="2.4447174447174445E-2"/>
    <s v="Cliente"/>
    <s v="Ha pagado"/>
    <m/>
    <m/>
    <m/>
  </r>
  <r>
    <d v="2022-03-22T00:00:00"/>
    <x v="2"/>
    <s v="Oscar Moreno"/>
    <s v="MAGALLANES"/>
    <n v="23350"/>
    <s v="Cliente"/>
    <m/>
    <n v="5"/>
    <n v="0"/>
    <n v="0"/>
    <n v="713.4"/>
    <n v="1786.4"/>
    <n v="1990.56"/>
    <n v="3055.44"/>
    <n v="2183.12"/>
    <m/>
    <n v="9728.9200000000019"/>
    <n v="91.64"/>
    <n v="5"/>
    <n v="9637.2800000000025"/>
    <n v="9.4193394539167745E-3"/>
    <s v="Cliente"/>
    <s v="Ha pagado"/>
    <m/>
    <m/>
    <m/>
  </r>
  <r>
    <d v="2022-03-22T00:00:00"/>
    <x v="2"/>
    <s v="Christian Castellanos"/>
    <s v="NORTE"/>
    <n v="23351"/>
    <s v="Cliente"/>
    <m/>
    <n v="5"/>
    <n v="0"/>
    <n v="0"/>
    <n v="3492.76"/>
    <n v="17720.16"/>
    <n v="34242.04"/>
    <n v="30349.08"/>
    <n v="20214.16"/>
    <m/>
    <n v="106018.20000000001"/>
    <n v="2026.52"/>
    <n v="5"/>
    <n v="103991.68000000001"/>
    <n v="1.9114831227091195E-2"/>
    <s v="Cliente"/>
    <s v="Ha pagado"/>
    <m/>
    <m/>
    <m/>
  </r>
  <r>
    <d v="2022-03-22T00:00:00"/>
    <x v="2"/>
    <s v="Noemí Castillo"/>
    <s v="NORTE"/>
    <n v="23352"/>
    <s v="Alta sin facturar"/>
    <m/>
    <n v="3"/>
    <n v="0"/>
    <n v="0"/>
    <n v="0"/>
    <n v="0"/>
    <n v="1140.28"/>
    <n v="3622.6800000000003"/>
    <n v="8799.76"/>
    <m/>
    <n v="13562.720000000001"/>
    <n v="738.92"/>
    <n v="3"/>
    <n v="12823.800000000001"/>
    <n v="5.4481696886760168E-2"/>
    <s v="Cliente"/>
    <s v="Ha pagado"/>
    <m/>
    <m/>
    <m/>
  </r>
  <r>
    <d v="2022-03-22T00:00:00"/>
    <x v="2"/>
    <s v="Noemí Castillo"/>
    <s v="NORTE"/>
    <n v="23353"/>
    <s v="Cliente"/>
    <m/>
    <n v="3"/>
    <n v="0"/>
    <n v="0"/>
    <n v="0"/>
    <n v="0"/>
    <n v="2436"/>
    <n v="1392"/>
    <n v="812"/>
    <m/>
    <n v="4640"/>
    <n v="5229.28"/>
    <n v="3"/>
    <n v="-589.27999999999975"/>
    <n v="1.127"/>
    <s v="Cliente"/>
    <s v="Sin pago"/>
    <m/>
    <m/>
    <m/>
  </r>
  <r>
    <d v="2022-03-22T00:00:00"/>
    <x v="2"/>
    <s v="Antonio Salazar"/>
    <s v="NORTE"/>
    <n v="23354"/>
    <s v="Cliente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3-22T00:00:00"/>
    <x v="2"/>
    <s v="Rubí Rodríguez"/>
    <s v="CENTRO"/>
    <n v="23355"/>
    <s v="Cliente"/>
    <m/>
    <n v="4"/>
    <n v="0"/>
    <n v="0"/>
    <n v="0"/>
    <n v="939.6"/>
    <n v="1779.44"/>
    <n v="858.4"/>
    <n v="1198.28"/>
    <m/>
    <n v="4775.72"/>
    <n v="0"/>
    <n v="4"/>
    <n v="4775.72"/>
    <n v="0"/>
    <s v="Cliente"/>
    <s v="Ha pagado"/>
    <m/>
    <m/>
    <m/>
  </r>
  <r>
    <d v="2022-03-22T00:00:00"/>
    <x v="2"/>
    <s v="Diana Tejadilla"/>
    <s v="CENTRO"/>
    <n v="23356"/>
    <s v="Cliente"/>
    <m/>
    <n v="3"/>
    <n v="0"/>
    <n v="0"/>
    <n v="0"/>
    <n v="0"/>
    <n v="3026.44"/>
    <n v="17673.759999999998"/>
    <n v="6468.16"/>
    <m/>
    <n v="27168.359999999997"/>
    <m/>
    <n v="3"/>
    <n v="27168.359999999997"/>
    <n v="0"/>
    <s v="Cliente"/>
    <s v="Ha pagado"/>
    <m/>
    <m/>
    <m/>
  </r>
  <r>
    <d v="2022-03-23T00:00:00"/>
    <x v="2"/>
    <s v="Oscar Moreno"/>
    <s v="MAGALLANES"/>
    <n v="23357"/>
    <s v="Cliente nuevo"/>
    <m/>
    <n v="4"/>
    <n v="0"/>
    <n v="0"/>
    <n v="0"/>
    <n v="9607.1200000000008"/>
    <n v="3815.24"/>
    <n v="4999.6000000000004"/>
    <n v="12362.12"/>
    <m/>
    <n v="30784.080000000002"/>
    <n v="959.31999999999994"/>
    <n v="4"/>
    <n v="29824.760000000002"/>
    <n v="3.1162860803376286E-2"/>
    <s v="Cliente"/>
    <s v="Ha pagado"/>
    <m/>
    <m/>
    <m/>
  </r>
  <r>
    <d v="2022-03-23T00:00:00"/>
    <x v="2"/>
    <s v="Leonar Lule"/>
    <s v="SUR"/>
    <n v="23358"/>
    <s v="Cliente"/>
    <m/>
    <n v="5"/>
    <n v="0"/>
    <n v="0"/>
    <n v="618.28"/>
    <n v="5361.5199999999995"/>
    <n v="2819.96"/>
    <n v="1593.8400000000001"/>
    <n v="2202.84"/>
    <m/>
    <n v="12596.439999999999"/>
    <n v="943.07999999999993"/>
    <n v="5"/>
    <n v="11653.359999999999"/>
    <n v="7.4868772446818305E-2"/>
    <s v="Cliente"/>
    <s v="Ha pagado"/>
    <m/>
    <m/>
    <m/>
  </r>
  <r>
    <d v="2022-03-23T00:00:00"/>
    <x v="2"/>
    <s v="Yareli Flores"/>
    <s v="CENTRO"/>
    <n v="23359"/>
    <s v="Cliente"/>
    <m/>
    <n v="1"/>
    <n v="0"/>
    <n v="0"/>
    <n v="0"/>
    <n v="4176"/>
    <n v="0"/>
    <n v="0"/>
    <n v="0"/>
    <m/>
    <n v="4176"/>
    <n v="21176.959999999999"/>
    <n v="1"/>
    <n v="-17000.96"/>
    <n v="5.0711111111111107"/>
    <s v="Cliente nuevo"/>
    <s v="Sin pago"/>
    <m/>
    <m/>
    <m/>
  </r>
  <r>
    <d v="2022-03-24T00:00:00"/>
    <x v="2"/>
    <s v="Oscar Moreno"/>
    <s v="MAGALLANES"/>
    <n v="23360"/>
    <s v="Cliente"/>
    <m/>
    <n v="5"/>
    <n v="0"/>
    <n v="0"/>
    <n v="301.60000000000002"/>
    <n v="965.12"/>
    <n v="1705.2"/>
    <n v="6128.28"/>
    <n v="6125.96"/>
    <m/>
    <n v="15226.16"/>
    <n v="0"/>
    <n v="5"/>
    <n v="15226.16"/>
    <n v="0"/>
    <s v="Cliente"/>
    <s v="Ha pagado"/>
    <m/>
    <m/>
    <m/>
  </r>
  <r>
    <d v="2022-03-24T00:00:00"/>
    <x v="2"/>
    <s v="Rubí Rodríguez"/>
    <s v="CENTRO"/>
    <n v="23361"/>
    <s v="Cliente"/>
    <m/>
    <n v="4"/>
    <n v="0"/>
    <n v="0"/>
    <n v="904.8"/>
    <n v="0"/>
    <n v="174"/>
    <n v="2714.3999999999996"/>
    <n v="3120.3999999999996"/>
    <m/>
    <n v="6913.5999999999995"/>
    <n v="1160"/>
    <n v="4"/>
    <n v="5753.5999999999995"/>
    <n v="0.16778523489932887"/>
    <s v="Cliente"/>
    <s v="Ha pagado"/>
    <m/>
    <m/>
    <m/>
  </r>
  <r>
    <d v="2022-03-24T00:00:00"/>
    <x v="2"/>
    <s v="Oscar Moreno"/>
    <s v="MAGALLANES"/>
    <n v="23362"/>
    <s v="Alta sin facturar"/>
    <m/>
    <n v="3"/>
    <n v="0"/>
    <n v="0"/>
    <n v="0"/>
    <n v="3629.64"/>
    <n v="0"/>
    <n v="298.12"/>
    <n v="155.44"/>
    <m/>
    <n v="4083.2"/>
    <n v="5731.56"/>
    <n v="3"/>
    <n v="-1648.3600000000006"/>
    <n v="1.4036931818181819"/>
    <s v="Cliente"/>
    <s v="Sin pago"/>
    <m/>
    <m/>
    <m/>
  </r>
  <r>
    <d v="2022-03-25T00:00:00"/>
    <x v="2"/>
    <s v="Dulce González"/>
    <s v="NORTE"/>
    <n v="23363"/>
    <s v="Cliente"/>
    <m/>
    <n v="4"/>
    <n v="0"/>
    <n v="0"/>
    <n v="0"/>
    <n v="18715.439999999999"/>
    <n v="7140.9599999999991"/>
    <n v="14053.400000000001"/>
    <n v="6853.28"/>
    <m/>
    <n v="46763.08"/>
    <n v="904.8"/>
    <n v="4"/>
    <n v="45858.28"/>
    <n v="1.9348597226701063E-2"/>
    <s v="Cliente"/>
    <s v="Ha pagado"/>
    <m/>
    <m/>
    <m/>
  </r>
  <r>
    <d v="2022-03-25T00:00:00"/>
    <x v="2"/>
    <s v="Alfredo Almaráz"/>
    <s v="MAGALLANES"/>
    <n v="23364"/>
    <s v="Alta sin facturar"/>
    <m/>
    <n v="0"/>
    <n v="0"/>
    <n v="0"/>
    <n v="0"/>
    <n v="0"/>
    <n v="0"/>
    <n v="0"/>
    <n v="0"/>
    <m/>
    <n v="0"/>
    <n v="453.56"/>
    <n v="0"/>
    <n v="-453.56"/>
    <n v="0"/>
    <s v="Alta sin facturar"/>
    <s v="Sin pago"/>
    <m/>
    <m/>
    <m/>
  </r>
  <r>
    <d v="2022-03-25T00:00:00"/>
    <x v="2"/>
    <s v="Marcos López"/>
    <s v="SUR"/>
    <n v="23365"/>
    <s v="Alta sin facturar"/>
    <m/>
    <n v="3"/>
    <n v="0"/>
    <n v="0"/>
    <n v="0"/>
    <n v="0"/>
    <n v="660.04"/>
    <n v="5094.7199999999993"/>
    <n v="6898.5199999999986"/>
    <m/>
    <n v="12653.279999999999"/>
    <n v="5414.88"/>
    <n v="3"/>
    <n v="7238.3999999999987"/>
    <n v="0.427942794279428"/>
    <s v="Cliente"/>
    <s v="Ha pagado"/>
    <m/>
    <m/>
    <m/>
  </r>
  <r>
    <d v="2022-03-25T00:00:00"/>
    <x v="2"/>
    <s v="Miguel Ángel Romero"/>
    <s v="CENTRO"/>
    <n v="23366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3-26T00:00:00"/>
    <x v="2"/>
    <s v="Jose Carlos Orozco"/>
    <s v="CENTRO"/>
    <n v="23367"/>
    <s v="Cliente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3-26T00:00:00"/>
    <x v="2"/>
    <s v="Yuritzi Alejo"/>
    <s v="CENTRO"/>
    <n v="23368"/>
    <s v="Alta sin facturar"/>
    <m/>
    <n v="2"/>
    <n v="0"/>
    <n v="0"/>
    <n v="0"/>
    <n v="0"/>
    <n v="0"/>
    <n v="1468.56"/>
    <n v="201.84"/>
    <m/>
    <n v="1670.3999999999999"/>
    <m/>
    <n v="2"/>
    <n v="1670.3999999999999"/>
    <n v="0"/>
    <s v="Cliente nuevo"/>
    <s v="Ha pagado"/>
    <m/>
    <m/>
    <m/>
  </r>
  <r>
    <d v="2022-03-26T00:00:00"/>
    <x v="2"/>
    <s v="Genaro Castro"/>
    <s v="SUR"/>
    <n v="23369"/>
    <s v="Cliente"/>
    <m/>
    <n v="4"/>
    <n v="0"/>
    <n v="0"/>
    <n v="0"/>
    <n v="8153.6399999999994"/>
    <n v="5487.96"/>
    <n v="3911.5200000000004"/>
    <n v="7651.3600000000006"/>
    <m/>
    <n v="25204.48"/>
    <m/>
    <n v="4"/>
    <n v="25204.48"/>
    <n v="0"/>
    <s v="Cliente"/>
    <s v="Ha pagado"/>
    <m/>
    <m/>
    <m/>
  </r>
  <r>
    <d v="2022-03-26T00:00:00"/>
    <x v="2"/>
    <s v="Yuriana Argüello"/>
    <s v="CENTRO"/>
    <n v="23370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3-26T00:00:00"/>
    <x v="2"/>
    <s v="Genaro Castro"/>
    <s v="SUR"/>
    <n v="23371"/>
    <s v="Alta sin facturar"/>
    <m/>
    <n v="5"/>
    <n v="0"/>
    <n v="0"/>
    <n v="465.16"/>
    <n v="2586.7999999999997"/>
    <n v="1336.32"/>
    <n v="342.2"/>
    <n v="1221.48"/>
    <m/>
    <n v="5951.9599999999991"/>
    <n v="0"/>
    <n v="5"/>
    <n v="5951.9599999999991"/>
    <n v="0"/>
    <s v="Cliente"/>
    <s v="Ha pagado"/>
    <m/>
    <m/>
    <m/>
  </r>
  <r>
    <d v="2022-03-26T00:00:00"/>
    <x v="2"/>
    <s v="Yuritzi Alejo"/>
    <s v="CENTRO"/>
    <n v="23372"/>
    <s v="Cliente"/>
    <m/>
    <n v="1"/>
    <n v="0"/>
    <n v="0"/>
    <n v="0"/>
    <n v="81.2"/>
    <n v="0"/>
    <n v="0"/>
    <n v="0"/>
    <m/>
    <n v="81.2"/>
    <m/>
    <n v="1"/>
    <n v="81.2"/>
    <n v="0"/>
    <s v="Cliente nuevo"/>
    <s v="Ha pagado"/>
    <m/>
    <m/>
    <m/>
  </r>
  <r>
    <d v="2022-03-28T00:00:00"/>
    <x v="2"/>
    <s v="Dolores Jiménez"/>
    <s v="NORTE"/>
    <n v="23373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3-28T00:00:00"/>
    <x v="2"/>
    <s v="Marcos López"/>
    <s v="SUR"/>
    <n v="23374"/>
    <s v="Alta sin facturar"/>
    <m/>
    <n v="4"/>
    <n v="0"/>
    <n v="0"/>
    <n v="0"/>
    <n v="2316.52"/>
    <n v="1879.1999999999998"/>
    <n v="2343.1999999999998"/>
    <n v="1779.44"/>
    <m/>
    <n v="8318.3599999999988"/>
    <n v="81.2"/>
    <n v="4"/>
    <n v="8237.159999999998"/>
    <n v="9.7615395342351158E-3"/>
    <s v="Cliente"/>
    <s v="Ha pagado"/>
    <m/>
    <m/>
    <m/>
  </r>
  <r>
    <d v="2022-03-29T00:00:00"/>
    <x v="2"/>
    <s v="Ricardo Vidal"/>
    <s v="MAGALLANES"/>
    <n v="23375"/>
    <s v="Alta sin facturar"/>
    <m/>
    <n v="2"/>
    <n v="0"/>
    <n v="0"/>
    <n v="0"/>
    <n v="0"/>
    <n v="3888.3199999999997"/>
    <n v="0"/>
    <n v="2311.88"/>
    <m/>
    <n v="6200.2"/>
    <m/>
    <n v="2"/>
    <n v="6200.2"/>
    <n v="0"/>
    <s v="Cliente nuevo"/>
    <s v="Ha pagado"/>
    <m/>
    <m/>
    <m/>
  </r>
  <r>
    <d v="2022-03-29T00:00:00"/>
    <x v="2"/>
    <s v="Yuritzi Alejo"/>
    <s v="CENTRO"/>
    <n v="23376"/>
    <s v="Cliente"/>
    <m/>
    <n v="0"/>
    <n v="0"/>
    <n v="0"/>
    <n v="0"/>
    <n v="0"/>
    <n v="0"/>
    <n v="0"/>
    <n v="0"/>
    <m/>
    <n v="0"/>
    <n v="252.88"/>
    <n v="0"/>
    <n v="-252.88"/>
    <n v="0"/>
    <s v="Alta sin facturar"/>
    <s v="Sin pago"/>
    <m/>
    <m/>
    <m/>
  </r>
  <r>
    <d v="2022-03-29T00:00:00"/>
    <x v="2"/>
    <s v="Yuritzi Alejo"/>
    <s v="CENTRO"/>
    <n v="23377"/>
    <s v="Cliente nuevo"/>
    <m/>
    <n v="0"/>
    <n v="0"/>
    <n v="0"/>
    <n v="0"/>
    <n v="0"/>
    <n v="0"/>
    <n v="0"/>
    <n v="0"/>
    <m/>
    <n v="0"/>
    <n v="2032.32"/>
    <n v="0"/>
    <n v="-2032.32"/>
    <n v="0"/>
    <s v="Alta sin facturar"/>
    <s v="Sin pago"/>
    <m/>
    <m/>
    <m/>
  </r>
  <r>
    <d v="2022-03-29T00:00:00"/>
    <x v="2"/>
    <s v="Oscar Moreno"/>
    <s v="MAGALLANES"/>
    <n v="23378"/>
    <s v="Alta sin facturar"/>
    <m/>
    <n v="4"/>
    <n v="0"/>
    <n v="0"/>
    <n v="0"/>
    <n v="5862.64"/>
    <n v="1605.44"/>
    <n v="401.36"/>
    <n v="602.04"/>
    <m/>
    <n v="8471.48"/>
    <m/>
    <n v="4"/>
    <n v="8471.48"/>
    <n v="0"/>
    <s v="Cliente"/>
    <s v="Ha pagado"/>
    <m/>
    <m/>
    <m/>
  </r>
  <r>
    <d v="2022-03-29T00:00:00"/>
    <x v="2"/>
    <s v="Leonar Lule"/>
    <s v="SUR"/>
    <n v="23379"/>
    <s v="Cliente"/>
    <m/>
    <n v="2"/>
    <n v="0"/>
    <n v="0"/>
    <n v="0"/>
    <n v="0"/>
    <n v="890.88"/>
    <n v="1052.1199999999999"/>
    <n v="0"/>
    <m/>
    <n v="1943"/>
    <m/>
    <n v="2"/>
    <n v="1943"/>
    <n v="0"/>
    <s v="Cliente nuevo"/>
    <s v="Ha pagado"/>
    <m/>
    <m/>
    <m/>
  </r>
  <r>
    <d v="2022-03-30T00:00:00"/>
    <x v="2"/>
    <s v="Antonio Salazar"/>
    <s v="NORTE"/>
    <n v="23380"/>
    <s v="Cliente"/>
    <m/>
    <n v="0"/>
    <n v="0"/>
    <n v="0"/>
    <n v="0"/>
    <n v="0"/>
    <n v="0"/>
    <n v="0"/>
    <n v="0"/>
    <m/>
    <n v="0"/>
    <n v="1003.4"/>
    <n v="0"/>
    <n v="-1003.4"/>
    <n v="0"/>
    <s v="Alta sin facturar"/>
    <s v="Sin pago"/>
    <m/>
    <m/>
    <m/>
  </r>
  <r>
    <d v="2022-03-30T00:00:00"/>
    <x v="2"/>
    <s v="Julio César Trejo"/>
    <s v="NORTE"/>
    <n v="23381"/>
    <s v="Cliente nuevo"/>
    <m/>
    <n v="4"/>
    <n v="0"/>
    <n v="0"/>
    <n v="0"/>
    <n v="858.4"/>
    <n v="2317.6799999999998"/>
    <n v="1545.12"/>
    <n v="860.72"/>
    <m/>
    <n v="5581.92"/>
    <n v="0"/>
    <n v="4"/>
    <n v="5581.92"/>
    <n v="0"/>
    <s v="Cliente"/>
    <s v="Ha pagado"/>
    <m/>
    <m/>
    <m/>
  </r>
  <r>
    <d v="2022-03-30T00:00:00"/>
    <x v="2"/>
    <s v="Ricardo Vidal"/>
    <s v="MAGALLANES"/>
    <n v="23382"/>
    <s v="Alta sin facturar"/>
    <m/>
    <n v="4"/>
    <n v="0"/>
    <n v="0"/>
    <n v="0"/>
    <n v="8427.4"/>
    <n v="12199.72"/>
    <n v="13721.64"/>
    <n v="10982.88"/>
    <m/>
    <n v="45331.639999999992"/>
    <m/>
    <n v="4"/>
    <n v="45331.639999999992"/>
    <n v="0"/>
    <s v="Cliente"/>
    <s v="Ha pagado"/>
    <m/>
    <m/>
    <m/>
  </r>
  <r>
    <d v="2022-03-30T00:00:00"/>
    <x v="2"/>
    <s v="Giovanni Salas"/>
    <s v="NORTE"/>
    <n v="23383"/>
    <s v="Cliente nuevo"/>
    <m/>
    <n v="1"/>
    <n v="0"/>
    <n v="0"/>
    <n v="0"/>
    <n v="0"/>
    <n v="5185.2000000000007"/>
    <n v="0"/>
    <n v="0"/>
    <m/>
    <n v="5185.2000000000007"/>
    <n v="0"/>
    <n v="1"/>
    <n v="5185.2000000000007"/>
    <n v="0"/>
    <s v="Cliente nuevo"/>
    <s v="Ha pagado"/>
    <m/>
    <m/>
    <m/>
  </r>
  <r>
    <d v="2022-03-30T00:00:00"/>
    <x v="2"/>
    <s v="Giovanni Salas"/>
    <s v="NORTE"/>
    <n v="23384"/>
    <s v="Alta sin facturar"/>
    <m/>
    <n v="0"/>
    <n v="0"/>
    <n v="0"/>
    <n v="0"/>
    <n v="0"/>
    <n v="0"/>
    <n v="0"/>
    <n v="0"/>
    <m/>
    <n v="0"/>
    <n v="7927.44"/>
    <n v="0"/>
    <n v="-7927.44"/>
    <n v="0"/>
    <s v="Alta sin facturar"/>
    <s v="Sin pago"/>
    <m/>
    <m/>
    <m/>
  </r>
  <r>
    <d v="2022-03-30T00:00:00"/>
    <x v="2"/>
    <s v="Marcos López"/>
    <s v="SUR"/>
    <n v="23385"/>
    <s v="Cliente"/>
    <m/>
    <n v="1"/>
    <n v="0"/>
    <n v="0"/>
    <n v="0"/>
    <n v="0"/>
    <n v="1.1599999999999999"/>
    <n v="0"/>
    <n v="0"/>
    <m/>
    <n v="1.1599999999999999"/>
    <n v="0"/>
    <n v="1"/>
    <n v="1.1599999999999999"/>
    <n v="0"/>
    <s v="Cliente nuevo"/>
    <s v="Ha pagado"/>
    <m/>
    <m/>
    <m/>
  </r>
  <r>
    <d v="2022-03-31T00:00:00"/>
    <x v="2"/>
    <s v="Karla Ángeles"/>
    <s v="CENTRO"/>
    <n v="23386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4-01T00:00:00"/>
    <x v="3"/>
    <s v="Giovanni Salas"/>
    <s v="NORTE"/>
    <n v="23387"/>
    <s v="Cliente nuevo"/>
    <m/>
    <n v="4"/>
    <n v="0"/>
    <n v="0"/>
    <n v="0"/>
    <n v="1770.16"/>
    <n v="10680.119999999999"/>
    <n v="18340.760000000002"/>
    <n v="12402.720000000001"/>
    <m/>
    <n v="43193.760000000002"/>
    <n v="1.1599999999999999"/>
    <n v="4"/>
    <n v="43192.6"/>
    <n v="2.685573101299817E-5"/>
    <s v="Cliente"/>
    <s v="Ha pagado"/>
    <m/>
    <m/>
    <m/>
  </r>
  <r>
    <d v="2022-04-01T00:00:00"/>
    <x v="3"/>
    <s v="Giovanni Salas"/>
    <s v="NORTE"/>
    <n v="23388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4-02T00:00:00"/>
    <x v="3"/>
    <s v="Marcos López"/>
    <s v="SUR"/>
    <n v="23389"/>
    <s v="Cliente"/>
    <m/>
    <n v="2"/>
    <n v="0"/>
    <n v="0"/>
    <n v="0"/>
    <n v="496108.79999999999"/>
    <n v="0"/>
    <n v="1443.04"/>
    <n v="0"/>
    <m/>
    <n v="497551.83999999997"/>
    <n v="6961.16"/>
    <n v="2"/>
    <n v="490590.68"/>
    <n v="1.3990823549160225E-2"/>
    <s v="Cliente nuevo"/>
    <s v="Ha pagado"/>
    <m/>
    <m/>
    <m/>
  </r>
  <r>
    <d v="2022-04-02T00:00:00"/>
    <x v="3"/>
    <s v="Yareli Flores"/>
    <s v="CENTRO"/>
    <n v="23390"/>
    <s v="Cliente"/>
    <m/>
    <n v="3"/>
    <n v="0"/>
    <n v="0"/>
    <n v="0"/>
    <n v="0"/>
    <n v="12202.039999999999"/>
    <n v="11595.359999999999"/>
    <n v="18448.64"/>
    <m/>
    <n v="42246.039999999994"/>
    <m/>
    <n v="3"/>
    <n v="42246.039999999994"/>
    <n v="0"/>
    <s v="Cliente"/>
    <s v="Ha pagado"/>
    <m/>
    <m/>
    <m/>
  </r>
  <r>
    <d v="2022-04-02T00:00:00"/>
    <x v="3"/>
    <s v="Yareli Flores"/>
    <s v="CENTRO"/>
    <n v="23391"/>
    <s v="Cliente"/>
    <m/>
    <n v="4"/>
    <n v="0"/>
    <n v="0"/>
    <n v="0"/>
    <n v="1798"/>
    <n v="13038.4"/>
    <n v="18444"/>
    <n v="10382"/>
    <m/>
    <n v="43662.400000000001"/>
    <n v="1443.04"/>
    <n v="4"/>
    <n v="42219.360000000001"/>
    <n v="3.3049946865037191E-2"/>
    <s v="Cliente"/>
    <s v="Ha pagado"/>
    <m/>
    <m/>
    <m/>
  </r>
  <r>
    <d v="2022-04-04T00:00:00"/>
    <x v="3"/>
    <s v="Leonar Lule"/>
    <s v="SUR"/>
    <n v="23392"/>
    <s v="Cliente nuevo"/>
    <m/>
    <n v="4"/>
    <n v="0"/>
    <n v="0"/>
    <n v="0"/>
    <n v="1407.08"/>
    <n v="1542.8000000000002"/>
    <n v="2207.48"/>
    <n v="2094.96"/>
    <m/>
    <n v="7252.3200000000006"/>
    <n v="0"/>
    <n v="4"/>
    <n v="7252.3200000000006"/>
    <n v="0"/>
    <s v="Cliente"/>
    <s v="Ha pagado"/>
    <m/>
    <m/>
    <m/>
  </r>
  <r>
    <d v="2022-04-04T00:00:00"/>
    <x v="3"/>
    <s v="Leonar Lule"/>
    <s v="SUR"/>
    <n v="23393"/>
    <s v="Cliente"/>
    <m/>
    <n v="4"/>
    <n v="0"/>
    <n v="0"/>
    <n v="0"/>
    <n v="3555.4"/>
    <n v="4982.2"/>
    <n v="5289.6"/>
    <n v="6472.8"/>
    <m/>
    <n v="20300"/>
    <n v="0"/>
    <n v="4"/>
    <n v="20300"/>
    <n v="0"/>
    <s v="Cliente"/>
    <s v="Ha pagado"/>
    <m/>
    <m/>
    <m/>
  </r>
  <r>
    <d v="2022-04-05T00:00:00"/>
    <x v="3"/>
    <s v="Rubí Rodríguez"/>
    <s v="CENTRO"/>
    <n v="23394"/>
    <s v="Cliente"/>
    <m/>
    <n v="1"/>
    <n v="0"/>
    <n v="0"/>
    <n v="0"/>
    <n v="0"/>
    <n v="846.8"/>
    <n v="0"/>
    <n v="0"/>
    <m/>
    <n v="846.8"/>
    <n v="379.32"/>
    <n v="1"/>
    <n v="467.47999999999996"/>
    <n v="0.44794520547945205"/>
    <s v="Cliente nuevo"/>
    <s v="Ha pagado"/>
    <m/>
    <m/>
    <m/>
  </r>
  <r>
    <d v="2022-04-05T00:00:00"/>
    <x v="3"/>
    <s v="Christian Castellanos"/>
    <s v="NORTE"/>
    <n v="23395"/>
    <s v="Alta sin facturar"/>
    <m/>
    <n v="3"/>
    <n v="0"/>
    <n v="0"/>
    <n v="0"/>
    <n v="0"/>
    <n v="27041.919999999998"/>
    <n v="12692.72"/>
    <n v="17186.560000000001"/>
    <m/>
    <n v="56921.2"/>
    <n v="38.28"/>
    <n v="3"/>
    <n v="56882.92"/>
    <n v="6.7250866109639295E-4"/>
    <s v="Cliente"/>
    <s v="Ha pagado"/>
    <m/>
    <m/>
    <m/>
  </r>
  <r>
    <d v="2022-04-05T00:00:00"/>
    <x v="3"/>
    <s v="Christian Castellanos"/>
    <s v="NORTE"/>
    <n v="23396"/>
    <s v="Alta sin facturar"/>
    <m/>
    <n v="4"/>
    <n v="0"/>
    <n v="0"/>
    <n v="0"/>
    <n v="15885.04"/>
    <n v="13974.52"/>
    <n v="16449.96"/>
    <n v="16581.04"/>
    <m/>
    <n v="62890.560000000005"/>
    <n v="0"/>
    <n v="4"/>
    <n v="62890.560000000005"/>
    <n v="0"/>
    <s v="Cliente"/>
    <s v="Ha pagado"/>
    <m/>
    <m/>
    <m/>
  </r>
  <r>
    <d v="2022-04-06T00:00:00"/>
    <x v="3"/>
    <s v="Dulce González"/>
    <s v="NORTE"/>
    <n v="23397"/>
    <s v="Cliente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4-06T00:00:00"/>
    <x v="3"/>
    <s v="Dulce González"/>
    <s v="NORTE"/>
    <n v="23398"/>
    <s v="Cliente nuevo"/>
    <m/>
    <n v="0"/>
    <n v="0"/>
    <n v="0"/>
    <n v="0"/>
    <n v="0"/>
    <n v="0"/>
    <n v="0"/>
    <n v="0"/>
    <m/>
    <n v="0"/>
    <n v="5329.04"/>
    <n v="0"/>
    <n v="-5329.04"/>
    <n v="0"/>
    <s v="Alta sin facturar"/>
    <s v="Sin pago"/>
    <m/>
    <m/>
    <m/>
  </r>
  <r>
    <d v="2022-04-06T00:00:00"/>
    <x v="3"/>
    <s v="Iván Luna"/>
    <s v="NORTE"/>
    <n v="23399"/>
    <s v="Cliente"/>
    <m/>
    <n v="4"/>
    <n v="0"/>
    <n v="0"/>
    <n v="0"/>
    <n v="373.52"/>
    <n v="185.6"/>
    <n v="3290.9199999999996"/>
    <n v="6535.4400000000005"/>
    <m/>
    <n v="10385.48"/>
    <m/>
    <n v="4"/>
    <n v="10385.48"/>
    <n v="0"/>
    <s v="Cliente"/>
    <s v="Ha pagado"/>
    <m/>
    <m/>
    <m/>
  </r>
  <r>
    <d v="2022-04-06T00:00:00"/>
    <x v="3"/>
    <s v="Julio César Trejo"/>
    <s v="NORTE"/>
    <n v="23400"/>
    <s v="Cliente nuevo"/>
    <m/>
    <n v="1"/>
    <n v="0"/>
    <n v="0"/>
    <n v="0"/>
    <n v="0"/>
    <n v="0"/>
    <n v="0"/>
    <n v="2829.24"/>
    <m/>
    <n v="2829.24"/>
    <m/>
    <n v="1"/>
    <n v="2829.24"/>
    <n v="0"/>
    <s v="Cliente nuevo"/>
    <s v="Ha pagado"/>
    <m/>
    <m/>
    <m/>
  </r>
  <r>
    <d v="2022-04-07T00:00:00"/>
    <x v="3"/>
    <s v="Julio César Trejo"/>
    <s v="NORTE"/>
    <n v="23401"/>
    <s v="Cliente"/>
    <m/>
    <n v="3"/>
    <n v="0"/>
    <n v="0"/>
    <n v="0"/>
    <n v="0"/>
    <n v="244.76"/>
    <n v="95.12"/>
    <n v="716.88"/>
    <m/>
    <n v="1056.76"/>
    <n v="0"/>
    <n v="3"/>
    <n v="1056.76"/>
    <n v="0"/>
    <s v="Cliente"/>
    <s v="Ha pagado"/>
    <m/>
    <m/>
    <m/>
  </r>
  <r>
    <d v="2022-04-08T00:00:00"/>
    <x v="3"/>
    <s v="Alfredo Almaráz"/>
    <s v="MAGALLANES"/>
    <n v="23402"/>
    <s v="Alta sin facturar"/>
    <m/>
    <n v="2"/>
    <n v="0"/>
    <n v="0"/>
    <n v="0"/>
    <n v="0"/>
    <n v="0"/>
    <n v="2608.84"/>
    <n v="980.2"/>
    <m/>
    <n v="3589.04"/>
    <n v="2176.16"/>
    <n v="2"/>
    <n v="1412.88"/>
    <n v="0.60633484162895923"/>
    <s v="Cliente nuevo"/>
    <s v="Ha pagado"/>
    <m/>
    <m/>
    <m/>
  </r>
  <r>
    <d v="2022-04-08T00:00:00"/>
    <x v="3"/>
    <s v="Christian Castellanos"/>
    <s v="NORTE"/>
    <n v="23403"/>
    <s v="Alta sin facturar"/>
    <m/>
    <n v="4"/>
    <n v="0"/>
    <n v="0"/>
    <n v="0"/>
    <n v="4432.3600000000006"/>
    <n v="5788.4"/>
    <n v="12298.32"/>
    <n v="7948.32"/>
    <m/>
    <n v="30467.4"/>
    <n v="0"/>
    <n v="4"/>
    <n v="30467.4"/>
    <n v="0"/>
    <s v="Cliente"/>
    <s v="Ha pagado"/>
    <m/>
    <m/>
    <m/>
  </r>
  <r>
    <d v="2022-04-08T00:00:00"/>
    <x v="3"/>
    <s v="Oscar Moreno"/>
    <s v="MAGALLANES"/>
    <n v="23404"/>
    <s v="Cliente"/>
    <m/>
    <n v="0"/>
    <n v="0"/>
    <n v="0"/>
    <n v="0"/>
    <n v="0"/>
    <n v="0"/>
    <n v="0"/>
    <n v="0"/>
    <m/>
    <n v="0"/>
    <n v="344.52"/>
    <n v="0"/>
    <n v="-344.52"/>
    <n v="0"/>
    <s v="Alta sin facturar"/>
    <s v="Sin pago"/>
    <m/>
    <m/>
    <m/>
  </r>
  <r>
    <d v="2022-04-08T00:00:00"/>
    <x v="3"/>
    <s v="Alfredo Almaráz"/>
    <s v="MAGALLANES"/>
    <n v="23405"/>
    <s v="Cliente nuevo"/>
    <m/>
    <n v="0"/>
    <n v="0"/>
    <n v="0"/>
    <n v="0"/>
    <n v="0"/>
    <n v="0"/>
    <n v="0"/>
    <n v="0"/>
    <m/>
    <n v="0"/>
    <n v="4147"/>
    <n v="0"/>
    <n v="-4147"/>
    <n v="0"/>
    <s v="Alta sin facturar"/>
    <s v="Sin pago"/>
    <m/>
    <m/>
    <m/>
  </r>
  <r>
    <d v="2022-04-08T00:00:00"/>
    <x v="3"/>
    <s v="Yareli Flores"/>
    <s v="CENTRO"/>
    <n v="23406"/>
    <s v="Cliente"/>
    <m/>
    <n v="4"/>
    <n v="0"/>
    <n v="0"/>
    <n v="0"/>
    <n v="1030.08"/>
    <n v="8639.68"/>
    <n v="9314.7999999999993"/>
    <n v="516.20000000000005"/>
    <m/>
    <n v="19500.759999999998"/>
    <m/>
    <n v="4"/>
    <n v="19500.759999999998"/>
    <n v="0"/>
    <s v="Cliente"/>
    <s v="Ha pagado"/>
    <m/>
    <m/>
    <m/>
  </r>
  <r>
    <d v="2022-04-08T00:00:00"/>
    <x v="3"/>
    <s v="Oscar Moreno"/>
    <s v="MAGALLANES"/>
    <n v="23407"/>
    <s v="Alta sin facturar"/>
    <m/>
    <n v="2"/>
    <n v="0"/>
    <n v="0"/>
    <n v="0"/>
    <n v="0"/>
    <n v="0"/>
    <n v="1876.88"/>
    <n v="5754.76"/>
    <m/>
    <n v="7631.64"/>
    <m/>
    <n v="2"/>
    <n v="7631.64"/>
    <n v="0"/>
    <s v="Cliente nuevo"/>
    <s v="Ha pagado"/>
    <m/>
    <m/>
    <m/>
  </r>
  <r>
    <d v="2022-04-09T00:00:00"/>
    <x v="3"/>
    <s v="Genaro Castro"/>
    <s v="SUR"/>
    <n v="23408"/>
    <s v="Cliente"/>
    <m/>
    <n v="4"/>
    <n v="0"/>
    <n v="0"/>
    <n v="0"/>
    <n v="1813.08"/>
    <n v="271.44"/>
    <n v="730.8"/>
    <n v="3412.7200000000003"/>
    <m/>
    <n v="6228.04"/>
    <n v="0"/>
    <n v="4"/>
    <n v="6228.04"/>
    <n v="0"/>
    <s v="Cliente"/>
    <s v="Ha pagado"/>
    <m/>
    <m/>
    <m/>
  </r>
  <r>
    <d v="2022-04-09T00:00:00"/>
    <x v="3"/>
    <s v="Blanca Montoya"/>
    <s v="CENTRO"/>
    <n v="23409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4-09T00:00:00"/>
    <x v="3"/>
    <s v="Noemí Castillo"/>
    <s v="NORTE"/>
    <n v="23410"/>
    <s v="Cliente nuevo"/>
    <m/>
    <n v="4"/>
    <n v="0"/>
    <n v="0"/>
    <n v="0"/>
    <n v="375.84"/>
    <n v="4823.28"/>
    <n v="487.2"/>
    <n v="560.28"/>
    <m/>
    <n v="6246.5999999999995"/>
    <n v="0"/>
    <n v="4"/>
    <n v="6246.5999999999995"/>
    <n v="0"/>
    <s v="Cliente"/>
    <s v="Ha pagado"/>
    <m/>
    <m/>
    <m/>
  </r>
  <r>
    <d v="2022-04-11T00:00:00"/>
    <x v="3"/>
    <s v="Iván Luna"/>
    <s v="NORTE"/>
    <n v="23411"/>
    <s v="Cliente"/>
    <m/>
    <n v="2"/>
    <n v="0"/>
    <n v="0"/>
    <n v="0"/>
    <n v="5902.08"/>
    <n v="912.92"/>
    <n v="0"/>
    <n v="0"/>
    <m/>
    <n v="6815"/>
    <m/>
    <n v="2"/>
    <n v="6815"/>
    <n v="0"/>
    <s v="Cliente nuevo"/>
    <s v="Ha pagado"/>
    <m/>
    <m/>
    <m/>
  </r>
  <r>
    <d v="2022-04-11T00:00:00"/>
    <x v="3"/>
    <s v="Marcos López"/>
    <s v="SUR"/>
    <n v="23412"/>
    <s v="Cliente"/>
    <m/>
    <n v="2"/>
    <n v="0"/>
    <n v="0"/>
    <n v="0"/>
    <n v="0"/>
    <n v="334.08"/>
    <n v="88.16"/>
    <n v="0"/>
    <m/>
    <n v="422.24"/>
    <n v="0"/>
    <n v="2"/>
    <n v="422.24"/>
    <n v="0"/>
    <s v="Cliente nuevo"/>
    <s v="Ha pagado"/>
    <m/>
    <m/>
    <m/>
  </r>
  <r>
    <d v="2022-04-11T00:00:00"/>
    <x v="3"/>
    <s v="Genaro Castro"/>
    <s v="SUR"/>
    <n v="23413"/>
    <s v="Cliente nuevo"/>
    <m/>
    <n v="3"/>
    <n v="0"/>
    <n v="0"/>
    <n v="0"/>
    <n v="0"/>
    <n v="1026.6000000000001"/>
    <n v="320.16000000000003"/>
    <n v="1183.2"/>
    <m/>
    <n v="2529.96"/>
    <n v="6815"/>
    <n v="3"/>
    <n v="-4285.04"/>
    <n v="2.6937184777624941"/>
    <s v="Cliente"/>
    <s v="Sin pago"/>
    <m/>
    <m/>
    <m/>
  </r>
  <r>
    <d v="2022-04-11T00:00:00"/>
    <x v="3"/>
    <s v="Oscar Moreno"/>
    <s v="MAGALLANES"/>
    <n v="23414"/>
    <s v="Cliente nuevo"/>
    <m/>
    <n v="4"/>
    <n v="0"/>
    <n v="0"/>
    <n v="0"/>
    <n v="503.44"/>
    <n v="46.4"/>
    <n v="2391.92"/>
    <n v="3312.96"/>
    <m/>
    <n v="6254.72"/>
    <n v="422.24"/>
    <n v="4"/>
    <n v="5832.4800000000005"/>
    <n v="6.7507418397626112E-2"/>
    <s v="Cliente"/>
    <s v="Ha pagado"/>
    <m/>
    <m/>
    <m/>
  </r>
  <r>
    <d v="2022-04-12T00:00:00"/>
    <x v="3"/>
    <s v="Noemí Castillo"/>
    <s v="NORTE"/>
    <n v="23415"/>
    <s v="Alta sin facturar"/>
    <m/>
    <n v="1"/>
    <n v="0"/>
    <n v="0"/>
    <n v="0"/>
    <n v="0"/>
    <n v="0"/>
    <n v="741.24"/>
    <n v="0"/>
    <m/>
    <n v="741.24"/>
    <n v="0"/>
    <n v="1"/>
    <n v="741.24"/>
    <n v="0"/>
    <s v="Cliente nuevo"/>
    <s v="Ha pagado"/>
    <m/>
    <m/>
    <m/>
  </r>
  <r>
    <d v="2022-04-12T00:00:00"/>
    <x v="3"/>
    <s v="Marcos López"/>
    <s v="SUR"/>
    <n v="23416"/>
    <s v="Cliente nuevo"/>
    <m/>
    <n v="1"/>
    <n v="0"/>
    <n v="0"/>
    <n v="0"/>
    <n v="4068.12"/>
    <n v="0"/>
    <n v="0"/>
    <n v="0"/>
    <m/>
    <n v="4068.12"/>
    <n v="839.84"/>
    <n v="1"/>
    <n v="3228.2799999999997"/>
    <n v="0.20644425434844599"/>
    <s v="Cliente nuevo"/>
    <s v="Ha pagado"/>
    <m/>
    <m/>
    <m/>
  </r>
  <r>
    <d v="2022-04-12T00:00:00"/>
    <x v="3"/>
    <s v="Dulce González"/>
    <s v="NORTE"/>
    <n v="23417"/>
    <s v="Cliente nuevo"/>
    <m/>
    <n v="0"/>
    <n v="0"/>
    <n v="0"/>
    <n v="0"/>
    <n v="0"/>
    <n v="0"/>
    <n v="0"/>
    <n v="0"/>
    <m/>
    <n v="0"/>
    <n v="741.24"/>
    <n v="0"/>
    <n v="-741.24"/>
    <n v="0"/>
    <s v="Alta sin facturar"/>
    <s v="Sin pago"/>
    <m/>
    <m/>
    <m/>
  </r>
  <r>
    <d v="2022-04-12T00:00:00"/>
    <x v="3"/>
    <s v="Marcos López"/>
    <s v="SUR"/>
    <n v="23418"/>
    <s v="Cliente nuevo"/>
    <m/>
    <n v="2"/>
    <n v="0"/>
    <n v="0"/>
    <n v="0"/>
    <n v="0"/>
    <n v="2219.08"/>
    <n v="0"/>
    <n v="658.88"/>
    <m/>
    <n v="2877.96"/>
    <n v="0"/>
    <n v="2"/>
    <n v="2877.96"/>
    <n v="0"/>
    <s v="Cliente nuevo"/>
    <s v="Ha pagado"/>
    <m/>
    <m/>
    <m/>
  </r>
  <r>
    <d v="2022-04-13T00:00:00"/>
    <x v="3"/>
    <s v="Ricardo Vidal"/>
    <s v="MAGALLANES"/>
    <n v="23419"/>
    <s v="Cliente nuevo"/>
    <m/>
    <n v="2"/>
    <n v="0"/>
    <n v="0"/>
    <n v="0"/>
    <n v="20172.400000000001"/>
    <n v="1651.84"/>
    <n v="0"/>
    <n v="0"/>
    <m/>
    <n v="21824.240000000002"/>
    <m/>
    <n v="2"/>
    <n v="21824.240000000002"/>
    <n v="0"/>
    <s v="Cliente nuevo"/>
    <s v="Ha pagado"/>
    <m/>
    <m/>
    <m/>
  </r>
  <r>
    <d v="2022-04-13T00:00:00"/>
    <x v="3"/>
    <s v="Leonar Lule"/>
    <s v="SUR"/>
    <n v="23420"/>
    <s v="Cliente"/>
    <m/>
    <n v="1"/>
    <n v="0"/>
    <n v="0"/>
    <n v="0"/>
    <n v="0"/>
    <n v="0"/>
    <n v="1247"/>
    <n v="0"/>
    <m/>
    <n v="1247"/>
    <n v="658.88"/>
    <n v="1"/>
    <n v="588.12"/>
    <n v="0.52837209302325583"/>
    <s v="Cliente nuevo"/>
    <s v="Ha pagado"/>
    <m/>
    <m/>
    <m/>
  </r>
  <r>
    <d v="2022-04-13T00:00:00"/>
    <x v="3"/>
    <s v="Dolores Jiménez"/>
    <s v="NORTE"/>
    <n v="23421"/>
    <s v="Cliente"/>
    <m/>
    <n v="1"/>
    <n v="0"/>
    <n v="0"/>
    <n v="0"/>
    <n v="254.04"/>
    <n v="0"/>
    <n v="0"/>
    <n v="0"/>
    <m/>
    <n v="254.04"/>
    <n v="5615.56"/>
    <n v="1"/>
    <n v="-5361.52"/>
    <n v="22.105022831050231"/>
    <s v="Cliente nuevo"/>
    <s v="Sin pago"/>
    <m/>
    <m/>
    <m/>
  </r>
  <r>
    <d v="2022-04-14T00:00:00"/>
    <x v="3"/>
    <s v="Ricardo Vidal"/>
    <s v="MAGALLANES"/>
    <n v="23422"/>
    <s v="Cliente"/>
    <m/>
    <n v="4"/>
    <n v="0"/>
    <n v="0"/>
    <n v="0"/>
    <n v="7868.28"/>
    <n v="7337"/>
    <n v="5971.68"/>
    <n v="6419.4400000000005"/>
    <m/>
    <n v="27596.400000000001"/>
    <n v="0"/>
    <n v="4"/>
    <n v="27596.400000000001"/>
    <n v="0"/>
    <s v="Cliente"/>
    <s v="Ha pagado"/>
    <m/>
    <m/>
    <m/>
  </r>
  <r>
    <d v="2022-04-14T00:00:00"/>
    <x v="3"/>
    <s v="Dolores Jiménez"/>
    <s v="NORTE"/>
    <n v="23423"/>
    <s v="Alta sin facturar"/>
    <m/>
    <n v="4"/>
    <n v="0"/>
    <n v="0"/>
    <n v="0"/>
    <n v="328.28"/>
    <n v="32150.560000000001"/>
    <n v="34181.72"/>
    <n v="77793.079999999987"/>
    <m/>
    <n v="144453.63999999998"/>
    <n v="0"/>
    <n v="4"/>
    <n v="144453.63999999998"/>
    <n v="0"/>
    <s v="Cliente"/>
    <s v="Ha pagado"/>
    <m/>
    <m/>
    <m/>
  </r>
  <r>
    <d v="2022-04-15T00:00:00"/>
    <x v="3"/>
    <s v="Giovanni Salas"/>
    <s v="NORTE"/>
    <n v="23424"/>
    <s v="Alta sin facturar"/>
    <m/>
    <n v="4"/>
    <n v="0"/>
    <n v="0"/>
    <n v="0"/>
    <n v="379.32"/>
    <n v="10343.720000000001"/>
    <n v="16308.44"/>
    <n v="13142.8"/>
    <m/>
    <n v="40174.28"/>
    <n v="315.52"/>
    <n v="4"/>
    <n v="39858.76"/>
    <n v="7.8537810758525107E-3"/>
    <s v="Cliente"/>
    <s v="Ha pagado"/>
    <m/>
    <m/>
    <m/>
  </r>
  <r>
    <d v="2022-04-15T00:00:00"/>
    <x v="3"/>
    <s v="Giovanni Salas"/>
    <s v="NORTE"/>
    <n v="23425"/>
    <s v="Cliente"/>
    <m/>
    <n v="0"/>
    <n v="0"/>
    <n v="0"/>
    <n v="0"/>
    <n v="0"/>
    <n v="0"/>
    <n v="0"/>
    <n v="0"/>
    <m/>
    <n v="0"/>
    <n v="48044.88"/>
    <n v="0"/>
    <n v="-48044.88"/>
    <n v="0"/>
    <s v="Alta sin facturar"/>
    <s v="Sin pago"/>
    <m/>
    <m/>
    <m/>
  </r>
  <r>
    <d v="2022-04-18T00:00:00"/>
    <x v="3"/>
    <s v="Iván Luna"/>
    <s v="NORTE"/>
    <n v="23426"/>
    <s v="Cliente nuevo"/>
    <m/>
    <n v="0"/>
    <n v="0"/>
    <n v="0"/>
    <n v="0"/>
    <n v="0"/>
    <n v="0"/>
    <n v="0"/>
    <n v="0"/>
    <m/>
    <n v="0"/>
    <n v="5113.28"/>
    <n v="0"/>
    <n v="-5113.28"/>
    <n v="0"/>
    <s v="Alta sin facturar"/>
    <s v="Sin pago"/>
    <m/>
    <m/>
    <m/>
  </r>
  <r>
    <d v="2022-04-18T00:00:00"/>
    <x v="3"/>
    <s v="Oscar Moreno"/>
    <s v="MAGALLANES"/>
    <n v="23427"/>
    <s v="Cliente nuevo"/>
    <m/>
    <n v="4"/>
    <n v="0"/>
    <n v="0"/>
    <n v="0"/>
    <n v="110.2"/>
    <n v="1441.88"/>
    <n v="2259.6800000000003"/>
    <n v="2129.7600000000002"/>
    <m/>
    <n v="5941.52"/>
    <m/>
    <n v="4"/>
    <n v="5941.52"/>
    <n v="0"/>
    <s v="Cliente"/>
    <s v="Ha pagado"/>
    <m/>
    <m/>
    <m/>
  </r>
  <r>
    <d v="2022-04-19T00:00:00"/>
    <x v="3"/>
    <s v="Miguel Ángel Romero"/>
    <s v="CENTRO"/>
    <n v="23428"/>
    <s v="Alta sin facturar"/>
    <m/>
    <n v="2"/>
    <n v="0"/>
    <n v="0"/>
    <n v="0"/>
    <n v="0"/>
    <n v="0"/>
    <n v="1076.48"/>
    <n v="6500.6399999999994"/>
    <m/>
    <n v="7577.119999999999"/>
    <m/>
    <n v="2"/>
    <n v="7577.119999999999"/>
    <n v="0"/>
    <s v="Cliente nuevo"/>
    <s v="Ha pagado"/>
    <m/>
    <m/>
    <m/>
  </r>
  <r>
    <d v="2022-04-19T00:00:00"/>
    <x v="3"/>
    <s v="Miguel Ángel Romero"/>
    <s v="CENTRO"/>
    <n v="23429"/>
    <s v="Cliente nuevo"/>
    <m/>
    <n v="1"/>
    <n v="0"/>
    <n v="0"/>
    <n v="0"/>
    <n v="0"/>
    <n v="0"/>
    <n v="0"/>
    <n v="1856"/>
    <m/>
    <n v="1856"/>
    <n v="0"/>
    <n v="1"/>
    <n v="1856"/>
    <n v="0"/>
    <s v="Cliente nuevo"/>
    <s v="Ha pagado"/>
    <m/>
    <m/>
    <m/>
  </r>
  <r>
    <d v="2022-04-19T00:00:00"/>
    <x v="3"/>
    <s v="Diana Tejadilla"/>
    <s v="CENTRO"/>
    <n v="23430"/>
    <s v="Cliente"/>
    <m/>
    <n v="0"/>
    <n v="0"/>
    <n v="0"/>
    <n v="0"/>
    <n v="0"/>
    <n v="0"/>
    <n v="0"/>
    <n v="0"/>
    <m/>
    <n v="0"/>
    <n v="827.08"/>
    <n v="0"/>
    <n v="-827.08"/>
    <n v="0"/>
    <s v="Alta sin facturar"/>
    <s v="Sin pago"/>
    <m/>
    <m/>
    <m/>
  </r>
  <r>
    <d v="2022-04-20T00:00:00"/>
    <x v="3"/>
    <s v="Ricardo Vidal"/>
    <s v="MAGALLANES"/>
    <n v="23431"/>
    <s v="Cliente nuevo"/>
    <m/>
    <n v="1"/>
    <n v="0"/>
    <n v="0"/>
    <n v="0"/>
    <n v="0"/>
    <n v="118.32"/>
    <n v="0"/>
    <n v="0"/>
    <m/>
    <n v="118.32"/>
    <n v="0"/>
    <n v="1"/>
    <n v="118.32"/>
    <n v="0"/>
    <s v="Cliente nuevo"/>
    <s v="Ha pagado"/>
    <m/>
    <m/>
    <m/>
  </r>
  <r>
    <d v="2022-04-20T00:00:00"/>
    <x v="3"/>
    <s v="Yareli Flores"/>
    <s v="CENTRO"/>
    <n v="23432"/>
    <s v="Cliente"/>
    <m/>
    <n v="4"/>
    <n v="0"/>
    <n v="0"/>
    <n v="0"/>
    <n v="218.08"/>
    <n v="2532.2800000000002"/>
    <n v="1856"/>
    <n v="5143.4399999999996"/>
    <m/>
    <n v="9749.7999999999993"/>
    <m/>
    <n v="4"/>
    <n v="9749.7999999999993"/>
    <n v="0"/>
    <s v="Cliente"/>
    <s v="Ha pagado"/>
    <m/>
    <m/>
    <m/>
  </r>
  <r>
    <d v="2022-04-20T00:00:00"/>
    <x v="3"/>
    <s v="Yareli Flores"/>
    <s v="CENTRO"/>
    <n v="23433"/>
    <s v="Alta sin facturar"/>
    <m/>
    <n v="1"/>
    <n v="0"/>
    <n v="0"/>
    <n v="0"/>
    <n v="0"/>
    <n v="0"/>
    <n v="0"/>
    <n v="8789.32"/>
    <m/>
    <n v="8789.32"/>
    <n v="0"/>
    <n v="1"/>
    <n v="8789.32"/>
    <n v="0"/>
    <s v="Cliente nuevo"/>
    <s v="Ha pagado"/>
    <m/>
    <m/>
    <m/>
  </r>
  <r>
    <d v="2022-04-20T00:00:00"/>
    <x v="3"/>
    <s v="Yareli Flores"/>
    <s v="CENTRO"/>
    <n v="23434"/>
    <s v="Cliente nuevo"/>
    <m/>
    <n v="3"/>
    <n v="0"/>
    <n v="0"/>
    <n v="0"/>
    <n v="0"/>
    <n v="2309.56"/>
    <n v="5753.6"/>
    <n v="3192.3199999999997"/>
    <m/>
    <n v="11255.48"/>
    <n v="5143.4399999999996"/>
    <n v="3"/>
    <n v="6112.04"/>
    <n v="0.45697207049366173"/>
    <s v="Cliente"/>
    <s v="Ha pagado"/>
    <m/>
    <m/>
    <m/>
  </r>
  <r>
    <d v="2022-04-20T00:00:00"/>
    <x v="3"/>
    <s v="Yareli Flores"/>
    <s v="CENTRO"/>
    <n v="23435"/>
    <s v="Cliente"/>
    <m/>
    <n v="0"/>
    <n v="0"/>
    <n v="0"/>
    <n v="0"/>
    <n v="0"/>
    <n v="0"/>
    <n v="0"/>
    <n v="0"/>
    <m/>
    <n v="0"/>
    <n v="6005.32"/>
    <n v="0"/>
    <n v="-6005.32"/>
    <n v="0"/>
    <s v="Alta sin facturar"/>
    <s v="Sin pago"/>
    <m/>
    <m/>
    <m/>
  </r>
  <r>
    <d v="2022-04-20T00:00:00"/>
    <x v="3"/>
    <s v="Dulce González"/>
    <s v="NORTE"/>
    <n v="23436"/>
    <s v="Cliente nuevo"/>
    <m/>
    <n v="1"/>
    <n v="0"/>
    <n v="0"/>
    <n v="0"/>
    <n v="4874.1899999999996"/>
    <n v="0"/>
    <n v="0"/>
    <n v="0"/>
    <m/>
    <n v="4874.1899999999996"/>
    <n v="2252.7199999999998"/>
    <n v="1"/>
    <n v="2621.47"/>
    <n v="0.46217320211153035"/>
    <s v="Cliente nuevo"/>
    <s v="Ha pagado"/>
    <m/>
    <m/>
    <m/>
  </r>
  <r>
    <d v="2022-04-20T00:00:00"/>
    <x v="3"/>
    <s v="Noemí Castillo"/>
    <s v="NORTE"/>
    <n v="23437"/>
    <s v="Cliente nuevo"/>
    <m/>
    <n v="3"/>
    <n v="0"/>
    <n v="0"/>
    <n v="0"/>
    <n v="0"/>
    <n v="4028.68"/>
    <n v="1669.2399999999998"/>
    <n v="4803.5599999999995"/>
    <m/>
    <n v="10501.48"/>
    <m/>
    <n v="3"/>
    <n v="10501.48"/>
    <n v="0"/>
    <s v="Cliente"/>
    <s v="Ha pagado"/>
    <m/>
    <m/>
    <m/>
  </r>
  <r>
    <d v="2022-04-20T00:00:00"/>
    <x v="3"/>
    <s v="Christian Castellanos"/>
    <s v="NORTE"/>
    <n v="23438"/>
    <s v="Cliente"/>
    <m/>
    <n v="1"/>
    <n v="0"/>
    <n v="0"/>
    <n v="0"/>
    <n v="0"/>
    <n v="0"/>
    <n v="0"/>
    <n v="131.08000000000001"/>
    <m/>
    <n v="131.08000000000001"/>
    <n v="0"/>
    <n v="1"/>
    <n v="131.08000000000001"/>
    <n v="0"/>
    <s v="Cliente nuevo"/>
    <s v="Ha pagado"/>
    <m/>
    <m/>
    <m/>
  </r>
  <r>
    <d v="2022-04-21T00:00:00"/>
    <x v="3"/>
    <s v="Yuritzi Alejo"/>
    <s v="CENTRO"/>
    <n v="23439"/>
    <s v="Cliente"/>
    <m/>
    <n v="2"/>
    <n v="0"/>
    <n v="0"/>
    <n v="0"/>
    <n v="0"/>
    <n v="2891.88"/>
    <n v="1789.88"/>
    <n v="0"/>
    <m/>
    <n v="4681.76"/>
    <n v="702.96"/>
    <n v="2"/>
    <n v="3978.8"/>
    <n v="0.15014866204162539"/>
    <s v="Cliente nuevo"/>
    <s v="Ha pagado"/>
    <m/>
    <m/>
    <m/>
  </r>
  <r>
    <d v="2022-04-21T00:00:00"/>
    <x v="3"/>
    <s v="Yuritzi Alejo"/>
    <s v="CENTRO"/>
    <n v="23440"/>
    <s v="Cliente nuevo"/>
    <m/>
    <n v="3"/>
    <n v="0"/>
    <n v="0"/>
    <n v="0"/>
    <n v="0"/>
    <n v="9570"/>
    <n v="108851.5"/>
    <n v="112433"/>
    <m/>
    <n v="230854.5"/>
    <n v="131.08000000000001"/>
    <n v="3"/>
    <n v="230723.42"/>
    <n v="5.6780352992902457E-4"/>
    <s v="Cliente"/>
    <s v="Ha pagado"/>
    <m/>
    <m/>
    <m/>
  </r>
  <r>
    <d v="2022-04-21T00:00:00"/>
    <x v="3"/>
    <s v="Julio César Trejo"/>
    <s v="NORTE"/>
    <n v="23441"/>
    <s v="Cliente"/>
    <m/>
    <n v="3"/>
    <n v="0"/>
    <n v="0"/>
    <n v="0"/>
    <n v="0"/>
    <n v="619.44000000000005"/>
    <n v="697.16"/>
    <n v="928"/>
    <m/>
    <n v="2244.6"/>
    <n v="4681.76"/>
    <n v="3"/>
    <n v="-2437.1600000000003"/>
    <n v="2.0857881136950907"/>
    <s v="Cliente"/>
    <s v="Sin pago"/>
    <m/>
    <m/>
    <m/>
  </r>
  <r>
    <d v="2022-04-21T00:00:00"/>
    <x v="3"/>
    <s v="Sandra Escoto"/>
    <s v="CENTRO"/>
    <n v="23442"/>
    <s v="Cliente nuevo"/>
    <m/>
    <n v="1"/>
    <n v="0"/>
    <n v="0"/>
    <n v="0"/>
    <n v="0"/>
    <n v="0"/>
    <n v="165.88"/>
    <n v="0"/>
    <m/>
    <n v="165.88"/>
    <n v="219733"/>
    <n v="1"/>
    <n v="-219567.12"/>
    <n v="1324.6503496503497"/>
    <s v="Cliente nuevo"/>
    <s v="Sin pago"/>
    <m/>
    <m/>
    <m/>
  </r>
  <r>
    <d v="2022-04-21T00:00:00"/>
    <x v="3"/>
    <s v="Rubí Rodríguez"/>
    <s v="CENTRO"/>
    <n v="23443"/>
    <s v="Alta sin facturar"/>
    <m/>
    <n v="3"/>
    <n v="0"/>
    <n v="0"/>
    <n v="0"/>
    <n v="0"/>
    <n v="247.07999999999998"/>
    <n v="2237.6400000000003"/>
    <n v="2963.7999999999997"/>
    <m/>
    <n v="5448.52"/>
    <n v="1547.44"/>
    <n v="3"/>
    <n v="3901.0800000000004"/>
    <n v="0.28401107089631678"/>
    <s v="Cliente"/>
    <s v="Ha pagado"/>
    <m/>
    <m/>
    <m/>
  </r>
  <r>
    <d v="2022-04-21T00:00:00"/>
    <x v="3"/>
    <s v="Sandra Escoto"/>
    <s v="CENTRO"/>
    <n v="23444"/>
    <s v="Cliente"/>
    <m/>
    <n v="1"/>
    <n v="0"/>
    <n v="0"/>
    <n v="0"/>
    <n v="0"/>
    <n v="0"/>
    <n v="0"/>
    <n v="1740"/>
    <m/>
    <n v="1740"/>
    <n v="0"/>
    <n v="1"/>
    <n v="1740"/>
    <n v="0"/>
    <s v="Cliente nuevo"/>
    <s v="Ha pagado"/>
    <m/>
    <m/>
    <m/>
  </r>
  <r>
    <d v="2022-04-22T00:00:00"/>
    <x v="3"/>
    <s v="Yareli Flores"/>
    <s v="CENTRO"/>
    <n v="23445"/>
    <s v="Cliente"/>
    <m/>
    <n v="0"/>
    <n v="0"/>
    <n v="0"/>
    <n v="0"/>
    <n v="0"/>
    <n v="0"/>
    <n v="0"/>
    <n v="0"/>
    <m/>
    <n v="0"/>
    <n v="518.52"/>
    <n v="0"/>
    <n v="-518.52"/>
    <n v="0"/>
    <s v="Alta sin facturar"/>
    <s v="Sin pago"/>
    <m/>
    <m/>
    <m/>
  </r>
  <r>
    <d v="2022-04-25T00:00:00"/>
    <x v="3"/>
    <s v="Leonar Lule"/>
    <s v="SUR"/>
    <n v="23446"/>
    <s v="Alta sin facturar"/>
    <m/>
    <n v="3"/>
    <n v="0"/>
    <n v="0"/>
    <n v="0"/>
    <n v="0"/>
    <n v="970.92000000000007"/>
    <n v="901.32"/>
    <n v="2670.3199999999997"/>
    <m/>
    <n v="4542.5599999999995"/>
    <n v="1740"/>
    <n v="3"/>
    <n v="2802.5599999999995"/>
    <n v="0.38304392236976509"/>
    <s v="Cliente"/>
    <s v="Ha pagado"/>
    <m/>
    <m/>
    <m/>
  </r>
  <r>
    <d v="2022-04-25T00:00:00"/>
    <x v="3"/>
    <s v="Yareli Flores"/>
    <s v="CENTRO"/>
    <n v="23447"/>
    <s v="Cliente"/>
    <m/>
    <n v="3"/>
    <n v="0"/>
    <n v="0"/>
    <n v="0"/>
    <n v="0"/>
    <n v="4350"/>
    <n v="2335.08"/>
    <n v="1416.36"/>
    <m/>
    <n v="8101.44"/>
    <m/>
    <n v="3"/>
    <n v="8101.44"/>
    <n v="0"/>
    <s v="Cliente"/>
    <s v="Ha pagado"/>
    <m/>
    <m/>
    <m/>
  </r>
  <r>
    <d v="2022-04-25T00:00:00"/>
    <x v="3"/>
    <s v="Yareli Flores"/>
    <s v="CENTRO"/>
    <n v="23448"/>
    <s v="Cliente nuevo"/>
    <m/>
    <n v="0"/>
    <n v="0"/>
    <n v="0"/>
    <n v="0"/>
    <n v="0"/>
    <n v="0"/>
    <n v="0"/>
    <n v="0"/>
    <m/>
    <n v="0"/>
    <n v="403.68"/>
    <n v="0"/>
    <n v="-403.68"/>
    <n v="0"/>
    <s v="Alta sin facturar"/>
    <s v="Sin pago"/>
    <m/>
    <m/>
    <m/>
  </r>
  <r>
    <d v="2022-04-26T00:00:00"/>
    <x v="3"/>
    <s v="Rubí Rodríguez"/>
    <s v="CENTRO"/>
    <n v="23449"/>
    <s v="Cliente"/>
    <m/>
    <n v="3"/>
    <n v="0"/>
    <n v="0"/>
    <n v="0"/>
    <n v="0"/>
    <n v="864.19999999999993"/>
    <n v="1789.88"/>
    <n v="2165.7199999999998"/>
    <m/>
    <n v="4819.7999999999993"/>
    <n v="1416.36"/>
    <n v="3"/>
    <n v="3403.4399999999996"/>
    <n v="0.29386281588447655"/>
    <s v="Cliente"/>
    <s v="Ha pagado"/>
    <m/>
    <m/>
    <m/>
  </r>
  <r>
    <d v="2022-04-26T00:00:00"/>
    <x v="3"/>
    <s v="Dolores Jiménez"/>
    <s v="NORTE"/>
    <n v="23450"/>
    <s v="Alta sin facturar"/>
    <m/>
    <n v="2"/>
    <n v="0"/>
    <n v="0"/>
    <n v="0"/>
    <n v="0"/>
    <n v="0"/>
    <n v="2802.5600000000004"/>
    <n v="3108.7999999999997"/>
    <m/>
    <n v="5911.3600000000006"/>
    <m/>
    <n v="2"/>
    <n v="5911.3600000000006"/>
    <n v="0"/>
    <s v="Cliente nuevo"/>
    <s v="Ha pagado"/>
    <m/>
    <m/>
    <m/>
  </r>
  <r>
    <d v="2022-04-26T00:00:00"/>
    <x v="3"/>
    <s v="Genaro Castro"/>
    <s v="SUR"/>
    <n v="23451"/>
    <s v="Cliente"/>
    <m/>
    <n v="3"/>
    <n v="0"/>
    <n v="0"/>
    <n v="0"/>
    <n v="627.55999999999995"/>
    <n v="0"/>
    <n v="1629.8"/>
    <n v="615.96"/>
    <m/>
    <n v="2873.3199999999997"/>
    <n v="146.16"/>
    <n v="3"/>
    <n v="2727.16"/>
    <n v="5.0867985466289872E-2"/>
    <s v="Cliente"/>
    <s v="Ha pagado"/>
    <m/>
    <m/>
    <m/>
  </r>
  <r>
    <d v="2022-04-26T00:00:00"/>
    <x v="3"/>
    <s v="Blanca Montoya"/>
    <s v="CENTRO"/>
    <n v="23452"/>
    <s v="Alta sin facturar"/>
    <m/>
    <n v="0"/>
    <n v="0"/>
    <n v="0"/>
    <n v="0"/>
    <n v="0"/>
    <n v="0"/>
    <n v="0"/>
    <n v="0"/>
    <m/>
    <n v="0"/>
    <n v="1700.56"/>
    <n v="0"/>
    <n v="-1700.56"/>
    <n v="0"/>
    <s v="Alta sin facturar"/>
    <s v="Sin pago"/>
    <m/>
    <m/>
    <m/>
  </r>
  <r>
    <d v="2022-04-27T00:00:00"/>
    <x v="3"/>
    <s v="Giovanni Salas"/>
    <s v="NORTE"/>
    <n v="23453"/>
    <s v="Alta sin facturar"/>
    <m/>
    <n v="3"/>
    <n v="0"/>
    <n v="0"/>
    <n v="0"/>
    <n v="0"/>
    <n v="7388.04"/>
    <n v="22158.32"/>
    <n v="19305.879999999997"/>
    <m/>
    <n v="48852.24"/>
    <n v="615.96"/>
    <n v="3"/>
    <n v="48236.28"/>
    <n v="1.2608633708505486E-2"/>
    <s v="Cliente"/>
    <s v="Ha pagado"/>
    <m/>
    <m/>
    <m/>
  </r>
  <r>
    <d v="2022-04-28T00:00:00"/>
    <x v="3"/>
    <s v="Genaro Castro"/>
    <s v="SUR"/>
    <n v="23454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4-28T00:00:00"/>
    <x v="3"/>
    <s v="Diana Tejadilla"/>
    <s v="CENTRO"/>
    <n v="23455"/>
    <s v="Cliente nuevo"/>
    <m/>
    <n v="0"/>
    <n v="0"/>
    <n v="0"/>
    <n v="0"/>
    <n v="0"/>
    <n v="0"/>
    <n v="0"/>
    <n v="0"/>
    <m/>
    <n v="0"/>
    <n v="5664.28"/>
    <n v="0"/>
    <n v="-5664.28"/>
    <n v="0"/>
    <s v="Alta sin facturar"/>
    <s v="Sin pago"/>
    <m/>
    <m/>
    <m/>
  </r>
  <r>
    <d v="2022-04-28T00:00:00"/>
    <x v="3"/>
    <s v="Christian Castellanos"/>
    <s v="NORTE"/>
    <n v="23456"/>
    <s v="Cliente nuevo"/>
    <m/>
    <n v="3"/>
    <n v="0"/>
    <n v="0"/>
    <n v="0"/>
    <n v="0"/>
    <n v="2126.2799999999997"/>
    <n v="1476.68"/>
    <n v="2388.44"/>
    <m/>
    <n v="5991.4"/>
    <m/>
    <n v="3"/>
    <n v="5991.4"/>
    <n v="0"/>
    <s v="Cliente"/>
    <s v="Ha pagado"/>
    <m/>
    <m/>
    <m/>
  </r>
  <r>
    <d v="2022-04-29T00:00:00"/>
    <x v="3"/>
    <s v="Noemí Castillo"/>
    <s v="NORTE"/>
    <n v="23457"/>
    <s v="Cliente"/>
    <m/>
    <n v="2"/>
    <n v="0"/>
    <n v="0"/>
    <n v="0"/>
    <n v="0"/>
    <n v="0"/>
    <n v="1105.48"/>
    <n v="3925.44"/>
    <m/>
    <n v="5030.92"/>
    <m/>
    <n v="2"/>
    <n v="5030.92"/>
    <n v="0"/>
    <s v="Cliente nuevo"/>
    <s v="Ha pagado"/>
    <m/>
    <m/>
    <m/>
  </r>
  <r>
    <d v="2022-04-29T00:00:00"/>
    <x v="3"/>
    <s v="Noemí Castillo"/>
    <s v="NORTE"/>
    <n v="23458"/>
    <s v="Cliente nuevo"/>
    <m/>
    <n v="2"/>
    <n v="0"/>
    <n v="0"/>
    <n v="0"/>
    <n v="0"/>
    <n v="0"/>
    <n v="812"/>
    <n v="5452"/>
    <m/>
    <n v="6264"/>
    <n v="1099.68"/>
    <n v="2"/>
    <n v="5164.32"/>
    <n v="0.17555555555555558"/>
    <s v="Cliente nuevo"/>
    <s v="Ha pagado"/>
    <m/>
    <m/>
    <m/>
  </r>
  <r>
    <d v="2022-04-29T00:00:00"/>
    <x v="3"/>
    <s v="Dolores Jiménez"/>
    <s v="NORTE"/>
    <n v="23459"/>
    <s v="Cliente"/>
    <m/>
    <n v="3"/>
    <n v="0"/>
    <n v="0"/>
    <n v="0"/>
    <n v="0"/>
    <n v="7783.5999999999995"/>
    <n v="8307.92"/>
    <n v="6299.96"/>
    <m/>
    <n v="22391.48"/>
    <n v="2387.2799999999997"/>
    <n v="3"/>
    <n v="20004.2"/>
    <n v="0.10661555198673781"/>
    <s v="Cliente"/>
    <s v="Ha pagado"/>
    <m/>
    <m/>
    <m/>
  </r>
  <r>
    <d v="2022-04-29T00:00:00"/>
    <x v="3"/>
    <s v="Dolores Jiménez"/>
    <s v="NORTE"/>
    <n v="23460"/>
    <s v="Cliente"/>
    <m/>
    <n v="1"/>
    <n v="0"/>
    <n v="0"/>
    <n v="0"/>
    <n v="0"/>
    <n v="2187.7599999999998"/>
    <n v="0"/>
    <n v="0"/>
    <m/>
    <n v="2187.7599999999998"/>
    <n v="812"/>
    <n v="1"/>
    <n v="1375.7599999999998"/>
    <n v="0.37115588547189826"/>
    <s v="Cliente nuevo"/>
    <s v="Ha pagado"/>
    <m/>
    <m/>
    <m/>
  </r>
  <r>
    <d v="2022-04-30T00:00:00"/>
    <x v="3"/>
    <s v="Julio César Trejo"/>
    <s v="NORTE"/>
    <n v="23461"/>
    <s v="Cliente"/>
    <m/>
    <n v="3"/>
    <n v="0"/>
    <n v="0"/>
    <n v="0"/>
    <n v="0"/>
    <n v="155.44"/>
    <n v="4039.1200000000003"/>
    <n v="3235.2400000000002"/>
    <m/>
    <n v="7429.8000000000011"/>
    <n v="0"/>
    <n v="3"/>
    <n v="7429.8000000000011"/>
    <n v="0"/>
    <s v="Cliente"/>
    <s v="Ha pagado"/>
    <m/>
    <m/>
    <m/>
  </r>
  <r>
    <d v="2022-04-30T00:00:00"/>
    <x v="3"/>
    <s v="Rubí Rodríguez"/>
    <s v="CENTRO"/>
    <n v="23462"/>
    <s v="Cliente"/>
    <m/>
    <n v="3"/>
    <n v="0"/>
    <n v="0"/>
    <n v="0"/>
    <n v="0"/>
    <n v="437.32000000000005"/>
    <n v="2735.2799999999997"/>
    <n v="4904.4799999999996"/>
    <m/>
    <n v="8077.08"/>
    <n v="1809.6"/>
    <n v="3"/>
    <n v="6267.48"/>
    <n v="0.22404136148211976"/>
    <s v="Cliente"/>
    <s v="Ha pagado"/>
    <m/>
    <m/>
    <m/>
  </r>
  <r>
    <d v="2022-05-02T00:00:00"/>
    <x v="4"/>
    <s v="Alfredo Almaráz"/>
    <s v="MAGALLANES"/>
    <n v="23463"/>
    <s v="Cliente nuevo"/>
    <m/>
    <n v="3"/>
    <n v="0"/>
    <n v="0"/>
    <n v="0"/>
    <n v="0"/>
    <n v="447.76"/>
    <n v="1191.32"/>
    <n v="723.84"/>
    <m/>
    <n v="2362.92"/>
    <n v="1095.04"/>
    <n v="3"/>
    <n v="1267.8800000000001"/>
    <n v="0.46342660775650463"/>
    <s v="Cliente"/>
    <s v="Ha pagado"/>
    <m/>
    <m/>
    <m/>
  </r>
  <r>
    <d v="2022-05-03T00:00:00"/>
    <x v="4"/>
    <s v="Miguel Ángel Romero"/>
    <s v="CENTRO"/>
    <n v="23464"/>
    <s v="Cliente"/>
    <m/>
    <n v="3"/>
    <n v="0"/>
    <n v="0"/>
    <n v="0"/>
    <n v="0"/>
    <n v="5672.4"/>
    <n v="5088.92"/>
    <n v="14981.4"/>
    <m/>
    <n v="25742.720000000001"/>
    <n v="0"/>
    <n v="3"/>
    <n v="25742.720000000001"/>
    <n v="0"/>
    <s v="Cliente"/>
    <s v="Ha pagado"/>
    <m/>
    <m/>
    <m/>
  </r>
  <r>
    <d v="2022-05-03T00:00:00"/>
    <x v="4"/>
    <s v="Yuriana Argüello"/>
    <s v="CENTRO"/>
    <n v="23465"/>
    <s v="Cliente"/>
    <m/>
    <n v="1"/>
    <n v="0"/>
    <n v="0"/>
    <n v="0"/>
    <n v="0"/>
    <n v="429.2"/>
    <n v="0"/>
    <n v="0"/>
    <m/>
    <n v="429.2"/>
    <n v="243.6"/>
    <n v="1"/>
    <n v="185.6"/>
    <n v="0.56756756756756754"/>
    <s v="Cliente nuevo"/>
    <s v="Ha pagado"/>
    <m/>
    <m/>
    <m/>
  </r>
  <r>
    <d v="2022-05-04T00:00:00"/>
    <x v="4"/>
    <s v="Marcos López"/>
    <s v="SUR"/>
    <n v="23466"/>
    <s v="Cliente"/>
    <m/>
    <n v="3"/>
    <n v="0"/>
    <n v="0"/>
    <n v="0"/>
    <n v="0"/>
    <n v="3731.7200000000003"/>
    <n v="18271.16"/>
    <n v="10836.720000000001"/>
    <m/>
    <n v="32839.600000000006"/>
    <n v="14981.4"/>
    <n v="3"/>
    <n v="17858.200000000004"/>
    <n v="0.45619922288943826"/>
    <s v="Cliente"/>
    <s v="Ha pagado"/>
    <m/>
    <m/>
    <m/>
  </r>
  <r>
    <d v="2022-05-04T00:00:00"/>
    <x v="4"/>
    <s v="Ricardo Vidal"/>
    <s v="MAGALLANES"/>
    <n v="23467"/>
    <s v="Alta sin facturar"/>
    <m/>
    <n v="3"/>
    <n v="0"/>
    <n v="0"/>
    <n v="0"/>
    <n v="0"/>
    <n v="593.91999999999996"/>
    <n v="1289.92"/>
    <n v="2075.2399999999998"/>
    <m/>
    <n v="3959.08"/>
    <n v="0"/>
    <n v="3"/>
    <n v="3959.08"/>
    <n v="0"/>
    <s v="Cliente"/>
    <s v="Ha pagado"/>
    <m/>
    <m/>
    <m/>
  </r>
  <r>
    <d v="2022-05-04T00:00:00"/>
    <x v="4"/>
    <s v="Alfredo Almaráz"/>
    <s v="MAGALLANES"/>
    <n v="23468"/>
    <s v="Alta sin facturar"/>
    <m/>
    <n v="3"/>
    <n v="0"/>
    <n v="0"/>
    <n v="0"/>
    <n v="0"/>
    <n v="7797.5199999999995"/>
    <n v="13749.480000000001"/>
    <n v="12624.279999999999"/>
    <m/>
    <n v="34171.279999999999"/>
    <n v="5514.64"/>
    <n v="3"/>
    <n v="28656.639999999999"/>
    <n v="0.161382307013375"/>
    <s v="Cliente"/>
    <s v="Ha pagado"/>
    <m/>
    <m/>
    <m/>
  </r>
  <r>
    <d v="2022-05-04T00:00:00"/>
    <x v="4"/>
    <s v="Dolores Jiménez"/>
    <s v="NORTE"/>
    <n v="23469"/>
    <s v="Cliente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5-04T00:00:00"/>
    <x v="4"/>
    <s v="Noemí Castillo"/>
    <s v="NORTE"/>
    <n v="23470"/>
    <s v="Cliente"/>
    <m/>
    <n v="0"/>
    <n v="0"/>
    <n v="0"/>
    <n v="0"/>
    <n v="0"/>
    <n v="0"/>
    <n v="0"/>
    <n v="0"/>
    <m/>
    <n v="0"/>
    <n v="9510.84"/>
    <n v="0"/>
    <n v="-9510.84"/>
    <n v="0"/>
    <s v="Alta sin facturar"/>
    <s v="Sin pago"/>
    <m/>
    <m/>
    <m/>
  </r>
  <r>
    <d v="2022-05-04T00:00:00"/>
    <x v="4"/>
    <s v="Christian Castellanos"/>
    <s v="NORTE"/>
    <n v="23471"/>
    <s v="Cliente"/>
    <m/>
    <n v="3"/>
    <n v="0"/>
    <n v="0"/>
    <n v="0"/>
    <n v="0"/>
    <n v="5970.52"/>
    <n v="10188.280000000001"/>
    <n v="12947.919999999998"/>
    <m/>
    <n v="29106.720000000001"/>
    <m/>
    <n v="3"/>
    <n v="29106.720000000001"/>
    <n v="0"/>
    <s v="Cliente"/>
    <s v="Ha pagado"/>
    <m/>
    <m/>
    <m/>
  </r>
  <r>
    <d v="2022-05-05T00:00:00"/>
    <x v="4"/>
    <s v="Alfredo Almaráz"/>
    <s v="MAGALLANES"/>
    <n v="23472"/>
    <s v="Cliente nuevo"/>
    <m/>
    <n v="3"/>
    <n v="0"/>
    <n v="0"/>
    <n v="0"/>
    <n v="0"/>
    <n v="2610"/>
    <n v="3022.96"/>
    <n v="5682.84"/>
    <m/>
    <n v="11315.8"/>
    <m/>
    <n v="3"/>
    <n v="11315.8"/>
    <n v="0"/>
    <s v="Cliente"/>
    <s v="Ha pagado"/>
    <m/>
    <m/>
    <m/>
  </r>
  <r>
    <d v="2022-05-05T00:00:00"/>
    <x v="4"/>
    <s v="Giovanni Salas"/>
    <s v="NORTE"/>
    <n v="23473"/>
    <s v="Alta sin facturar"/>
    <m/>
    <n v="3"/>
    <n v="0"/>
    <n v="0"/>
    <n v="0"/>
    <n v="0"/>
    <n v="1364.16"/>
    <n v="5943.84"/>
    <n v="7502.880000000001"/>
    <m/>
    <n v="14810.880000000001"/>
    <n v="0"/>
    <n v="3"/>
    <n v="14810.880000000001"/>
    <n v="0"/>
    <s v="Cliente"/>
    <s v="Ha pagado"/>
    <m/>
    <m/>
    <m/>
  </r>
  <r>
    <d v="2022-05-05T00:00:00"/>
    <x v="4"/>
    <s v="Christian Castellanos"/>
    <s v="NORTE"/>
    <n v="23474"/>
    <s v="Alta sin facturar"/>
    <m/>
    <n v="1"/>
    <n v="0"/>
    <n v="0"/>
    <n v="0"/>
    <n v="0"/>
    <n v="0"/>
    <n v="0"/>
    <n v="12992"/>
    <m/>
    <n v="12992"/>
    <n v="1419.84"/>
    <n v="1"/>
    <n v="11572.16"/>
    <n v="0.10928571428571428"/>
    <s v="Cliente nuevo"/>
    <s v="Ha pagado"/>
    <m/>
    <m/>
    <m/>
  </r>
  <r>
    <d v="2022-05-05T00:00:00"/>
    <x v="4"/>
    <s v="Christian Castellanos"/>
    <s v="NORTE"/>
    <n v="23475"/>
    <s v="Cliente"/>
    <m/>
    <n v="0"/>
    <n v="0"/>
    <n v="0"/>
    <n v="0"/>
    <n v="0"/>
    <n v="0"/>
    <n v="0"/>
    <n v="0"/>
    <m/>
    <n v="0"/>
    <n v="2533.44"/>
    <n v="0"/>
    <n v="-2533.44"/>
    <n v="0"/>
    <s v="Alta sin facturar"/>
    <s v="Sin pago"/>
    <m/>
    <m/>
    <m/>
  </r>
  <r>
    <d v="2022-05-06T00:00:00"/>
    <x v="4"/>
    <s v="Yuriana Argüello"/>
    <s v="CENTRO"/>
    <n v="23476"/>
    <s v="Cliente"/>
    <m/>
    <n v="0"/>
    <n v="0"/>
    <n v="0"/>
    <n v="0"/>
    <n v="0"/>
    <n v="0"/>
    <n v="0"/>
    <n v="0"/>
    <m/>
    <n v="0"/>
    <n v="12992"/>
    <n v="0"/>
    <n v="-12992"/>
    <n v="0"/>
    <s v="Alta sin facturar"/>
    <s v="Sin pago"/>
    <m/>
    <m/>
    <m/>
  </r>
  <r>
    <d v="2022-05-06T00:00:00"/>
    <x v="4"/>
    <s v="Carlos Guerra"/>
    <s v="CENTRO"/>
    <n v="23477"/>
    <s v="Cliente"/>
    <m/>
    <n v="3"/>
    <n v="0"/>
    <n v="0"/>
    <n v="0"/>
    <n v="0"/>
    <n v="3316.44"/>
    <n v="65828.84"/>
    <n v="47558.84"/>
    <m/>
    <n v="116704.12"/>
    <m/>
    <n v="3"/>
    <n v="116704.12"/>
    <n v="0"/>
    <s v="Cliente"/>
    <s v="Ha pagado"/>
    <m/>
    <m/>
    <m/>
  </r>
  <r>
    <d v="2022-05-07T00:00:00"/>
    <x v="4"/>
    <s v="Yuritzi Alejo"/>
    <s v="CENTRO"/>
    <n v="23478"/>
    <s v="Cliente"/>
    <m/>
    <n v="3"/>
    <n v="0"/>
    <n v="0"/>
    <n v="0"/>
    <n v="0"/>
    <n v="194.88"/>
    <n v="1141.4399999999998"/>
    <n v="488.35999999999996"/>
    <m/>
    <n v="1824.6799999999996"/>
    <m/>
    <n v="3"/>
    <n v="1824.6799999999996"/>
    <n v="0"/>
    <s v="Cliente"/>
    <s v="Ha pagado"/>
    <m/>
    <m/>
    <m/>
  </r>
  <r>
    <d v="2022-05-09T00:00:00"/>
    <x v="4"/>
    <s v="Dolores Jiménez"/>
    <s v="NORTE"/>
    <n v="23479"/>
    <s v="Cliente"/>
    <m/>
    <n v="3"/>
    <n v="0"/>
    <n v="0"/>
    <n v="0"/>
    <n v="0"/>
    <n v="1707.52"/>
    <n v="9268.4"/>
    <n v="10187.119999999999"/>
    <m/>
    <n v="21163.040000000001"/>
    <n v="24133.8"/>
    <n v="3"/>
    <n v="-2970.7599999999984"/>
    <n v="1.1403749177811882"/>
    <s v="Cliente"/>
    <s v="Sin pago"/>
    <m/>
    <m/>
    <m/>
  </r>
  <r>
    <d v="2022-05-09T00:00:00"/>
    <x v="4"/>
    <s v="Jose Carlos Orozco"/>
    <s v="CENTRO"/>
    <n v="23480"/>
    <s v="Cliente"/>
    <m/>
    <n v="3"/>
    <n v="0"/>
    <n v="0"/>
    <n v="0"/>
    <n v="0"/>
    <n v="9741.68"/>
    <n v="37159.440000000002"/>
    <n v="46347.8"/>
    <m/>
    <n v="93248.920000000013"/>
    <n v="100.92"/>
    <n v="3"/>
    <n v="93148.000000000015"/>
    <n v="1.0822645452622935E-3"/>
    <s v="Cliente"/>
    <s v="Ha pagado"/>
    <m/>
    <m/>
    <m/>
  </r>
  <r>
    <d v="2022-05-11T00:00:00"/>
    <x v="4"/>
    <s v="Alfredo Almaráz"/>
    <s v="MAGALLANES"/>
    <n v="23481"/>
    <s v="Cliente nuevo"/>
    <m/>
    <n v="3"/>
    <n v="0"/>
    <n v="0"/>
    <n v="0"/>
    <n v="0"/>
    <n v="2460.36"/>
    <n v="17517.16"/>
    <n v="6427.56"/>
    <m/>
    <n v="26405.08"/>
    <n v="6247.76"/>
    <n v="3"/>
    <n v="20157.32"/>
    <n v="0.23661204586390194"/>
    <s v="Cliente"/>
    <s v="Ha pagado"/>
    <m/>
    <m/>
    <m/>
  </r>
  <r>
    <d v="2022-05-11T00:00:00"/>
    <x v="4"/>
    <s v="Jose Carlos Orozco"/>
    <s v="CENTRO"/>
    <n v="23482"/>
    <s v="Alta sin facturar"/>
    <m/>
    <n v="3"/>
    <n v="0"/>
    <n v="0"/>
    <n v="0"/>
    <n v="0"/>
    <n v="4974.08"/>
    <n v="7876.4"/>
    <n v="5257.12"/>
    <m/>
    <n v="18107.599999999999"/>
    <n v="17623.88"/>
    <n v="3"/>
    <n v="483.71999999999753"/>
    <n v="0.97328635490070481"/>
    <s v="Cliente"/>
    <s v="Ha pagado"/>
    <m/>
    <m/>
    <m/>
  </r>
  <r>
    <d v="2022-05-11T00:00:00"/>
    <x v="4"/>
    <s v="Genaro Castro"/>
    <s v="SUR"/>
    <n v="23483"/>
    <s v="Alta sin facturar"/>
    <m/>
    <n v="2"/>
    <n v="0"/>
    <n v="0"/>
    <n v="0"/>
    <n v="0"/>
    <n v="0"/>
    <n v="1294.56"/>
    <n v="5856.84"/>
    <m/>
    <n v="7151.4"/>
    <n v="8887.92"/>
    <n v="2"/>
    <n v="-1736.5200000000004"/>
    <n v="1.242822384428224"/>
    <s v="Cliente nuevo"/>
    <s v="Sin pago"/>
    <m/>
    <m/>
    <m/>
  </r>
  <r>
    <d v="2022-05-11T00:00:00"/>
    <x v="4"/>
    <s v="Diana Tejadilla"/>
    <s v="CENTRO"/>
    <n v="23484"/>
    <s v="Alta sin facturar"/>
    <m/>
    <n v="0"/>
    <n v="0"/>
    <n v="0"/>
    <n v="0"/>
    <n v="0"/>
    <n v="0"/>
    <n v="0"/>
    <n v="0"/>
    <m/>
    <n v="0"/>
    <n v="4350"/>
    <n v="0"/>
    <n v="-4350"/>
    <n v="0"/>
    <s v="Alta sin facturar"/>
    <s v="Sin pago"/>
    <m/>
    <m/>
    <m/>
  </r>
  <r>
    <d v="2022-05-11T00:00:00"/>
    <x v="4"/>
    <s v="Diana Tejadilla"/>
    <s v="CENTRO"/>
    <n v="23485"/>
    <s v="Cliente"/>
    <m/>
    <n v="0"/>
    <n v="0"/>
    <n v="0"/>
    <n v="0"/>
    <n v="0"/>
    <n v="0"/>
    <n v="0"/>
    <n v="0"/>
    <m/>
    <n v="0"/>
    <n v="2615.8000000000002"/>
    <n v="0"/>
    <n v="-2615.8000000000002"/>
    <n v="0"/>
    <s v="Alta sin facturar"/>
    <s v="Sin pago"/>
    <m/>
    <m/>
    <m/>
  </r>
  <r>
    <d v="2022-05-11T00:00:00"/>
    <x v="4"/>
    <s v="Genaro Castro"/>
    <s v="SUR"/>
    <n v="23486"/>
    <s v="Cliente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5-13T00:00:00"/>
    <x v="4"/>
    <s v="Iván Luna"/>
    <s v="NORTE"/>
    <n v="23487"/>
    <s v="Cliente"/>
    <m/>
    <n v="3"/>
    <n v="0"/>
    <n v="0"/>
    <n v="0"/>
    <n v="0"/>
    <n v="1975.48"/>
    <n v="738.92"/>
    <n v="4781.5200000000004"/>
    <m/>
    <n v="7495.92"/>
    <m/>
    <n v="3"/>
    <n v="7495.92"/>
    <n v="0"/>
    <s v="Cliente"/>
    <s v="Ha pagado"/>
    <m/>
    <m/>
    <m/>
  </r>
  <r>
    <d v="2022-05-14T00:00:00"/>
    <x v="4"/>
    <s v="Ricardo Vidal"/>
    <s v="MAGALLANES"/>
    <n v="23488"/>
    <s v="Cliente nuevo"/>
    <m/>
    <n v="3"/>
    <n v="0"/>
    <n v="0"/>
    <n v="0"/>
    <n v="0"/>
    <n v="6121.3200000000006"/>
    <n v="6639.84"/>
    <n v="4409.16"/>
    <m/>
    <n v="17170.32"/>
    <m/>
    <n v="3"/>
    <n v="17170.32"/>
    <n v="0"/>
    <s v="Cliente"/>
    <s v="Ha pagado"/>
    <m/>
    <m/>
    <m/>
  </r>
  <r>
    <d v="2022-05-16T00:00:00"/>
    <x v="4"/>
    <s v="Yuriana Argüello"/>
    <s v="CENTRO"/>
    <n v="23489"/>
    <s v="Cliente nuevo"/>
    <m/>
    <n v="3"/>
    <n v="0"/>
    <n v="0"/>
    <n v="0"/>
    <n v="0"/>
    <n v="2091.48"/>
    <n v="6499.48"/>
    <n v="3938.2000000000003"/>
    <m/>
    <n v="12529.16"/>
    <n v="2101.92"/>
    <n v="3"/>
    <n v="10427.24"/>
    <n v="0.16776224423664476"/>
    <s v="Cliente"/>
    <s v="Ha pagado"/>
    <m/>
    <m/>
    <m/>
  </r>
  <r>
    <d v="2022-05-16T00:00:00"/>
    <x v="4"/>
    <s v="Oscar Moreno"/>
    <s v="MAGALLANES"/>
    <n v="23490"/>
    <s v="Alta sin facturar"/>
    <m/>
    <n v="2"/>
    <n v="0"/>
    <n v="0"/>
    <n v="0"/>
    <n v="0"/>
    <n v="0"/>
    <n v="8841.52"/>
    <n v="5991.4000000000005"/>
    <m/>
    <n v="14832.920000000002"/>
    <n v="5724.6"/>
    <n v="2"/>
    <n v="9108.3200000000015"/>
    <n v="0.38593884413857821"/>
    <s v="Cliente nuevo"/>
    <s v="Ha pagado"/>
    <m/>
    <m/>
    <m/>
  </r>
  <r>
    <d v="2022-05-16T00:00:00"/>
    <x v="4"/>
    <s v="Marcos López"/>
    <s v="SUR"/>
    <n v="23491"/>
    <s v="Cliente nuevo"/>
    <m/>
    <n v="2"/>
    <n v="0"/>
    <n v="0"/>
    <n v="0"/>
    <n v="0"/>
    <n v="0"/>
    <n v="3765.3599999999997"/>
    <n v="1358.36"/>
    <m/>
    <n v="5123.7199999999993"/>
    <n v="0"/>
    <n v="2"/>
    <n v="5123.7199999999993"/>
    <n v="0"/>
    <s v="Cliente nuevo"/>
    <s v="Ha pagado"/>
    <m/>
    <m/>
    <m/>
  </r>
  <r>
    <d v="2022-05-16T00:00:00"/>
    <x v="4"/>
    <s v="Rubí Rodríguez"/>
    <s v="CENTRO"/>
    <n v="23492"/>
    <s v="Cliente nuevo"/>
    <m/>
    <n v="0"/>
    <n v="0"/>
    <n v="0"/>
    <n v="0"/>
    <n v="0"/>
    <n v="0"/>
    <n v="0"/>
    <n v="0"/>
    <m/>
    <n v="0"/>
    <n v="5150.4000000000005"/>
    <n v="0"/>
    <n v="-5150.4000000000005"/>
    <n v="0"/>
    <s v="Alta sin facturar"/>
    <s v="Sin pago"/>
    <m/>
    <m/>
    <m/>
  </r>
  <r>
    <d v="2022-05-16T00:00:00"/>
    <x v="4"/>
    <s v="Jose Carlos Orozco"/>
    <s v="CENTRO"/>
    <n v="23493"/>
    <s v="Cliente"/>
    <m/>
    <n v="2"/>
    <n v="0"/>
    <n v="0"/>
    <n v="0"/>
    <n v="0"/>
    <n v="0"/>
    <n v="8816"/>
    <n v="892.04"/>
    <m/>
    <n v="9708.0400000000009"/>
    <n v="0"/>
    <n v="2"/>
    <n v="9708.0400000000009"/>
    <n v="0"/>
    <s v="Cliente nuevo"/>
    <s v="Ha pagado"/>
    <m/>
    <m/>
    <m/>
  </r>
  <r>
    <d v="2022-05-17T00:00:00"/>
    <x v="4"/>
    <s v="Christian Castellanos"/>
    <s v="NORTE"/>
    <n v="23494"/>
    <s v="Cliente"/>
    <m/>
    <n v="1"/>
    <n v="0"/>
    <n v="0"/>
    <n v="0"/>
    <n v="0"/>
    <n v="0"/>
    <n v="0"/>
    <n v="16148.36"/>
    <m/>
    <n v="16148.36"/>
    <m/>
    <n v="1"/>
    <n v="16148.36"/>
    <n v="0"/>
    <s v="Cliente nuevo"/>
    <s v="Ha pagado"/>
    <m/>
    <m/>
    <m/>
  </r>
  <r>
    <d v="2022-05-17T00:00:00"/>
    <x v="4"/>
    <s v="Leonar Lule"/>
    <s v="SUR"/>
    <n v="23495"/>
    <s v="Alta sin facturar"/>
    <m/>
    <n v="3"/>
    <n v="0"/>
    <n v="0"/>
    <n v="0"/>
    <n v="0"/>
    <n v="1784.08"/>
    <n v="3177.24"/>
    <n v="3424.32"/>
    <m/>
    <n v="8385.64"/>
    <n v="0"/>
    <n v="3"/>
    <n v="8385.64"/>
    <n v="0"/>
    <s v="Cliente"/>
    <s v="Ha pagado"/>
    <m/>
    <m/>
    <m/>
  </r>
  <r>
    <d v="2022-05-17T00:00:00"/>
    <x v="4"/>
    <s v="Marcos López"/>
    <s v="SUR"/>
    <n v="23496"/>
    <s v="Alta sin facturar"/>
    <m/>
    <n v="3"/>
    <n v="0"/>
    <n v="0"/>
    <n v="0"/>
    <n v="0"/>
    <n v="876.96"/>
    <n v="1351.4"/>
    <n v="2267.8000000000002"/>
    <m/>
    <n v="4496.16"/>
    <n v="2491.6799999999998"/>
    <n v="3"/>
    <n v="2004.48"/>
    <n v="0.55417956656346745"/>
    <s v="Cliente"/>
    <s v="Ha pagado"/>
    <m/>
    <m/>
    <m/>
  </r>
  <r>
    <d v="2022-05-17T00:00:00"/>
    <x v="4"/>
    <s v="Miguel Ángel Romero"/>
    <s v="CENTRO"/>
    <n v="23497"/>
    <s v="Cliente nuevo"/>
    <m/>
    <n v="0"/>
    <n v="0"/>
    <n v="0"/>
    <n v="0"/>
    <n v="0"/>
    <n v="0"/>
    <n v="0"/>
    <n v="0"/>
    <m/>
    <n v="0"/>
    <n v="1989.4"/>
    <n v="0"/>
    <n v="-1989.4"/>
    <n v="0"/>
    <s v="Alta sin facturar"/>
    <s v="Sin pago"/>
    <m/>
    <m/>
    <m/>
  </r>
  <r>
    <d v="2022-05-17T00:00:00"/>
    <x v="4"/>
    <s v="Miguel Ángel Romero"/>
    <s v="CENTRO"/>
    <n v="23498"/>
    <s v="Cliente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5-17T00:00:00"/>
    <x v="4"/>
    <s v="Dolores Jiménez"/>
    <s v="NORTE"/>
    <n v="23499"/>
    <s v="Cliente nuevo"/>
    <m/>
    <n v="1"/>
    <n v="0"/>
    <n v="0"/>
    <n v="0"/>
    <n v="0"/>
    <n v="0"/>
    <n v="1046.32"/>
    <n v="0"/>
    <m/>
    <n v="1046.32"/>
    <m/>
    <n v="1"/>
    <n v="1046.32"/>
    <n v="0"/>
    <s v="Cliente nuevo"/>
    <s v="Ha pagado"/>
    <m/>
    <m/>
    <m/>
  </r>
  <r>
    <d v="2022-05-19T00:00:00"/>
    <x v="4"/>
    <s v="Dolores Jiménez"/>
    <s v="NORTE"/>
    <n v="23500"/>
    <s v="Cliente nuevo"/>
    <m/>
    <n v="3"/>
    <n v="0"/>
    <n v="0"/>
    <n v="0"/>
    <n v="0"/>
    <n v="519.68000000000006"/>
    <n v="1659.96"/>
    <n v="219.24"/>
    <m/>
    <n v="2398.88"/>
    <m/>
    <n v="3"/>
    <n v="2398.88"/>
    <n v="0"/>
    <s v="Cliente"/>
    <s v="Ha pagado"/>
    <m/>
    <m/>
    <m/>
  </r>
  <r>
    <d v="2022-05-19T00:00:00"/>
    <x v="4"/>
    <s v="Antonio Salazar"/>
    <s v="NORTE"/>
    <n v="23501"/>
    <s v="Cliente nuevo"/>
    <m/>
    <n v="1"/>
    <n v="0"/>
    <n v="0"/>
    <n v="0"/>
    <n v="0"/>
    <n v="0"/>
    <n v="6383.48"/>
    <n v="0"/>
    <m/>
    <n v="6383.48"/>
    <n v="0"/>
    <n v="1"/>
    <n v="6383.48"/>
    <n v="0"/>
    <s v="Cliente nuevo"/>
    <s v="Ha pagado"/>
    <m/>
    <m/>
    <m/>
  </r>
  <r>
    <d v="2022-05-19T00:00:00"/>
    <x v="4"/>
    <s v="Marcos López"/>
    <s v="SUR"/>
    <n v="23502"/>
    <s v="Cliente nuevo"/>
    <m/>
    <n v="2"/>
    <n v="0"/>
    <n v="0"/>
    <n v="0"/>
    <n v="0"/>
    <n v="0"/>
    <n v="2078.7200000000003"/>
    <n v="3810.6"/>
    <m/>
    <n v="5889.32"/>
    <n v="316.68"/>
    <n v="2"/>
    <n v="5572.6399999999994"/>
    <n v="5.3771912546779599E-2"/>
    <s v="Cliente nuevo"/>
    <s v="Ha pagado"/>
    <m/>
    <m/>
    <m/>
  </r>
  <r>
    <d v="2022-05-19T00:00:00"/>
    <x v="4"/>
    <s v="Julio César Trejo"/>
    <s v="NORTE"/>
    <n v="23503"/>
    <s v="Cliente nuevo"/>
    <m/>
    <n v="2"/>
    <n v="0"/>
    <n v="0"/>
    <n v="0"/>
    <n v="0"/>
    <n v="0"/>
    <n v="1691.28"/>
    <n v="2924.36"/>
    <m/>
    <n v="4615.6400000000003"/>
    <n v="6383.48"/>
    <n v="2"/>
    <n v="-1767.8399999999992"/>
    <n v="1.3830108067353604"/>
    <s v="Cliente nuevo"/>
    <s v="Sin pago"/>
    <m/>
    <m/>
    <m/>
  </r>
  <r>
    <d v="2022-05-19T00:00:00"/>
    <x v="4"/>
    <s v="Leonar Lule"/>
    <s v="SUR"/>
    <n v="23504"/>
    <s v="Cliente nuevo"/>
    <m/>
    <n v="2"/>
    <n v="0"/>
    <n v="0"/>
    <n v="0"/>
    <n v="0"/>
    <n v="0"/>
    <n v="4971.7599999999993"/>
    <n v="4997.28"/>
    <m/>
    <n v="9969.0399999999991"/>
    <n v="1102"/>
    <n v="2"/>
    <n v="8867.0399999999991"/>
    <n v="0.11054223877123576"/>
    <s v="Cliente nuevo"/>
    <s v="Ha pagado"/>
    <m/>
    <m/>
    <m/>
  </r>
  <r>
    <d v="2022-05-20T00:00:00"/>
    <x v="4"/>
    <s v="Rubí Rodríguez"/>
    <s v="CENTRO"/>
    <n v="23505"/>
    <s v="Cliente nuevo"/>
    <m/>
    <n v="1"/>
    <n v="0"/>
    <n v="0"/>
    <n v="0"/>
    <n v="0"/>
    <n v="0"/>
    <n v="1184.3599999999999"/>
    <n v="0"/>
    <m/>
    <n v="1184.3599999999999"/>
    <n v="2924.36"/>
    <n v="1"/>
    <n v="-1740.0000000000002"/>
    <n v="2.4691478942213521"/>
    <s v="Cliente nuevo"/>
    <s v="Sin pago"/>
    <m/>
    <m/>
    <m/>
  </r>
  <r>
    <d v="2022-05-20T00:00:00"/>
    <x v="4"/>
    <s v="Antonio Salazar"/>
    <s v="NORTE"/>
    <n v="23506"/>
    <s v="Cliente nuevo"/>
    <m/>
    <n v="2"/>
    <n v="0"/>
    <n v="0"/>
    <n v="0"/>
    <n v="0"/>
    <n v="0"/>
    <n v="450.08"/>
    <n v="1742.32"/>
    <m/>
    <n v="2192.4"/>
    <n v="0"/>
    <n v="2"/>
    <n v="2192.4"/>
    <n v="0"/>
    <s v="Cliente nuevo"/>
    <s v="Ha pagado"/>
    <m/>
    <m/>
    <m/>
  </r>
  <r>
    <d v="2022-05-20T00:00:00"/>
    <x v="4"/>
    <s v="Dolores Jiménez"/>
    <s v="NORTE"/>
    <n v="23507"/>
    <s v="Cliente nuevo"/>
    <m/>
    <n v="2"/>
    <n v="0"/>
    <n v="0"/>
    <n v="0"/>
    <n v="0"/>
    <n v="0"/>
    <n v="5101.68"/>
    <n v="6489.04"/>
    <m/>
    <n v="11590.720000000001"/>
    <n v="0"/>
    <n v="2"/>
    <n v="11590.720000000001"/>
    <n v="0"/>
    <s v="Cliente nuevo"/>
    <s v="Ha pagado"/>
    <m/>
    <m/>
    <m/>
  </r>
  <r>
    <d v="2022-05-20T00:00:00"/>
    <x v="4"/>
    <s v="Sandra Escoto"/>
    <s v="CENTRO"/>
    <n v="23508"/>
    <s v="Alta sin facturar"/>
    <m/>
    <n v="1"/>
    <n v="0"/>
    <n v="0"/>
    <n v="0"/>
    <n v="0"/>
    <n v="0"/>
    <n v="1028.92"/>
    <n v="0"/>
    <m/>
    <n v="1028.92"/>
    <n v="1742.32"/>
    <n v="1"/>
    <n v="-713.39999999999986"/>
    <n v="1.6933483652762118"/>
    <s v="Cliente nuevo"/>
    <s v="Sin pago"/>
    <m/>
    <m/>
    <m/>
  </r>
  <r>
    <d v="2022-05-21T00:00:00"/>
    <x v="4"/>
    <s v="Genaro Castro"/>
    <s v="SUR"/>
    <n v="23509"/>
    <s v="Cliente nuevo"/>
    <m/>
    <n v="2"/>
    <n v="0"/>
    <n v="0"/>
    <n v="0"/>
    <n v="0"/>
    <n v="0"/>
    <n v="309.72000000000003"/>
    <n v="1369.96"/>
    <m/>
    <n v="1679.68"/>
    <n v="5242.04"/>
    <n v="2"/>
    <n v="-3562.3599999999997"/>
    <n v="3.1208563535911602"/>
    <s v="Cliente nuevo"/>
    <s v="Sin pago"/>
    <m/>
    <m/>
    <m/>
  </r>
  <r>
    <d v="2022-05-21T00:00:00"/>
    <x v="4"/>
    <s v="Yuriana Argüello"/>
    <s v="CENTRO"/>
    <n v="23510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5-23T00:00:00"/>
    <x v="4"/>
    <s v="Sandra Escoto"/>
    <s v="CENTRO"/>
    <n v="23511"/>
    <s v="Cliente nuevo"/>
    <m/>
    <n v="1"/>
    <n v="0"/>
    <n v="0"/>
    <n v="0"/>
    <n v="0"/>
    <n v="0"/>
    <n v="986"/>
    <n v="0"/>
    <m/>
    <n v="986"/>
    <n v="0"/>
    <n v="1"/>
    <n v="986"/>
    <n v="0"/>
    <s v="Cliente nuevo"/>
    <s v="Ha pagado"/>
    <m/>
    <m/>
    <m/>
  </r>
  <r>
    <d v="2022-05-23T00:00:00"/>
    <x v="4"/>
    <s v="Giovanni Salas"/>
    <s v="NORTE"/>
    <n v="23512"/>
    <s v="Cliente nuevo"/>
    <m/>
    <n v="1"/>
    <n v="0"/>
    <n v="0"/>
    <n v="0"/>
    <n v="0"/>
    <n v="0"/>
    <n v="0"/>
    <n v="928"/>
    <m/>
    <n v="928"/>
    <m/>
    <n v="1"/>
    <n v="928"/>
    <n v="0"/>
    <s v="Cliente nuevo"/>
    <s v="Ha pagado"/>
    <m/>
    <m/>
    <m/>
  </r>
  <r>
    <d v="2022-05-23T00:00:00"/>
    <x v="4"/>
    <s v="Leonar Lule"/>
    <s v="SUR"/>
    <n v="23513"/>
    <s v="Cliente nuevo"/>
    <m/>
    <n v="2"/>
    <n v="0"/>
    <n v="0"/>
    <n v="0"/>
    <n v="0"/>
    <n v="0"/>
    <n v="377"/>
    <n v="511.56"/>
    <m/>
    <n v="888.56"/>
    <n v="0"/>
    <n v="2"/>
    <n v="888.56"/>
    <n v="0"/>
    <s v="Cliente nuevo"/>
    <s v="Ha pagado"/>
    <m/>
    <m/>
    <m/>
  </r>
  <r>
    <d v="2022-05-23T00:00:00"/>
    <x v="4"/>
    <s v="Diana Tejadilla"/>
    <s v="CENTRO"/>
    <n v="23514"/>
    <s v="Cliente nuevo"/>
    <m/>
    <n v="2"/>
    <n v="0"/>
    <n v="0"/>
    <n v="0"/>
    <n v="0"/>
    <n v="0"/>
    <n v="60.32"/>
    <n v="2846.64"/>
    <m/>
    <n v="2906.96"/>
    <n v="928"/>
    <n v="2"/>
    <n v="1978.96"/>
    <n v="0.31923383878691142"/>
    <s v="Cliente nuevo"/>
    <s v="Ha pagado"/>
    <m/>
    <m/>
    <m/>
  </r>
  <r>
    <d v="2022-05-23T00:00:00"/>
    <x v="4"/>
    <s v="Ricardo Vidal"/>
    <s v="MAGALLANES"/>
    <n v="23515"/>
    <s v="Cliente nuevo"/>
    <m/>
    <n v="2"/>
    <n v="0"/>
    <n v="0"/>
    <n v="0"/>
    <n v="0"/>
    <n v="0"/>
    <n v="989.48"/>
    <n v="1270.2"/>
    <m/>
    <n v="2259.6800000000003"/>
    <n v="0"/>
    <n v="2"/>
    <n v="2259.6800000000003"/>
    <n v="0"/>
    <s v="Cliente nuevo"/>
    <s v="Ha pagado"/>
    <m/>
    <m/>
    <m/>
  </r>
  <r>
    <d v="2022-05-23T00:00:00"/>
    <x v="4"/>
    <s v="Ricardo Vidal"/>
    <s v="MAGALLANES"/>
    <n v="23516"/>
    <s v="Alta sin facturar"/>
    <m/>
    <n v="1"/>
    <n v="0"/>
    <n v="0"/>
    <n v="0"/>
    <n v="0"/>
    <n v="0"/>
    <n v="2111.1999999999998"/>
    <n v="0"/>
    <m/>
    <n v="2111.1999999999998"/>
    <n v="125.28"/>
    <n v="1"/>
    <n v="1985.9199999999998"/>
    <n v="5.9340659340659345E-2"/>
    <s v="Cliente nuevo"/>
    <s v="Ha pagado"/>
    <m/>
    <m/>
    <m/>
  </r>
  <r>
    <d v="2022-05-23T00:00:00"/>
    <x v="4"/>
    <s v="Ricardo Vidal"/>
    <s v="MAGALLANES"/>
    <n v="23517"/>
    <s v="Alta sin facturar"/>
    <m/>
    <n v="2"/>
    <n v="0"/>
    <n v="0"/>
    <n v="0"/>
    <n v="0"/>
    <n v="0"/>
    <n v="15428"/>
    <n v="20648"/>
    <m/>
    <n v="36076"/>
    <n v="0"/>
    <n v="2"/>
    <n v="36076"/>
    <n v="0"/>
    <s v="Cliente nuevo"/>
    <s v="Ha pagado"/>
    <m/>
    <m/>
    <m/>
  </r>
  <r>
    <d v="2022-05-23T00:00:00"/>
    <x v="4"/>
    <s v="Yuritzi Alejo"/>
    <s v="CENTRO"/>
    <n v="23518"/>
    <s v="Alta sin facturar"/>
    <m/>
    <n v="0"/>
    <n v="0"/>
    <n v="0"/>
    <n v="0"/>
    <n v="0"/>
    <n v="0"/>
    <n v="0"/>
    <n v="0"/>
    <m/>
    <n v="0"/>
    <n v="2111.1999999999998"/>
    <n v="0"/>
    <n v="-2111.1999999999998"/>
    <n v="0"/>
    <s v="Alta sin facturar"/>
    <s v="Sin pago"/>
    <m/>
    <m/>
    <m/>
  </r>
  <r>
    <d v="2022-05-23T00:00:00"/>
    <x v="4"/>
    <s v="Jose Carlos Orozco"/>
    <s v="CENTRO"/>
    <n v="23519"/>
    <s v="Alta sin facturar"/>
    <m/>
    <n v="0"/>
    <n v="0"/>
    <n v="0"/>
    <n v="0"/>
    <n v="0"/>
    <n v="0"/>
    <n v="0"/>
    <n v="0"/>
    <m/>
    <n v="0"/>
    <n v="4060"/>
    <n v="0"/>
    <n v="-4060"/>
    <n v="0"/>
    <s v="Alta sin facturar"/>
    <s v="Sin pago"/>
    <m/>
    <m/>
    <m/>
  </r>
  <r>
    <d v="2022-05-24T00:00:00"/>
    <x v="4"/>
    <s v="Marcos López"/>
    <s v="SUR"/>
    <n v="23520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5-26T00:00:00"/>
    <x v="4"/>
    <s v="Yareli Flores"/>
    <s v="CENTRO"/>
    <n v="23521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5-26T00:00:00"/>
    <x v="4"/>
    <s v="Jose Carlos Orozco"/>
    <s v="CENTRO"/>
    <n v="23522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5-26T00:00:00"/>
    <x v="4"/>
    <s v="Diana Tejadilla"/>
    <s v="CENTRO"/>
    <n v="23523"/>
    <s v="Cliente nuevo"/>
    <m/>
    <n v="2"/>
    <n v="0"/>
    <n v="0"/>
    <n v="0"/>
    <n v="0"/>
    <n v="0"/>
    <n v="716.88"/>
    <n v="1419.84"/>
    <m/>
    <n v="2136.7199999999998"/>
    <m/>
    <n v="2"/>
    <n v="2136.7199999999998"/>
    <n v="0"/>
    <s v="Cliente nuevo"/>
    <s v="Ha pagado"/>
    <m/>
    <m/>
    <m/>
  </r>
  <r>
    <d v="2022-05-26T00:00:00"/>
    <x v="4"/>
    <s v="Yareli Flores"/>
    <s v="CENTRO"/>
    <n v="23524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5-26T00:00:00"/>
    <x v="4"/>
    <s v="Ricardo Vidal"/>
    <s v="MAGALLANES"/>
    <n v="23525"/>
    <s v="Cliente nuevo"/>
    <m/>
    <n v="2"/>
    <n v="0"/>
    <n v="0"/>
    <n v="0"/>
    <n v="0"/>
    <n v="0"/>
    <n v="5121.3999999999996"/>
    <n v="5220"/>
    <m/>
    <n v="10341.4"/>
    <n v="1419.84"/>
    <n v="2"/>
    <n v="8921.56"/>
    <n v="0.1372966909702748"/>
    <s v="Cliente nuevo"/>
    <s v="Ha pagado"/>
    <m/>
    <m/>
    <m/>
  </r>
  <r>
    <d v="2022-05-27T00:00:00"/>
    <x v="4"/>
    <s v="Diana Tejadilla"/>
    <s v="CENTRO"/>
    <n v="23526"/>
    <s v="Cliente nuevo"/>
    <m/>
    <n v="2"/>
    <n v="0"/>
    <n v="0"/>
    <n v="0"/>
    <n v="0"/>
    <n v="0"/>
    <n v="2444.12"/>
    <n v="1788.72"/>
    <m/>
    <n v="4232.84"/>
    <m/>
    <n v="2"/>
    <n v="4232.84"/>
    <n v="0"/>
    <s v="Cliente nuevo"/>
    <s v="Ha pagado"/>
    <m/>
    <m/>
    <m/>
  </r>
  <r>
    <d v="2022-05-27T00:00:00"/>
    <x v="4"/>
    <s v="Diana Tejadilla"/>
    <s v="CENTRO"/>
    <n v="23527"/>
    <s v="Cliente nuevo"/>
    <m/>
    <n v="2"/>
    <n v="0"/>
    <n v="0"/>
    <n v="0"/>
    <n v="0"/>
    <n v="0"/>
    <n v="7882.2"/>
    <n v="6786"/>
    <m/>
    <n v="14668.2"/>
    <n v="10341.4"/>
    <n v="2"/>
    <n v="4326.8000000000011"/>
    <n v="0.70502174772637405"/>
    <s v="Cliente nuevo"/>
    <s v="Ha pagado"/>
    <m/>
    <m/>
    <m/>
  </r>
  <r>
    <d v="2022-05-27T00:00:00"/>
    <x v="4"/>
    <s v="Jose Carlos Orozco"/>
    <s v="CENTRO"/>
    <n v="23528"/>
    <s v="Cliente nuevo"/>
    <m/>
    <n v="2"/>
    <n v="0"/>
    <n v="0"/>
    <n v="0"/>
    <n v="0"/>
    <n v="0"/>
    <n v="7990.08"/>
    <n v="1076.48"/>
    <m/>
    <n v="9066.56"/>
    <n v="0"/>
    <n v="2"/>
    <n v="9066.56"/>
    <n v="0"/>
    <s v="Cliente nuevo"/>
    <s v="Ha pagado"/>
    <m/>
    <m/>
    <m/>
  </r>
  <r>
    <d v="2022-05-27T00:00:00"/>
    <x v="4"/>
    <s v="Marcos López"/>
    <s v="SUR"/>
    <n v="23529"/>
    <s v="Cliente nuevo"/>
    <m/>
    <n v="2"/>
    <n v="0"/>
    <n v="0"/>
    <n v="0"/>
    <n v="0"/>
    <n v="0"/>
    <n v="16223.76"/>
    <n v="18012.48"/>
    <m/>
    <n v="34236.239999999998"/>
    <n v="0"/>
    <n v="2"/>
    <n v="34236.239999999998"/>
    <n v="0"/>
    <s v="Cliente nuevo"/>
    <s v="Ha pagado"/>
    <m/>
    <m/>
    <m/>
  </r>
  <r>
    <d v="2022-05-27T00:00:00"/>
    <x v="4"/>
    <s v="Marcos López"/>
    <s v="SUR"/>
    <n v="23530"/>
    <s v="Cliente nuevo"/>
    <m/>
    <n v="2"/>
    <n v="0"/>
    <n v="0"/>
    <n v="0"/>
    <n v="0"/>
    <n v="0"/>
    <n v="8959.84"/>
    <n v="12308.76"/>
    <m/>
    <n v="21268.6"/>
    <n v="575.36"/>
    <n v="2"/>
    <n v="20693.239999999998"/>
    <n v="2.7052086173984184E-2"/>
    <s v="Cliente nuevo"/>
    <s v="Ha pagado"/>
    <m/>
    <m/>
    <m/>
  </r>
  <r>
    <d v="2022-05-27T00:00:00"/>
    <x v="4"/>
    <s v="Leonar Lule"/>
    <s v="SUR"/>
    <n v="23531"/>
    <s v="Alta sin facturar"/>
    <m/>
    <n v="1"/>
    <n v="0"/>
    <n v="0"/>
    <n v="0"/>
    <n v="0"/>
    <n v="0"/>
    <n v="0"/>
    <n v="34800"/>
    <m/>
    <n v="34800"/>
    <n v="5389.36"/>
    <n v="1"/>
    <n v="29410.639999999999"/>
    <n v="0.15486666666666665"/>
    <s v="Cliente nuevo"/>
    <s v="Ha pagado"/>
    <m/>
    <m/>
    <m/>
  </r>
  <r>
    <d v="2022-05-30T00:00:00"/>
    <x v="4"/>
    <s v="Ricardo Vidal"/>
    <s v="MAGALLANES"/>
    <n v="23532"/>
    <s v="Alta sin facturar"/>
    <m/>
    <n v="2"/>
    <n v="0"/>
    <n v="0"/>
    <n v="0"/>
    <n v="0"/>
    <n v="0"/>
    <n v="1298.04"/>
    <n v="1266.7199999999998"/>
    <m/>
    <n v="2564.7599999999998"/>
    <n v="6109.72"/>
    <n v="2"/>
    <n v="-3544.9600000000005"/>
    <n v="2.3821800090456811"/>
    <s v="Cliente nuevo"/>
    <s v="Sin pago"/>
    <m/>
    <m/>
    <m/>
  </r>
  <r>
    <d v="2022-05-30T00:00:00"/>
    <x v="4"/>
    <s v="Ricardo Vidal"/>
    <s v="MAGALLANES"/>
    <n v="23533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5-30T00:00:00"/>
    <x v="4"/>
    <s v="Ricardo Vidal"/>
    <s v="MAGALLANES"/>
    <n v="23534"/>
    <s v="Alta sin facturar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5-31T00:00:00"/>
    <x v="4"/>
    <s v="Miguel Ángel Romero"/>
    <s v="CENTRO"/>
    <n v="23535"/>
    <s v="Cliente nuevo"/>
    <m/>
    <n v="2"/>
    <n v="0"/>
    <n v="0"/>
    <n v="0"/>
    <n v="0"/>
    <n v="0"/>
    <n v="2255.04"/>
    <n v="3633.12"/>
    <m/>
    <n v="5888.16"/>
    <m/>
    <n v="2"/>
    <n v="5888.16"/>
    <n v="0"/>
    <s v="Cliente nuevo"/>
    <s v="Ha pagado"/>
    <m/>
    <m/>
    <m/>
  </r>
  <r>
    <d v="2022-05-31T00:00:00"/>
    <x v="4"/>
    <s v="Diana Tejadilla"/>
    <s v="CENTRO"/>
    <n v="23536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5-31T00:00:00"/>
    <x v="4"/>
    <s v="Giovanni Salas"/>
    <s v="NORTE"/>
    <n v="23537"/>
    <s v="Cliente nuevo"/>
    <m/>
    <n v="1"/>
    <n v="0"/>
    <n v="0"/>
    <n v="0"/>
    <n v="0"/>
    <n v="0"/>
    <n v="2071.7600000000002"/>
    <n v="0"/>
    <m/>
    <n v="2071.7600000000002"/>
    <n v="0"/>
    <n v="1"/>
    <n v="2071.7600000000002"/>
    <n v="0"/>
    <s v="Cliente nuevo"/>
    <s v="Ha pagado"/>
    <m/>
    <m/>
    <m/>
  </r>
  <r>
    <d v="2022-05-31T00:00:00"/>
    <x v="4"/>
    <s v="Marcos López"/>
    <s v="SUR"/>
    <n v="23538"/>
    <s v="Cliente nuevo"/>
    <m/>
    <n v="2"/>
    <n v="0"/>
    <n v="0"/>
    <n v="0"/>
    <n v="0"/>
    <n v="0"/>
    <n v="5493.76"/>
    <n v="11818.08"/>
    <m/>
    <n v="17311.84"/>
    <m/>
    <n v="2"/>
    <n v="17311.84"/>
    <n v="0"/>
    <s v="Cliente nuevo"/>
    <s v="Ha pagado"/>
    <m/>
    <m/>
    <m/>
  </r>
  <r>
    <d v="2022-05-31T00:00:00"/>
    <x v="4"/>
    <s v="Ricardo Vidal"/>
    <s v="MAGALLANES"/>
    <n v="23539"/>
    <s v="Cliente nuevo"/>
    <m/>
    <n v="2"/>
    <n v="0"/>
    <n v="0"/>
    <n v="0"/>
    <n v="0"/>
    <n v="0"/>
    <n v="641.48"/>
    <n v="718.04"/>
    <m/>
    <n v="1359.52"/>
    <n v="0"/>
    <n v="2"/>
    <n v="1359.52"/>
    <n v="0"/>
    <s v="Cliente nuevo"/>
    <s v="Ha pagado"/>
    <m/>
    <m/>
    <m/>
  </r>
  <r>
    <d v="2022-06-01T00:00:00"/>
    <x v="5"/>
    <s v="Alfredo Almaráz"/>
    <s v="MAGALLANES"/>
    <n v="23540"/>
    <s v="Alta sin facturar"/>
    <m/>
    <n v="1"/>
    <n v="0"/>
    <n v="0"/>
    <n v="0"/>
    <n v="0"/>
    <n v="0"/>
    <n v="336.4"/>
    <n v="0"/>
    <m/>
    <n v="336.4"/>
    <n v="9205.76"/>
    <n v="1"/>
    <n v="-8869.36"/>
    <n v="27.365517241379312"/>
    <s v="Cliente nuevo"/>
    <s v="Sin pago"/>
    <m/>
    <m/>
    <m/>
  </r>
  <r>
    <d v="2022-06-01T00:00:00"/>
    <x v="5"/>
    <s v="Miguel Ángel Romero"/>
    <s v="CENTRO"/>
    <n v="23541"/>
    <s v="Cliente nuevo"/>
    <m/>
    <n v="1"/>
    <n v="0"/>
    <n v="0"/>
    <n v="0"/>
    <n v="0"/>
    <n v="0"/>
    <n v="0"/>
    <n v="788.8"/>
    <m/>
    <n v="788.8"/>
    <n v="718.04"/>
    <n v="1"/>
    <n v="70.759999999999991"/>
    <n v="0.91029411764705881"/>
    <s v="Cliente nuevo"/>
    <s v="Ha pagado"/>
    <m/>
    <m/>
    <m/>
  </r>
  <r>
    <d v="2022-06-01T00:00:00"/>
    <x v="5"/>
    <s v="Miguel Ángel Romero"/>
    <s v="CENTRO"/>
    <n v="23542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6-02T00:00:00"/>
    <x v="5"/>
    <s v="Alfredo Almaráz"/>
    <s v="MAGALLANES"/>
    <n v="23543"/>
    <s v="Alta sin facturar"/>
    <m/>
    <n v="1"/>
    <n v="0"/>
    <n v="0"/>
    <n v="0"/>
    <n v="0"/>
    <n v="0"/>
    <n v="0"/>
    <n v="425.72"/>
    <m/>
    <n v="425.72"/>
    <n v="788.8"/>
    <n v="1"/>
    <n v="-363.07999999999993"/>
    <n v="1.8528610354223432"/>
    <s v="Cliente nuevo"/>
    <s v="Sin pago"/>
    <m/>
    <m/>
    <m/>
  </r>
  <r>
    <d v="2022-06-02T00:00:00"/>
    <x v="5"/>
    <s v="Marcos López"/>
    <s v="SUR"/>
    <n v="23544"/>
    <s v="Cliente nuevo"/>
    <m/>
    <n v="2"/>
    <n v="0"/>
    <n v="0"/>
    <n v="0"/>
    <n v="0"/>
    <n v="0"/>
    <n v="3272.3599999999997"/>
    <n v="5034.3999999999996"/>
    <m/>
    <n v="8306.7599999999984"/>
    <m/>
    <n v="2"/>
    <n v="8306.7599999999984"/>
    <n v="0"/>
    <s v="Cliente nuevo"/>
    <s v="Ha pagado"/>
    <m/>
    <m/>
    <m/>
  </r>
  <r>
    <d v="2022-06-02T00:00:00"/>
    <x v="5"/>
    <s v="Alfredo Almaráz"/>
    <s v="MAGALLANES"/>
    <n v="23545"/>
    <s v="Alta sin facturar"/>
    <m/>
    <n v="0"/>
    <n v="0"/>
    <n v="0"/>
    <n v="0"/>
    <n v="0"/>
    <n v="0"/>
    <n v="0"/>
    <n v="0"/>
    <m/>
    <n v="0"/>
    <n v="232"/>
    <n v="0"/>
    <n v="-232"/>
    <n v="0"/>
    <s v="Alta sin facturar"/>
    <s v="Sin pago"/>
    <m/>
    <m/>
    <m/>
  </r>
  <r>
    <d v="2022-06-02T00:00:00"/>
    <x v="5"/>
    <s v="Yareli Flores"/>
    <s v="CENTRO"/>
    <n v="23546"/>
    <s v="Cliente nuevo"/>
    <m/>
    <n v="1"/>
    <n v="0"/>
    <n v="0"/>
    <n v="0"/>
    <n v="0"/>
    <n v="0"/>
    <n v="556.79999999999995"/>
    <n v="0"/>
    <m/>
    <n v="556.79999999999995"/>
    <n v="0"/>
    <n v="1"/>
    <n v="556.79999999999995"/>
    <n v="0"/>
    <s v="Cliente nuevo"/>
    <s v="Ha pagado"/>
    <m/>
    <m/>
    <m/>
  </r>
  <r>
    <d v="2022-06-02T00:00:00"/>
    <x v="5"/>
    <s v="Yareli Flores"/>
    <s v="CENTRO"/>
    <n v="23547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02T00:00:00"/>
    <x v="5"/>
    <s v="Giovanni Salas"/>
    <s v="NORTE"/>
    <n v="23548"/>
    <s v="Cliente nuevo"/>
    <m/>
    <n v="1"/>
    <n v="0"/>
    <n v="0"/>
    <n v="0"/>
    <n v="0"/>
    <n v="0"/>
    <n v="1572.96"/>
    <n v="0"/>
    <m/>
    <n v="1572.96"/>
    <n v="556.79999999999995"/>
    <n v="1"/>
    <n v="1016.1600000000001"/>
    <n v="0.35398230088495569"/>
    <s v="Cliente nuevo"/>
    <s v="Ha pagado"/>
    <m/>
    <m/>
    <m/>
  </r>
  <r>
    <d v="2022-06-03T00:00:00"/>
    <x v="5"/>
    <s v="Alfredo Almaráz"/>
    <s v="MAGALLANES"/>
    <n v="23549"/>
    <s v="Cliente nuevo"/>
    <m/>
    <n v="2"/>
    <n v="0"/>
    <n v="0"/>
    <n v="0"/>
    <n v="0"/>
    <n v="0"/>
    <n v="19791.919999999998"/>
    <n v="49996"/>
    <m/>
    <n v="69787.92"/>
    <m/>
    <n v="2"/>
    <n v="69787.92"/>
    <n v="0"/>
    <s v="Cliente nuevo"/>
    <s v="Ha pagado"/>
    <m/>
    <m/>
    <m/>
  </r>
  <r>
    <d v="2022-06-03T00:00:00"/>
    <x v="5"/>
    <s v="Noemí Castillo"/>
    <s v="NORTE"/>
    <n v="23550"/>
    <s v="Cliente nuevo"/>
    <m/>
    <n v="2"/>
    <n v="0"/>
    <n v="0"/>
    <n v="0"/>
    <n v="0"/>
    <n v="0"/>
    <n v="5976.3200000000006"/>
    <n v="2302.6"/>
    <m/>
    <n v="8278.92"/>
    <n v="0"/>
    <n v="2"/>
    <n v="8278.92"/>
    <n v="0"/>
    <s v="Cliente nuevo"/>
    <s v="Ha pagado"/>
    <m/>
    <m/>
    <m/>
  </r>
  <r>
    <d v="2022-06-04T00:00:00"/>
    <x v="5"/>
    <s v="Marcos López"/>
    <s v="SUR"/>
    <n v="23551"/>
    <s v="Cliente nuevo"/>
    <m/>
    <n v="2"/>
    <n v="0"/>
    <n v="0"/>
    <n v="0"/>
    <n v="0"/>
    <n v="0"/>
    <n v="104.4"/>
    <n v="576.52"/>
    <m/>
    <n v="680.92"/>
    <n v="0"/>
    <n v="2"/>
    <n v="680.92"/>
    <n v="0"/>
    <s v="Cliente nuevo"/>
    <s v="Ha pagado"/>
    <m/>
    <m/>
    <m/>
  </r>
  <r>
    <d v="2022-06-04T00:00:00"/>
    <x v="5"/>
    <s v="Alfredo Almaráz"/>
    <s v="MAGALLANES"/>
    <n v="23552"/>
    <s v="Cliente nuevo"/>
    <m/>
    <n v="2"/>
    <n v="0"/>
    <n v="0"/>
    <n v="0"/>
    <n v="0"/>
    <n v="0"/>
    <n v="3207.4"/>
    <n v="1775.96"/>
    <m/>
    <n v="4983.3600000000006"/>
    <n v="1581.08"/>
    <n v="2"/>
    <n v="3402.2800000000007"/>
    <n v="0.3172718808193668"/>
    <s v="Cliente nuevo"/>
    <s v="Ha pagado"/>
    <m/>
    <m/>
    <m/>
  </r>
  <r>
    <d v="2022-06-06T00:00:00"/>
    <x v="5"/>
    <s v="Leonar Lule"/>
    <s v="SUR"/>
    <n v="23553"/>
    <s v="Cliente nuevo"/>
    <m/>
    <n v="1"/>
    <n v="0"/>
    <n v="0"/>
    <n v="0"/>
    <n v="0"/>
    <n v="0"/>
    <n v="0"/>
    <n v="1179.72"/>
    <m/>
    <n v="1179.72"/>
    <n v="472.12"/>
    <n v="1"/>
    <n v="707.6"/>
    <n v="0.40019665683382499"/>
    <s v="Cliente nuevo"/>
    <s v="Ha pagado"/>
    <m/>
    <m/>
    <m/>
  </r>
  <r>
    <d v="2022-06-06T00:00:00"/>
    <x v="5"/>
    <s v="Yuriana Argüello"/>
    <s v="CENTRO"/>
    <n v="23554"/>
    <s v="Cliente nuevo"/>
    <m/>
    <n v="2"/>
    <n v="0"/>
    <n v="0"/>
    <n v="0"/>
    <n v="0"/>
    <n v="0"/>
    <n v="701.80000000000007"/>
    <n v="580"/>
    <m/>
    <n v="1281.8000000000002"/>
    <n v="2.71"/>
    <n v="2"/>
    <n v="1279.0900000000001"/>
    <n v="2.1142143860196595E-3"/>
    <s v="Cliente nuevo"/>
    <s v="Ha pagado"/>
    <m/>
    <m/>
    <m/>
  </r>
  <r>
    <d v="2022-06-06T00:00:00"/>
    <x v="5"/>
    <s v="Antonio Salazar"/>
    <s v="NORTE"/>
    <n v="23555"/>
    <s v="Cliente nuevo"/>
    <m/>
    <n v="1"/>
    <n v="0"/>
    <n v="0"/>
    <n v="0"/>
    <n v="0"/>
    <n v="0"/>
    <n v="254.04"/>
    <n v="0"/>
    <m/>
    <n v="254.04"/>
    <n v="0"/>
    <n v="1"/>
    <n v="254.04"/>
    <n v="0"/>
    <s v="Cliente nuevo"/>
    <s v="Ha pagado"/>
    <m/>
    <m/>
    <m/>
  </r>
  <r>
    <d v="2022-06-06T00:00:00"/>
    <x v="5"/>
    <s v="Leonar Lule"/>
    <s v="SUR"/>
    <n v="23556"/>
    <s v="Cliente nuevo"/>
    <m/>
    <n v="2"/>
    <n v="0"/>
    <n v="0"/>
    <n v="0"/>
    <n v="0"/>
    <n v="0"/>
    <n v="1969.68"/>
    <n v="445.44"/>
    <m/>
    <n v="2415.12"/>
    <n v="348"/>
    <n v="2"/>
    <n v="2067.12"/>
    <n v="0.14409221902017291"/>
    <s v="Cliente nuevo"/>
    <s v="Ha pagado"/>
    <m/>
    <m/>
    <m/>
  </r>
  <r>
    <d v="2022-06-07T00:00:00"/>
    <x v="5"/>
    <s v="Iván Luna"/>
    <s v="NORTE"/>
    <n v="23557"/>
    <s v="Cliente nuevo"/>
    <m/>
    <n v="2"/>
    <n v="0"/>
    <n v="0"/>
    <n v="0"/>
    <n v="0"/>
    <n v="0"/>
    <n v="8120"/>
    <n v="15312"/>
    <m/>
    <n v="23432"/>
    <n v="254.04"/>
    <n v="2"/>
    <n v="23177.96"/>
    <n v="1.0841584158415841E-2"/>
    <s v="Cliente nuevo"/>
    <s v="Ha pagado"/>
    <m/>
    <m/>
    <m/>
  </r>
  <r>
    <d v="2022-06-07T00:00:00"/>
    <x v="5"/>
    <s v="Karla Ángeles"/>
    <s v="CENTRO"/>
    <n v="23558"/>
    <s v="Alta sin facturar"/>
    <m/>
    <n v="2"/>
    <n v="0"/>
    <n v="0"/>
    <n v="0"/>
    <n v="0"/>
    <n v="0"/>
    <n v="593.92000000000007"/>
    <n v="2230.6799999999998"/>
    <m/>
    <n v="2824.6"/>
    <n v="987.96"/>
    <n v="2"/>
    <n v="1836.6399999999999"/>
    <n v="0.34976987892090916"/>
    <s v="Cliente nuevo"/>
    <s v="Ha pagado"/>
    <m/>
    <m/>
    <m/>
  </r>
  <r>
    <d v="2022-06-07T00:00:00"/>
    <x v="5"/>
    <s v="Marcos López"/>
    <s v="SUR"/>
    <n v="23559"/>
    <s v="Cliente nuevo"/>
    <m/>
    <n v="2"/>
    <n v="0"/>
    <n v="0"/>
    <n v="0"/>
    <n v="0"/>
    <n v="0"/>
    <n v="2314.1999999999998"/>
    <n v="1635.6"/>
    <m/>
    <n v="3949.7999999999997"/>
    <n v="4060"/>
    <n v="2"/>
    <n v="-110.20000000000027"/>
    <n v="1.0279001468428781"/>
    <s v="Cliente nuevo"/>
    <s v="Sin pago"/>
    <m/>
    <m/>
    <m/>
  </r>
  <r>
    <d v="2022-06-08T00:00:00"/>
    <x v="5"/>
    <s v="Carlos Guerra"/>
    <s v="CENTRO"/>
    <n v="23560"/>
    <s v="Alta sin facturar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6-08T00:00:00"/>
    <x v="5"/>
    <s v="Ricardo Vidal"/>
    <s v="MAGALLANES"/>
    <n v="23561"/>
    <s v="Cliente nuevo"/>
    <m/>
    <n v="2"/>
    <n v="0"/>
    <n v="0"/>
    <n v="0"/>
    <n v="0"/>
    <n v="0"/>
    <n v="140.36000000000001"/>
    <n v="953.5200000000001"/>
    <m/>
    <n v="1093.8800000000001"/>
    <n v="530.12"/>
    <n v="2"/>
    <n v="563.7600000000001"/>
    <n v="0.48462354188759277"/>
    <s v="Cliente nuevo"/>
    <s v="Ha pagado"/>
    <m/>
    <m/>
    <m/>
  </r>
  <r>
    <d v="2022-06-08T00:00:00"/>
    <x v="5"/>
    <s v="Diana Tejadilla"/>
    <s v="CENTRO"/>
    <n v="23562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08T00:00:00"/>
    <x v="5"/>
    <s v="Alfredo Almaráz"/>
    <s v="MAGALLANES"/>
    <n v="23563"/>
    <s v="Cliente nuevo"/>
    <m/>
    <n v="1"/>
    <n v="0"/>
    <n v="0"/>
    <n v="0"/>
    <n v="0"/>
    <n v="0"/>
    <n v="986"/>
    <n v="0"/>
    <m/>
    <n v="986"/>
    <n v="277.24"/>
    <n v="1"/>
    <n v="708.76"/>
    <n v="0.28117647058823531"/>
    <s v="Cliente nuevo"/>
    <s v="Ha pagado"/>
    <m/>
    <m/>
    <m/>
  </r>
  <r>
    <d v="2022-06-08T00:00:00"/>
    <x v="5"/>
    <s v="Yuriana Argüello"/>
    <s v="CENTRO"/>
    <n v="23564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09T00:00:00"/>
    <x v="5"/>
    <s v="Dolores Jiménez"/>
    <s v="NORTE"/>
    <n v="23565"/>
    <s v="Cliente nuevo"/>
    <m/>
    <n v="2"/>
    <n v="0"/>
    <n v="0"/>
    <n v="0"/>
    <n v="0"/>
    <n v="0"/>
    <n v="380.48"/>
    <n v="244.76"/>
    <m/>
    <n v="625.24"/>
    <n v="986"/>
    <n v="2"/>
    <n v="-360.76"/>
    <n v="1.5769944341372912"/>
    <s v="Cliente nuevo"/>
    <s v="Sin pago"/>
    <m/>
    <m/>
    <m/>
  </r>
  <r>
    <d v="2022-06-09T00:00:00"/>
    <x v="5"/>
    <s v="Christian Castellanos"/>
    <s v="NORTE"/>
    <n v="23566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09T00:00:00"/>
    <x v="5"/>
    <s v="Blanca Montoya"/>
    <s v="CENTRO"/>
    <n v="23567"/>
    <s v="Alta sin facturar"/>
    <m/>
    <n v="2"/>
    <n v="0"/>
    <n v="0"/>
    <n v="0"/>
    <n v="0"/>
    <n v="0"/>
    <n v="2859.4"/>
    <n v="4344.2"/>
    <m/>
    <n v="7203.6"/>
    <n v="90.76"/>
    <n v="2"/>
    <n v="7112.84"/>
    <n v="1.2599255927591761E-2"/>
    <s v="Cliente nuevo"/>
    <s v="Ha pagado"/>
    <m/>
    <m/>
    <m/>
  </r>
  <r>
    <d v="2022-06-09T00:00:00"/>
    <x v="5"/>
    <s v="Marcos López"/>
    <s v="SUR"/>
    <n v="23568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09T00:00:00"/>
    <x v="5"/>
    <s v="Ricardo Vidal"/>
    <s v="MAGALLANES"/>
    <n v="23569"/>
    <s v="Cliente nuevo"/>
    <m/>
    <n v="0"/>
    <n v="0"/>
    <n v="0"/>
    <n v="0"/>
    <n v="0"/>
    <n v="0"/>
    <n v="0"/>
    <n v="0"/>
    <m/>
    <n v="0"/>
    <n v="980.2"/>
    <n v="0"/>
    <n v="-980.2"/>
    <n v="0"/>
    <s v="Alta sin facturar"/>
    <s v="Sin pago"/>
    <m/>
    <m/>
    <m/>
  </r>
  <r>
    <d v="2022-06-09T00:00:00"/>
    <x v="5"/>
    <s v="Ricardo Vidal"/>
    <s v="MAGALLANES"/>
    <n v="23570"/>
    <s v="Alta sin facturar"/>
    <m/>
    <n v="1"/>
    <n v="0"/>
    <n v="0"/>
    <n v="0"/>
    <n v="0"/>
    <n v="0"/>
    <n v="199.52"/>
    <n v="0"/>
    <m/>
    <n v="199.52"/>
    <m/>
    <n v="1"/>
    <n v="199.52"/>
    <n v="0"/>
    <s v="Cliente nuevo"/>
    <s v="Ha pagado"/>
    <m/>
    <m/>
    <m/>
  </r>
  <r>
    <d v="2022-06-10T00:00:00"/>
    <x v="5"/>
    <s v="Ricardo Vidal"/>
    <s v="MAGALLANES"/>
    <n v="23571"/>
    <s v="Cliente nuevo"/>
    <m/>
    <n v="2"/>
    <n v="0"/>
    <n v="0"/>
    <n v="0"/>
    <n v="0"/>
    <n v="0"/>
    <n v="812"/>
    <n v="1557.88"/>
    <m/>
    <n v="2369.88"/>
    <m/>
    <n v="2"/>
    <n v="2369.88"/>
    <n v="0"/>
    <s v="Cliente nuevo"/>
    <s v="Ha pagado"/>
    <m/>
    <m/>
    <m/>
  </r>
  <r>
    <d v="2022-06-10T00:00:00"/>
    <x v="5"/>
    <s v="Ricardo Vidal"/>
    <s v="MAGALLANES"/>
    <n v="23572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6-10T00:00:00"/>
    <x v="5"/>
    <s v="Oscar Moreno"/>
    <s v="MAGALLANES"/>
    <n v="23573"/>
    <s v="Cliente nuevo"/>
    <m/>
    <n v="1"/>
    <n v="0"/>
    <n v="0"/>
    <n v="0"/>
    <n v="0"/>
    <n v="0"/>
    <n v="0"/>
    <n v="320.16000000000003"/>
    <m/>
    <n v="320.16000000000003"/>
    <n v="480.24"/>
    <n v="1"/>
    <n v="-160.07999999999998"/>
    <n v="1.5"/>
    <s v="Cliente nuevo"/>
    <s v="Sin pago"/>
    <m/>
    <m/>
    <m/>
  </r>
  <r>
    <d v="2022-06-10T00:00:00"/>
    <x v="5"/>
    <s v="Leonar Lule"/>
    <s v="SUR"/>
    <n v="23574"/>
    <s v="Cliente nuevo"/>
    <m/>
    <n v="2"/>
    <n v="0"/>
    <n v="0"/>
    <n v="0"/>
    <n v="0"/>
    <n v="0"/>
    <n v="3041.52"/>
    <n v="6210.6399999999994"/>
    <m/>
    <n v="9252.16"/>
    <m/>
    <n v="2"/>
    <n v="9252.16"/>
    <n v="0"/>
    <s v="Cliente nuevo"/>
    <s v="Ha pagado"/>
    <m/>
    <m/>
    <m/>
  </r>
  <r>
    <d v="2022-06-10T00:00:00"/>
    <x v="5"/>
    <s v="Carlos Guerra"/>
    <s v="CENTRO"/>
    <n v="23575"/>
    <s v="Cliente nuevo"/>
    <m/>
    <n v="2"/>
    <n v="0"/>
    <n v="0"/>
    <n v="0"/>
    <n v="0"/>
    <n v="0"/>
    <n v="2441.8000000000002"/>
    <n v="11343.64"/>
    <m/>
    <n v="13785.439999999999"/>
    <n v="320.16000000000003"/>
    <n v="2"/>
    <n v="13465.279999999999"/>
    <n v="2.3224503534163585E-2"/>
    <s v="Cliente nuevo"/>
    <s v="Ha pagado"/>
    <m/>
    <m/>
    <m/>
  </r>
  <r>
    <d v="2022-06-11T00:00:00"/>
    <x v="5"/>
    <s v="Genaro Castro"/>
    <s v="SUR"/>
    <n v="23576"/>
    <s v="Cliente nuevo"/>
    <m/>
    <n v="2"/>
    <n v="0"/>
    <n v="0"/>
    <n v="0"/>
    <n v="0"/>
    <n v="0"/>
    <n v="1571.8"/>
    <n v="4346.5200000000004"/>
    <m/>
    <n v="5918.3200000000006"/>
    <n v="3234.08"/>
    <n v="2"/>
    <n v="2684.2400000000007"/>
    <n v="0.54645237161897287"/>
    <s v="Cliente nuevo"/>
    <s v="Ha pagado"/>
    <m/>
    <m/>
    <m/>
  </r>
  <r>
    <d v="2022-06-11T00:00:00"/>
    <x v="5"/>
    <s v="Marcos López"/>
    <s v="SUR"/>
    <n v="23577"/>
    <s v="Cliente nuevo"/>
    <m/>
    <n v="1"/>
    <n v="0"/>
    <n v="0"/>
    <n v="0"/>
    <n v="0"/>
    <n v="0"/>
    <n v="904.8"/>
    <n v="0"/>
    <m/>
    <n v="904.8"/>
    <n v="580"/>
    <n v="1"/>
    <n v="324.79999999999995"/>
    <n v="0.64102564102564108"/>
    <s v="Cliente nuevo"/>
    <s v="Ha pagado"/>
    <m/>
    <m/>
    <m/>
  </r>
  <r>
    <d v="2022-06-11T00:00:00"/>
    <x v="5"/>
    <s v="Yuriana Argüello"/>
    <s v="CENTRO"/>
    <n v="23578"/>
    <s v="Cliente nuevo"/>
    <m/>
    <n v="2"/>
    <n v="0"/>
    <n v="0"/>
    <n v="0"/>
    <n v="0"/>
    <n v="0"/>
    <n v="607.84"/>
    <n v="488.36"/>
    <m/>
    <n v="1096.2"/>
    <n v="0"/>
    <n v="2"/>
    <n v="1096.2"/>
    <n v="0"/>
    <s v="Cliente nuevo"/>
    <s v="Ha pagado"/>
    <m/>
    <m/>
    <m/>
  </r>
  <r>
    <d v="2022-06-11T00:00:00"/>
    <x v="5"/>
    <s v="Ricardo Vidal"/>
    <s v="MAGALLANES"/>
    <n v="23579"/>
    <s v="Cliente nuevo"/>
    <m/>
    <n v="1"/>
    <n v="0"/>
    <n v="0"/>
    <n v="0"/>
    <n v="0"/>
    <n v="0"/>
    <n v="0"/>
    <n v="149.63999999999999"/>
    <m/>
    <n v="149.63999999999999"/>
    <n v="0"/>
    <n v="1"/>
    <n v="149.63999999999999"/>
    <n v="0"/>
    <s v="Cliente nuevo"/>
    <s v="Ha pagado"/>
    <m/>
    <m/>
    <m/>
  </r>
  <r>
    <d v="2022-06-13T00:00:00"/>
    <x v="5"/>
    <s v="Oscar Moreno"/>
    <s v="MAGALLANES"/>
    <n v="23580"/>
    <s v="Cliente nuevo"/>
    <m/>
    <n v="2"/>
    <n v="0"/>
    <n v="0"/>
    <n v="0"/>
    <n v="0"/>
    <n v="0"/>
    <n v="1722.6"/>
    <n v="1049.8000000000002"/>
    <m/>
    <n v="2772.4"/>
    <n v="498.8"/>
    <n v="2"/>
    <n v="2273.6"/>
    <n v="0.1799163179916318"/>
    <s v="Cliente nuevo"/>
    <s v="Ha pagado"/>
    <m/>
    <m/>
    <m/>
  </r>
  <r>
    <d v="2022-06-13T00:00:00"/>
    <x v="5"/>
    <s v="Miguel Ángel Romero"/>
    <s v="CENTRO"/>
    <n v="23581"/>
    <s v="Cliente nuevo"/>
    <m/>
    <n v="2"/>
    <n v="0"/>
    <n v="0"/>
    <n v="0"/>
    <n v="0"/>
    <n v="0"/>
    <n v="6284.88"/>
    <n v="8729"/>
    <m/>
    <n v="15013.880000000001"/>
    <n v="0"/>
    <n v="2"/>
    <n v="15013.880000000001"/>
    <n v="0"/>
    <s v="Cliente nuevo"/>
    <s v="Ha pagado"/>
    <m/>
    <m/>
    <m/>
  </r>
  <r>
    <d v="2022-06-13T00:00:00"/>
    <x v="5"/>
    <s v="Miguel Ángel Romero"/>
    <s v="CENTRO"/>
    <n v="23582"/>
    <s v="Cliente nuevo"/>
    <m/>
    <n v="2"/>
    <n v="0"/>
    <n v="0"/>
    <n v="0"/>
    <n v="0"/>
    <n v="0"/>
    <n v="1856"/>
    <n v="928"/>
    <m/>
    <n v="2784"/>
    <n v="0"/>
    <n v="2"/>
    <n v="2784"/>
    <n v="0"/>
    <s v="Cliente nuevo"/>
    <s v="Ha pagado"/>
    <m/>
    <m/>
    <m/>
  </r>
  <r>
    <d v="2022-06-14T00:00:00"/>
    <x v="5"/>
    <s v="Christian Castellanos"/>
    <s v="NORTE"/>
    <n v="23583"/>
    <s v="Cliente nuevo"/>
    <m/>
    <n v="2"/>
    <n v="0"/>
    <n v="0"/>
    <n v="0"/>
    <n v="0"/>
    <n v="0"/>
    <n v="677.44"/>
    <n v="3457.96"/>
    <m/>
    <n v="4135.3999999999996"/>
    <n v="0"/>
    <n v="2"/>
    <n v="4135.3999999999996"/>
    <n v="0"/>
    <s v="Cliente nuevo"/>
    <s v="Ha pagado"/>
    <m/>
    <m/>
    <m/>
  </r>
  <r>
    <d v="2022-06-14T00:00:00"/>
    <x v="5"/>
    <s v="David Montañéz"/>
    <s v="CENTRO"/>
    <n v="23584"/>
    <s v="Cliente nuevo"/>
    <m/>
    <n v="2"/>
    <n v="0"/>
    <n v="0"/>
    <n v="0"/>
    <n v="0"/>
    <n v="0"/>
    <n v="513.88"/>
    <n v="2028.8400000000001"/>
    <m/>
    <n v="2542.7200000000003"/>
    <n v="0"/>
    <n v="2"/>
    <n v="2542.7200000000003"/>
    <n v="0"/>
    <s v="Cliente nuevo"/>
    <s v="Ha pagado"/>
    <m/>
    <m/>
    <m/>
  </r>
  <r>
    <d v="2022-06-14T00:00:00"/>
    <x v="5"/>
    <s v="Giovanni Salas"/>
    <s v="NORTE"/>
    <n v="23585"/>
    <s v="Cliente nuevo"/>
    <m/>
    <n v="2"/>
    <n v="0"/>
    <n v="0"/>
    <n v="0"/>
    <n v="0"/>
    <n v="0"/>
    <n v="928"/>
    <n v="928"/>
    <m/>
    <n v="1856"/>
    <n v="0"/>
    <n v="2"/>
    <n v="1856"/>
    <n v="0"/>
    <s v="Cliente nuevo"/>
    <s v="Ha pagado"/>
    <m/>
    <m/>
    <m/>
  </r>
  <r>
    <d v="2022-06-14T00:00:00"/>
    <x v="5"/>
    <s v="Christian Castellanos"/>
    <s v="NORTE"/>
    <n v="23586"/>
    <s v="Cliente nuevo"/>
    <m/>
    <n v="2"/>
    <n v="0"/>
    <n v="0"/>
    <n v="0"/>
    <n v="0"/>
    <n v="0"/>
    <n v="537.08000000000004"/>
    <n v="5624.8399999999992"/>
    <m/>
    <n v="6161.9199999999992"/>
    <n v="201.84"/>
    <n v="2"/>
    <n v="5960.079999999999"/>
    <n v="3.2756024096385547E-2"/>
    <s v="Cliente nuevo"/>
    <s v="Ha pagado"/>
    <m/>
    <m/>
    <m/>
  </r>
  <r>
    <d v="2022-06-15T00:00:00"/>
    <x v="5"/>
    <s v="Ricardo Vidal"/>
    <s v="MAGALLANES"/>
    <n v="23587"/>
    <s v="Alta sin facturar"/>
    <m/>
    <n v="1"/>
    <n v="0"/>
    <n v="0"/>
    <n v="0"/>
    <n v="0"/>
    <n v="0"/>
    <n v="958.16"/>
    <n v="0"/>
    <m/>
    <n v="958.16"/>
    <n v="1856"/>
    <n v="1"/>
    <n v="-897.84"/>
    <n v="1.937046004842615"/>
    <s v="Cliente nuevo"/>
    <s v="Sin pago"/>
    <m/>
    <m/>
    <m/>
  </r>
  <r>
    <d v="2022-06-15T00:00:00"/>
    <x v="5"/>
    <s v="Miguel Ángel Romero"/>
    <s v="CENTRO"/>
    <n v="23589"/>
    <s v="Cliente nuevo"/>
    <m/>
    <n v="2"/>
    <n v="0"/>
    <n v="0"/>
    <n v="0"/>
    <n v="0"/>
    <n v="0"/>
    <n v="4646.96"/>
    <n v="3209.7200000000003"/>
    <m/>
    <n v="7856.68"/>
    <n v="749.36"/>
    <n v="2"/>
    <n v="7107.3200000000006"/>
    <n v="9.5378709582164475E-2"/>
    <s v="Cliente nuevo"/>
    <s v="Ha pagado"/>
    <m/>
    <m/>
    <m/>
  </r>
  <r>
    <d v="2022-06-16T00:00:00"/>
    <x v="5"/>
    <s v="Yuriana Argüello"/>
    <s v="CENTRO"/>
    <n v="23590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6-16T00:00:00"/>
    <x v="5"/>
    <s v="Genaro Castro"/>
    <s v="SUR"/>
    <n v="23591"/>
    <s v="Cliente nuevo"/>
    <m/>
    <n v="2"/>
    <n v="0"/>
    <n v="0"/>
    <n v="0"/>
    <n v="0"/>
    <n v="0"/>
    <n v="1017.32"/>
    <n v="1837.4399999999998"/>
    <m/>
    <n v="2854.7599999999998"/>
    <n v="0"/>
    <n v="2"/>
    <n v="2854.7599999999998"/>
    <n v="0"/>
    <s v="Cliente nuevo"/>
    <s v="Ha pagado"/>
    <m/>
    <m/>
    <m/>
  </r>
  <r>
    <d v="2022-06-16T00:00:00"/>
    <x v="5"/>
    <s v="Christian Castellanos"/>
    <s v="NORTE"/>
    <n v="23592"/>
    <s v="Cliente nuevo"/>
    <m/>
    <n v="2"/>
    <n v="0"/>
    <n v="0"/>
    <n v="0"/>
    <n v="0"/>
    <n v="0"/>
    <n v="9419.2000000000007"/>
    <n v="28820.2"/>
    <m/>
    <n v="38239.4"/>
    <m/>
    <n v="2"/>
    <n v="38239.4"/>
    <n v="0"/>
    <s v="Cliente nuevo"/>
    <s v="Ha pagado"/>
    <m/>
    <m/>
    <m/>
  </r>
  <r>
    <d v="2022-06-16T00:00:00"/>
    <x v="5"/>
    <s v="Yareli Flores"/>
    <s v="CENTRO"/>
    <n v="23593"/>
    <s v="Cliente nuevo"/>
    <m/>
    <n v="1"/>
    <n v="0"/>
    <n v="0"/>
    <n v="0"/>
    <n v="0"/>
    <n v="0"/>
    <n v="0"/>
    <n v="18086.72"/>
    <m/>
    <n v="18086.72"/>
    <n v="1139.1199999999999"/>
    <n v="1"/>
    <n v="16947.600000000002"/>
    <n v="6.2981015905592602E-2"/>
    <s v="Cliente nuevo"/>
    <s v="Ha pagado"/>
    <m/>
    <m/>
    <m/>
  </r>
  <r>
    <d v="2022-06-16T00:00:00"/>
    <x v="5"/>
    <s v="Yareli Flores"/>
    <s v="CENTRO"/>
    <n v="23594"/>
    <s v="Alta sin facturar"/>
    <m/>
    <n v="2"/>
    <n v="0"/>
    <n v="0"/>
    <n v="0"/>
    <n v="0"/>
    <n v="0"/>
    <n v="812"/>
    <n v="10440"/>
    <m/>
    <n v="11252"/>
    <n v="33733.96"/>
    <n v="2"/>
    <n v="-22481.96"/>
    <n v="2.998041237113402"/>
    <s v="Cliente nuevo"/>
    <s v="Sin pago"/>
    <m/>
    <m/>
    <m/>
  </r>
  <r>
    <d v="2022-06-17T00:00:00"/>
    <x v="5"/>
    <s v="Miguel Ángel Romero"/>
    <s v="CENTRO"/>
    <n v="23595"/>
    <s v="Cliente nuevo"/>
    <m/>
    <n v="1"/>
    <n v="0"/>
    <n v="0"/>
    <n v="0"/>
    <n v="0"/>
    <n v="0"/>
    <n v="0"/>
    <n v="3154.04"/>
    <m/>
    <n v="3154.04"/>
    <n v="0"/>
    <n v="1"/>
    <n v="3154.04"/>
    <n v="0"/>
    <s v="Cliente nuevo"/>
    <s v="Ha pagado"/>
    <m/>
    <m/>
    <m/>
  </r>
  <r>
    <d v="2022-06-17T00:00:00"/>
    <x v="5"/>
    <s v="Genaro Castro"/>
    <s v="SUR"/>
    <n v="23596"/>
    <s v="Alta sin facturar"/>
    <m/>
    <n v="0"/>
    <n v="0"/>
    <n v="0"/>
    <n v="0"/>
    <n v="0"/>
    <n v="0"/>
    <n v="0"/>
    <n v="0"/>
    <m/>
    <n v="0"/>
    <n v="5974"/>
    <n v="0"/>
    <n v="-5974"/>
    <n v="0"/>
    <s v="Alta sin facturar"/>
    <s v="Sin pago"/>
    <m/>
    <m/>
    <m/>
  </r>
  <r>
    <d v="2022-06-18T00:00:00"/>
    <x v="5"/>
    <s v="Noemí Castillo"/>
    <s v="NORTE"/>
    <n v="23597"/>
    <s v="Alta sin facturar"/>
    <m/>
    <n v="1"/>
    <n v="0"/>
    <n v="0"/>
    <n v="0"/>
    <n v="0"/>
    <n v="0"/>
    <n v="0"/>
    <n v="13527.92"/>
    <m/>
    <n v="13527.92"/>
    <n v="1448.84"/>
    <n v="1"/>
    <n v="12079.08"/>
    <n v="0.10709998285028297"/>
    <s v="Cliente nuevo"/>
    <s v="Ha pagado"/>
    <m/>
    <m/>
    <m/>
  </r>
  <r>
    <d v="2022-06-18T00:00:00"/>
    <x v="5"/>
    <s v="Sandra Escoto"/>
    <s v="CENTRO"/>
    <n v="23598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18T00:00:00"/>
    <x v="5"/>
    <s v="Sandra Escoto"/>
    <s v="CENTRO"/>
    <n v="23599"/>
    <s v="Alta sin facturar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6-18T00:00:00"/>
    <x v="5"/>
    <s v="Sandra Escoto"/>
    <s v="CENTRO"/>
    <n v="23600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18T00:00:00"/>
    <x v="5"/>
    <s v="Sandra Escoto"/>
    <s v="CENTRO"/>
    <n v="23601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18T00:00:00"/>
    <x v="5"/>
    <s v="Genaro Castro"/>
    <s v="SUR"/>
    <n v="23602"/>
    <s v="Cliente nuevo"/>
    <m/>
    <n v="1"/>
    <n v="0"/>
    <n v="0"/>
    <n v="0"/>
    <n v="0"/>
    <n v="0"/>
    <n v="0"/>
    <n v="261"/>
    <m/>
    <n v="261"/>
    <m/>
    <n v="1"/>
    <n v="261"/>
    <n v="0"/>
    <s v="Cliente nuevo"/>
    <s v="Ha pagado"/>
    <m/>
    <m/>
    <m/>
  </r>
  <r>
    <d v="2022-06-20T00:00:00"/>
    <x v="5"/>
    <s v="Diana Tejadilla"/>
    <s v="CENTRO"/>
    <n v="23603"/>
    <s v="Cliente nuevo"/>
    <m/>
    <n v="2"/>
    <n v="0"/>
    <n v="0"/>
    <n v="0"/>
    <n v="0"/>
    <n v="0"/>
    <n v="324.8"/>
    <n v="1842.08"/>
    <m/>
    <n v="2166.88"/>
    <m/>
    <n v="2"/>
    <n v="2166.88"/>
    <n v="0"/>
    <s v="Cliente nuevo"/>
    <s v="Ha pagado"/>
    <m/>
    <m/>
    <m/>
  </r>
  <r>
    <d v="2022-06-20T00:00:00"/>
    <x v="5"/>
    <s v="Marcos López"/>
    <s v="SUR"/>
    <n v="23604"/>
    <s v="Alta sin facturar"/>
    <m/>
    <n v="2"/>
    <n v="0"/>
    <n v="0"/>
    <n v="0"/>
    <n v="0"/>
    <n v="0"/>
    <n v="363.08"/>
    <n v="7933.24"/>
    <m/>
    <n v="8296.32"/>
    <n v="0"/>
    <n v="2"/>
    <n v="8296.32"/>
    <n v="0"/>
    <s v="Cliente nuevo"/>
    <s v="Ha pagado"/>
    <m/>
    <m/>
    <m/>
  </r>
  <r>
    <d v="2022-06-20T00:00:00"/>
    <x v="5"/>
    <s v="Miguel Ángel Romero"/>
    <s v="CENTRO"/>
    <n v="23605"/>
    <s v="Cliente nuevo"/>
    <m/>
    <n v="2"/>
    <n v="0"/>
    <n v="0"/>
    <n v="0"/>
    <n v="0"/>
    <n v="0"/>
    <n v="635.67999999999995"/>
    <n v="5094.7199999999993"/>
    <m/>
    <n v="5730.4"/>
    <n v="649.59999999999991"/>
    <n v="2"/>
    <n v="5080.7999999999993"/>
    <n v="0.11336032388663966"/>
    <s v="Cliente nuevo"/>
    <s v="Ha pagado"/>
    <m/>
    <m/>
    <m/>
  </r>
  <r>
    <d v="2022-06-20T00:00:00"/>
    <x v="5"/>
    <s v="Miguel Ángel Romero"/>
    <s v="CENTRO"/>
    <n v="23606"/>
    <s v="Alta sin facturar"/>
    <m/>
    <n v="0"/>
    <n v="0"/>
    <n v="0"/>
    <n v="0"/>
    <n v="0"/>
    <n v="0"/>
    <n v="0"/>
    <n v="0"/>
    <m/>
    <n v="0"/>
    <n v="3438.24"/>
    <n v="0"/>
    <n v="-3438.24"/>
    <n v="0"/>
    <s v="Alta sin facturar"/>
    <s v="Sin pago"/>
    <m/>
    <m/>
    <m/>
  </r>
  <r>
    <d v="2022-06-20T00:00:00"/>
    <x v="5"/>
    <s v="Rubí Rodríguez"/>
    <s v="CENTRO"/>
    <n v="23607"/>
    <s v="Alta sin facturar"/>
    <m/>
    <n v="2"/>
    <n v="0"/>
    <n v="0"/>
    <n v="0"/>
    <n v="0"/>
    <n v="0"/>
    <n v="1567.16"/>
    <n v="11362.2"/>
    <m/>
    <n v="12929.36"/>
    <n v="1930.24"/>
    <n v="2"/>
    <n v="10999.12"/>
    <n v="0.14929122555176744"/>
    <s v="Cliente nuevo"/>
    <s v="Ha pagado"/>
    <m/>
    <m/>
    <m/>
  </r>
  <r>
    <d v="2022-06-21T00:00:00"/>
    <x v="5"/>
    <s v="Miguel Ángel Romero"/>
    <s v="CENTRO"/>
    <n v="23608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21T00:00:00"/>
    <x v="5"/>
    <s v="Miguel Ángel Romero"/>
    <s v="CENTRO"/>
    <n v="23609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6-22T00:00:00"/>
    <x v="5"/>
    <s v="Iván Luna"/>
    <s v="NORTE"/>
    <n v="23610"/>
    <s v="Cliente nuevo"/>
    <m/>
    <n v="1"/>
    <n v="0"/>
    <n v="0"/>
    <n v="0"/>
    <n v="0"/>
    <n v="0"/>
    <n v="0"/>
    <n v="9222"/>
    <m/>
    <n v="9222"/>
    <m/>
    <n v="1"/>
    <n v="9222"/>
    <n v="0"/>
    <s v="Cliente nuevo"/>
    <s v="Ha pagado"/>
    <m/>
    <m/>
    <m/>
  </r>
  <r>
    <d v="2022-06-22T00:00:00"/>
    <x v="5"/>
    <s v="Oscar Moreno"/>
    <s v="MAGALLANES"/>
    <n v="23611"/>
    <s v="Alta sin facturar"/>
    <m/>
    <n v="1"/>
    <n v="0"/>
    <n v="0"/>
    <n v="0"/>
    <n v="0"/>
    <n v="0"/>
    <n v="0"/>
    <n v="2079.88"/>
    <m/>
    <n v="2079.88"/>
    <m/>
    <n v="1"/>
    <n v="2079.88"/>
    <n v="0"/>
    <s v="Cliente nuevo"/>
    <s v="Ha pagado"/>
    <m/>
    <m/>
    <m/>
  </r>
  <r>
    <d v="2022-06-22T00:00:00"/>
    <x v="5"/>
    <s v="Blanca Montoya"/>
    <s v="CENTRO"/>
    <n v="23612"/>
    <s v="Cliente nuevo"/>
    <m/>
    <n v="2"/>
    <n v="0"/>
    <n v="0"/>
    <n v="0"/>
    <n v="0"/>
    <n v="0"/>
    <n v="17216.72"/>
    <n v="12634.72"/>
    <m/>
    <n v="29851.440000000002"/>
    <n v="5974"/>
    <n v="2"/>
    <n v="23877.440000000002"/>
    <n v="0.20012434911012666"/>
    <s v="Cliente nuevo"/>
    <s v="Ha pagado"/>
    <m/>
    <m/>
    <m/>
  </r>
  <r>
    <d v="2022-06-22T00:00:00"/>
    <x v="5"/>
    <s v="Christian Castellanos"/>
    <s v="NORTE"/>
    <n v="23613"/>
    <s v="Alta sin facturar"/>
    <m/>
    <n v="0"/>
    <n v="0"/>
    <n v="0"/>
    <n v="0"/>
    <n v="0"/>
    <n v="0"/>
    <n v="0"/>
    <n v="0"/>
    <m/>
    <n v="0"/>
    <n v="1491.76"/>
    <n v="0"/>
    <n v="-1491.76"/>
    <n v="0"/>
    <s v="Alta sin facturar"/>
    <s v="Sin pago"/>
    <m/>
    <m/>
    <m/>
  </r>
  <r>
    <d v="2022-06-22T00:00:00"/>
    <x v="5"/>
    <s v="Oscar Moreno"/>
    <s v="MAGALLANES"/>
    <n v="23614"/>
    <s v="Cliente nuevo"/>
    <m/>
    <n v="1"/>
    <n v="0"/>
    <n v="0"/>
    <n v="0"/>
    <n v="0"/>
    <n v="0"/>
    <n v="0"/>
    <n v="189.08"/>
    <m/>
    <n v="189.08"/>
    <n v="0"/>
    <n v="1"/>
    <n v="189.08"/>
    <n v="0"/>
    <s v="Cliente nuevo"/>
    <s v="Ha pagado"/>
    <m/>
    <m/>
    <m/>
  </r>
  <r>
    <d v="2022-06-22T00:00:00"/>
    <x v="5"/>
    <s v="Iván Luna"/>
    <s v="NORTE"/>
    <n v="23615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22T00:00:00"/>
    <x v="5"/>
    <s v="Christian Castellanos"/>
    <s v="NORTE"/>
    <n v="23616"/>
    <s v="Cliente nuevo"/>
    <m/>
    <n v="1"/>
    <n v="0"/>
    <n v="0"/>
    <n v="0"/>
    <n v="0"/>
    <n v="0"/>
    <n v="0"/>
    <n v="3377.9199999999996"/>
    <m/>
    <n v="3377.9199999999996"/>
    <n v="0"/>
    <n v="1"/>
    <n v="3377.9199999999996"/>
    <n v="0"/>
    <s v="Cliente nuevo"/>
    <s v="Ha pagado"/>
    <m/>
    <m/>
    <m/>
  </r>
  <r>
    <d v="2022-06-23T00:00:00"/>
    <x v="5"/>
    <s v="Blanca Montoya"/>
    <s v="CENTRO"/>
    <n v="23617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6-23T00:00:00"/>
    <x v="5"/>
    <s v="Karla Ángeles"/>
    <s v="CENTRO"/>
    <n v="23618"/>
    <s v="Cliente nuevo"/>
    <m/>
    <n v="1"/>
    <n v="0"/>
    <n v="0"/>
    <n v="0"/>
    <n v="0"/>
    <n v="0"/>
    <n v="0"/>
    <n v="433.84"/>
    <m/>
    <n v="433.84"/>
    <n v="0"/>
    <n v="1"/>
    <n v="433.84"/>
    <n v="0"/>
    <s v="Cliente nuevo"/>
    <s v="Ha pagado"/>
    <m/>
    <m/>
    <m/>
  </r>
  <r>
    <d v="2022-06-23T00:00:00"/>
    <x v="5"/>
    <s v="Diana Tejadilla"/>
    <s v="CENTRO"/>
    <n v="23619"/>
    <s v="Cliente nuevo"/>
    <m/>
    <n v="1"/>
    <n v="0"/>
    <n v="0"/>
    <n v="0"/>
    <n v="0"/>
    <n v="0"/>
    <n v="0"/>
    <n v="414.12"/>
    <m/>
    <n v="414.12"/>
    <m/>
    <n v="1"/>
    <n v="414.12"/>
    <n v="0"/>
    <s v="Cliente nuevo"/>
    <s v="Ha pagado"/>
    <m/>
    <m/>
    <m/>
  </r>
  <r>
    <d v="2022-06-23T00:00:00"/>
    <x v="5"/>
    <s v="Alfredo Almaráz"/>
    <s v="MAGALLANES"/>
    <n v="23620"/>
    <s v="Cliente nuevo"/>
    <m/>
    <n v="1"/>
    <n v="0"/>
    <n v="0"/>
    <n v="0"/>
    <n v="0"/>
    <n v="0"/>
    <n v="0"/>
    <n v="3422"/>
    <m/>
    <n v="3422"/>
    <n v="0"/>
    <n v="1"/>
    <n v="3422"/>
    <n v="0"/>
    <s v="Cliente nuevo"/>
    <s v="Ha pagado"/>
    <m/>
    <m/>
    <m/>
  </r>
  <r>
    <d v="2022-06-23T00:00:00"/>
    <x v="5"/>
    <s v="Diana Tejadilla"/>
    <s v="CENTRO"/>
    <n v="23621"/>
    <s v="Cliente nuevo"/>
    <m/>
    <n v="1"/>
    <n v="0"/>
    <n v="0"/>
    <n v="0"/>
    <n v="0"/>
    <n v="0"/>
    <n v="0"/>
    <n v="1802.64"/>
    <m/>
    <n v="1802.64"/>
    <n v="276.08"/>
    <n v="1"/>
    <n v="1526.5600000000002"/>
    <n v="0.15315315315315314"/>
    <s v="Cliente nuevo"/>
    <s v="Ha pagado"/>
    <m/>
    <m/>
    <m/>
  </r>
  <r>
    <d v="2022-06-23T00:00:00"/>
    <x v="5"/>
    <s v="Alfredo Almaráz"/>
    <s v="MAGALLANES"/>
    <n v="23622"/>
    <s v="Alta sin facturar"/>
    <m/>
    <n v="2"/>
    <n v="0"/>
    <n v="0"/>
    <n v="0"/>
    <n v="0"/>
    <n v="0"/>
    <n v="835.2"/>
    <n v="2774.72"/>
    <m/>
    <n v="3609.92"/>
    <n v="3422"/>
    <n v="2"/>
    <n v="187.92000000000007"/>
    <n v="0.94794344473007708"/>
    <s v="Cliente nuevo"/>
    <s v="Ha pagado"/>
    <m/>
    <m/>
    <m/>
  </r>
  <r>
    <d v="2022-06-24T00:00:00"/>
    <x v="5"/>
    <s v="Leonar Lule"/>
    <s v="SUR"/>
    <n v="23623"/>
    <s v="Alta sin facturar"/>
    <m/>
    <n v="1"/>
    <n v="0"/>
    <n v="0"/>
    <n v="0"/>
    <n v="0"/>
    <n v="0"/>
    <n v="0"/>
    <n v="1932.56"/>
    <m/>
    <n v="1932.56"/>
    <n v="887.40000000000009"/>
    <n v="1"/>
    <n v="1045.1599999999999"/>
    <n v="0.45918367346938782"/>
    <s v="Cliente nuevo"/>
    <s v="Ha pagado"/>
    <m/>
    <m/>
    <m/>
  </r>
  <r>
    <d v="2022-06-24T00:00:00"/>
    <x v="5"/>
    <s v="Leonar Lule"/>
    <s v="SUR"/>
    <n v="23624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6-25T00:00:00"/>
    <x v="5"/>
    <s v="Dolores Jiménez"/>
    <s v="NORTE"/>
    <n v="23625"/>
    <s v="Cliente nuevo"/>
    <m/>
    <n v="0"/>
    <n v="0"/>
    <n v="0"/>
    <n v="0"/>
    <n v="0"/>
    <n v="0"/>
    <n v="0"/>
    <n v="0"/>
    <m/>
    <n v="0"/>
    <n v="56.84"/>
    <n v="0"/>
    <n v="-56.84"/>
    <n v="0"/>
    <s v="Alta sin facturar"/>
    <s v="Sin pago"/>
    <m/>
    <m/>
    <m/>
  </r>
  <r>
    <d v="2022-06-25T00:00:00"/>
    <x v="5"/>
    <s v="Ricardo Vidal"/>
    <s v="MAGALLANES"/>
    <n v="23626"/>
    <s v="Alta sin facturar"/>
    <m/>
    <n v="1"/>
    <n v="0"/>
    <n v="0"/>
    <n v="0"/>
    <n v="0"/>
    <n v="0"/>
    <n v="0"/>
    <n v="3267.72"/>
    <m/>
    <n v="3267.72"/>
    <m/>
    <n v="1"/>
    <n v="3267.72"/>
    <n v="0"/>
    <s v="Cliente nuevo"/>
    <s v="Ha pagado"/>
    <m/>
    <m/>
    <m/>
  </r>
  <r>
    <d v="2022-06-25T00:00:00"/>
    <x v="5"/>
    <s v="Ricardo Vidal"/>
    <s v="MAGALLANES"/>
    <n v="23627"/>
    <s v="Alta sin facturar"/>
    <m/>
    <n v="1"/>
    <n v="0"/>
    <n v="0"/>
    <n v="0"/>
    <n v="0"/>
    <n v="0"/>
    <n v="0"/>
    <n v="2303.7599999999998"/>
    <m/>
    <n v="2303.7599999999998"/>
    <m/>
    <n v="1"/>
    <n v="2303.7599999999998"/>
    <n v="0"/>
    <s v="Cliente nuevo"/>
    <s v="Ha pagado"/>
    <m/>
    <m/>
    <m/>
  </r>
  <r>
    <d v="2022-06-25T00:00:00"/>
    <x v="5"/>
    <s v="Iván Luna"/>
    <s v="NORTE"/>
    <n v="23628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6-27T00:00:00"/>
    <x v="5"/>
    <s v="Rubí Rodríguez"/>
    <s v="CENTRO"/>
    <n v="23629"/>
    <s v="Cliente nuevo"/>
    <m/>
    <n v="0"/>
    <n v="0"/>
    <n v="0"/>
    <n v="0"/>
    <n v="0"/>
    <n v="0"/>
    <n v="0"/>
    <n v="0"/>
    <m/>
    <n v="0"/>
    <n v="156.6"/>
    <n v="0"/>
    <n v="-156.6"/>
    <n v="0"/>
    <s v="Alta sin facturar"/>
    <s v="Sin pago"/>
    <m/>
    <m/>
    <m/>
  </r>
  <r>
    <d v="2022-06-27T00:00:00"/>
    <x v="5"/>
    <s v="Miguel Ángel Romero"/>
    <s v="CENTRO"/>
    <n v="23630"/>
    <s v="Alta sin facturar"/>
    <m/>
    <n v="1"/>
    <n v="0"/>
    <n v="0"/>
    <n v="0"/>
    <n v="0"/>
    <n v="0"/>
    <n v="0"/>
    <n v="5935.7199999999993"/>
    <m/>
    <n v="5935.7199999999993"/>
    <m/>
    <n v="1"/>
    <n v="5935.7199999999993"/>
    <n v="0"/>
    <s v="Cliente nuevo"/>
    <s v="Ha pagado"/>
    <m/>
    <m/>
    <m/>
  </r>
  <r>
    <d v="2022-06-27T00:00:00"/>
    <x v="5"/>
    <s v="Marcos López"/>
    <s v="SUR"/>
    <n v="23631"/>
    <s v="Alta sin facturar"/>
    <m/>
    <n v="1"/>
    <n v="0"/>
    <n v="0"/>
    <n v="0"/>
    <n v="0"/>
    <n v="0"/>
    <n v="0"/>
    <n v="396.72"/>
    <m/>
    <n v="396.72"/>
    <m/>
    <n v="1"/>
    <n v="396.72"/>
    <n v="0"/>
    <s v="Cliente nuevo"/>
    <s v="Ha pagado"/>
    <m/>
    <m/>
    <m/>
  </r>
  <r>
    <d v="2022-06-28T00:00:00"/>
    <x v="5"/>
    <s v="Yareli Flores"/>
    <s v="CENTRO"/>
    <n v="23632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6-28T00:00:00"/>
    <x v="5"/>
    <s v="Yareli Flores"/>
    <s v="CENTRO"/>
    <n v="23633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6-29T00:00:00"/>
    <x v="5"/>
    <s v="Roger Gómez"/>
    <s v="SUR"/>
    <n v="23635"/>
    <s v="Cliente nuevo"/>
    <m/>
    <n v="1"/>
    <n v="0"/>
    <n v="0"/>
    <n v="0"/>
    <n v="0"/>
    <n v="0"/>
    <n v="0"/>
    <n v="2367.56"/>
    <m/>
    <n v="2367.56"/>
    <m/>
    <n v="1"/>
    <n v="2367.56"/>
    <n v="0"/>
    <s v="Cliente nuevo"/>
    <s v="Ha pagado"/>
    <m/>
    <m/>
    <m/>
  </r>
  <r>
    <d v="2022-06-29T00:00:00"/>
    <x v="5"/>
    <s v="Roger Gómez"/>
    <s v="SUR"/>
    <n v="23636"/>
    <s v="Cliente nuevo"/>
    <m/>
    <n v="1"/>
    <n v="0"/>
    <n v="0"/>
    <n v="0"/>
    <n v="0"/>
    <n v="0"/>
    <n v="0"/>
    <n v="585.79999999999995"/>
    <m/>
    <n v="585.79999999999995"/>
    <m/>
    <n v="1"/>
    <n v="585.79999999999995"/>
    <n v="0"/>
    <s v="Cliente nuevo"/>
    <s v="Ha pagado"/>
    <m/>
    <m/>
    <m/>
  </r>
  <r>
    <d v="2022-06-29T00:00:00"/>
    <x v="5"/>
    <s v="Oscar Moreno"/>
    <s v="MAGALLANES"/>
    <n v="23637"/>
    <s v="Cliente nuevo"/>
    <m/>
    <n v="1"/>
    <n v="0"/>
    <n v="0"/>
    <n v="0"/>
    <n v="0"/>
    <n v="0"/>
    <n v="0"/>
    <n v="464"/>
    <m/>
    <n v="464"/>
    <n v="2046.2399999999998"/>
    <n v="1"/>
    <n v="-1582.2399999999998"/>
    <n v="4.4099999999999993"/>
    <s v="Cliente nuevo"/>
    <s v="Sin pago"/>
    <m/>
    <m/>
    <m/>
  </r>
  <r>
    <d v="2022-06-30T00:00:00"/>
    <x v="5"/>
    <s v="Iván Luna"/>
    <s v="NORTE"/>
    <n v="23638"/>
    <s v="Cliente nuevo"/>
    <m/>
    <n v="1"/>
    <n v="0"/>
    <n v="0"/>
    <n v="0"/>
    <n v="0"/>
    <n v="0"/>
    <n v="0"/>
    <n v="11399.32"/>
    <m/>
    <n v="11399.32"/>
    <n v="331.76"/>
    <n v="1"/>
    <n v="11067.56"/>
    <n v="2.910349038363692E-2"/>
    <s v="Cliente nuevo"/>
    <s v="Ha pagado"/>
    <m/>
    <m/>
    <m/>
  </r>
  <r>
    <d v="2022-06-30T00:00:00"/>
    <x v="5"/>
    <s v="Giovanni Salas"/>
    <s v="NORTE"/>
    <n v="23639"/>
    <s v="Cliente nuevo"/>
    <m/>
    <n v="1"/>
    <n v="0"/>
    <n v="0"/>
    <n v="0"/>
    <n v="0"/>
    <n v="0"/>
    <n v="0"/>
    <n v="84.68"/>
    <m/>
    <n v="84.68"/>
    <n v="464"/>
    <n v="1"/>
    <n v="-379.32"/>
    <n v="5.4794520547945202"/>
    <s v="Cliente nuevo"/>
    <s v="Sin pago"/>
    <m/>
    <m/>
    <m/>
  </r>
  <r>
    <d v="2022-06-30T00:00:00"/>
    <x v="5"/>
    <s v="Antonio Salazar"/>
    <s v="NORTE"/>
    <n v="23640"/>
    <s v="Cliente nuevo"/>
    <m/>
    <n v="1"/>
    <n v="0"/>
    <n v="0"/>
    <n v="0"/>
    <n v="0"/>
    <n v="0"/>
    <n v="0"/>
    <n v="991.8"/>
    <m/>
    <n v="991.8"/>
    <n v="0"/>
    <n v="1"/>
    <n v="991.8"/>
    <n v="0"/>
    <s v="Cliente nuevo"/>
    <s v="Ha pagado"/>
    <m/>
    <m/>
    <m/>
  </r>
  <r>
    <d v="2022-06-30T00:00:00"/>
    <x v="5"/>
    <s v="Antonio Salazar"/>
    <s v="NORTE"/>
    <n v="23641"/>
    <s v="Alta sin facturar"/>
    <m/>
    <n v="1"/>
    <n v="0"/>
    <n v="0"/>
    <n v="0"/>
    <n v="0"/>
    <n v="0"/>
    <n v="0"/>
    <n v="4795.4400000000005"/>
    <m/>
    <n v="4795.4400000000005"/>
    <n v="84.68"/>
    <n v="1"/>
    <n v="4710.76"/>
    <n v="1.7658442186744071E-2"/>
    <s v="Cliente nuevo"/>
    <s v="Ha pagado"/>
    <m/>
    <m/>
    <m/>
  </r>
  <r>
    <d v="2022-07-01T00:00:00"/>
    <x v="6"/>
    <s v="Ricardo Vidal"/>
    <s v="MAGALLANES"/>
    <n v="23642"/>
    <s v="Alta sin facturar"/>
    <m/>
    <m/>
    <n v="0"/>
    <n v="0"/>
    <n v="0"/>
    <n v="0"/>
    <n v="0"/>
    <n v="0"/>
    <n v="91.64"/>
    <m/>
    <n v="91.64"/>
    <n v="784.8"/>
    <n v="1"/>
    <n v="-693.16"/>
    <n v="8.5639458751636841"/>
    <s v="Cliente nuevo"/>
    <s v="Sin pago"/>
    <m/>
    <m/>
    <m/>
  </r>
  <r>
    <d v="2022-07-01T00:00:00"/>
    <x v="6"/>
    <s v="Ricardo Vidal"/>
    <s v="MAGALLANES"/>
    <n v="23643"/>
    <s v="Alta sin facturar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7-01T00:00:00"/>
    <x v="6"/>
    <s v="Diana Tejadilla"/>
    <s v="CENTRO"/>
    <n v="23644"/>
    <s v="Alta sin facturar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7-01T00:00:00"/>
    <x v="6"/>
    <s v="Diana Tejadilla"/>
    <s v="CENTRO"/>
    <n v="23645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1T00:00:00"/>
    <x v="6"/>
    <s v="Christian Castellanos"/>
    <s v="NORTE"/>
    <n v="23646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2T00:00:00"/>
    <x v="6"/>
    <s v="Diana Tejadilla"/>
    <s v="CENTRO"/>
    <n v="23648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2T00:00:00"/>
    <x v="6"/>
    <s v="Rubí Rodríguez"/>
    <s v="CENTRO"/>
    <n v="23649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2T00:00:00"/>
    <x v="6"/>
    <s v="Roger Gómez"/>
    <s v="SUR"/>
    <n v="23650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4T00:00:00"/>
    <x v="6"/>
    <s v="Yareli Flores"/>
    <s v="CENTRO"/>
    <n v="23651"/>
    <s v="Cliente nuevo"/>
    <m/>
    <n v="1"/>
    <n v="0"/>
    <n v="0"/>
    <n v="0"/>
    <n v="0"/>
    <n v="0"/>
    <n v="0"/>
    <n v="735.44"/>
    <m/>
    <n v="735.44"/>
    <m/>
    <n v="1"/>
    <n v="735.44"/>
    <n v="0"/>
    <s v="Cliente nuevo"/>
    <s v="Ha pagado"/>
    <m/>
    <m/>
    <m/>
  </r>
  <r>
    <d v="2022-07-04T00:00:00"/>
    <x v="6"/>
    <s v="Yareli Flores"/>
    <s v="CENTRO"/>
    <n v="23652"/>
    <s v="Cliente nuevo"/>
    <m/>
    <n v="1"/>
    <n v="0"/>
    <n v="0"/>
    <n v="0"/>
    <n v="0"/>
    <n v="0"/>
    <n v="0"/>
    <n v="5162"/>
    <m/>
    <n v="5162"/>
    <m/>
    <n v="1"/>
    <n v="5162"/>
    <n v="0"/>
    <s v="Cliente nuevo"/>
    <s v="Ha pagado"/>
    <m/>
    <m/>
    <m/>
  </r>
  <r>
    <d v="2022-07-04T00:00:00"/>
    <x v="6"/>
    <s v="Genaro Castro"/>
    <s v="SUR"/>
    <n v="23653"/>
    <s v="Alta sin facturar"/>
    <m/>
    <n v="1"/>
    <n v="0"/>
    <n v="0"/>
    <n v="0"/>
    <n v="0"/>
    <n v="0"/>
    <n v="0"/>
    <n v="1015"/>
    <m/>
    <n v="1015"/>
    <n v="735.44"/>
    <n v="1"/>
    <n v="279.55999999999995"/>
    <n v="0.72457142857142864"/>
    <s v="Cliente nuevo"/>
    <s v="Ha pagado"/>
    <m/>
    <m/>
    <m/>
  </r>
  <r>
    <d v="2022-07-04T00:00:00"/>
    <x v="6"/>
    <s v="Genaro Castro"/>
    <s v="SUR"/>
    <n v="23654"/>
    <s v="Alta sin facturar"/>
    <m/>
    <n v="1"/>
    <n v="0"/>
    <n v="0"/>
    <n v="0"/>
    <n v="0"/>
    <n v="0"/>
    <n v="0"/>
    <n v="1564.84"/>
    <m/>
    <n v="1564.84"/>
    <n v="5162"/>
    <n v="1"/>
    <n v="-3597.16"/>
    <n v="3.2987398072646408"/>
    <s v="Cliente nuevo"/>
    <s v="Sin pago"/>
    <m/>
    <m/>
    <m/>
  </r>
  <r>
    <d v="2022-07-04T00:00:00"/>
    <x v="6"/>
    <s v="Miguel Ángel Romero"/>
    <s v="CENTRO"/>
    <n v="32655"/>
    <s v="Cliente nuevo"/>
    <m/>
    <n v="0"/>
    <n v="0"/>
    <n v="0"/>
    <n v="0"/>
    <n v="0"/>
    <n v="0"/>
    <n v="0"/>
    <n v="0"/>
    <m/>
    <n v="0"/>
    <n v="1015"/>
    <n v="0"/>
    <n v="-1015"/>
    <n v="0"/>
    <s v="Alta sin facturar"/>
    <s v="Sin pago"/>
    <m/>
    <m/>
    <m/>
  </r>
  <r>
    <d v="2022-07-04T00:00:00"/>
    <x v="6"/>
    <s v="Miguel Ángel Romero"/>
    <s v="CENTRO"/>
    <n v="23656"/>
    <s v="Alta sin facturar"/>
    <m/>
    <n v="0"/>
    <n v="0"/>
    <n v="0"/>
    <n v="0"/>
    <n v="0"/>
    <n v="0"/>
    <n v="0"/>
    <n v="0"/>
    <m/>
    <n v="0"/>
    <n v="1564.84"/>
    <n v="0"/>
    <n v="-1564.84"/>
    <n v="0"/>
    <s v="Alta sin facturar"/>
    <s v="Sin pago"/>
    <m/>
    <m/>
    <m/>
  </r>
  <r>
    <d v="2022-07-05T00:00:00"/>
    <x v="6"/>
    <s v="Ricardo Vidal"/>
    <s v="MAGALLANES"/>
    <n v="23657"/>
    <s v="Alta sin facturar"/>
    <m/>
    <n v="1"/>
    <n v="0"/>
    <n v="0"/>
    <n v="0"/>
    <n v="0"/>
    <n v="0"/>
    <n v="0"/>
    <n v="1366.48"/>
    <m/>
    <n v="1366.48"/>
    <m/>
    <n v="1"/>
    <n v="1366.48"/>
    <n v="0"/>
    <s v="Cliente nuevo"/>
    <s v="Ha pagado"/>
    <m/>
    <m/>
    <m/>
  </r>
  <r>
    <d v="2022-07-05T00:00:00"/>
    <x v="6"/>
    <s v="Genaro Castro"/>
    <s v="SUR"/>
    <n v="23658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5T00:00:00"/>
    <x v="6"/>
    <s v="Oscar Moreno"/>
    <s v="MAGALLANES"/>
    <n v="23659"/>
    <s v="Cliente nuevo"/>
    <m/>
    <n v="0"/>
    <n v="0"/>
    <n v="0"/>
    <n v="0"/>
    <n v="0"/>
    <n v="0"/>
    <n v="0"/>
    <n v="0"/>
    <m/>
    <n v="0"/>
    <n v="1366.48"/>
    <n v="0"/>
    <n v="-1366.48"/>
    <n v="0"/>
    <s v="Alta sin facturar"/>
    <s v="Sin pago"/>
    <m/>
    <m/>
    <m/>
  </r>
  <r>
    <d v="2022-07-05T00:00:00"/>
    <x v="6"/>
    <s v="Ricardo Vidal"/>
    <s v="MAGALLANES"/>
    <n v="23660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5T00:00:00"/>
    <x v="6"/>
    <s v="Leonar Lule"/>
    <s v="SUR"/>
    <n v="23661"/>
    <s v="Cliente nuevo"/>
    <m/>
    <n v="1"/>
    <n v="0"/>
    <n v="0"/>
    <n v="0"/>
    <n v="0"/>
    <n v="0"/>
    <n v="0"/>
    <n v="54260.160000000003"/>
    <m/>
    <n v="54260.160000000003"/>
    <m/>
    <n v="1"/>
    <n v="54260.160000000003"/>
    <n v="0"/>
    <s v="Cliente nuevo"/>
    <s v="Ha pagado"/>
    <m/>
    <m/>
    <m/>
  </r>
  <r>
    <d v="2022-07-07T00:00:00"/>
    <x v="6"/>
    <s v="Yareli Flores"/>
    <s v="CENTRO"/>
    <n v="23668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6T00:00:00"/>
    <x v="6"/>
    <s v="Alfredo Almaráz"/>
    <s v="MAGALLANES"/>
    <n v="23663"/>
    <s v="Cliente nuevo"/>
    <m/>
    <n v="1"/>
    <n v="0"/>
    <n v="0"/>
    <n v="0"/>
    <n v="0"/>
    <n v="0"/>
    <n v="0"/>
    <n v="2139.04"/>
    <m/>
    <n v="2139.04"/>
    <n v="27037.279999999999"/>
    <n v="1"/>
    <n v="-24898.239999999998"/>
    <n v="12.639913232104121"/>
    <s v="Cliente nuevo"/>
    <s v="Sin pago"/>
    <m/>
    <m/>
    <m/>
  </r>
  <r>
    <d v="2022-07-06T00:00:00"/>
    <x v="6"/>
    <s v="Alfredo Almaráz"/>
    <s v="MAGALLANES"/>
    <n v="23665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7T00:00:00"/>
    <x v="6"/>
    <s v="Miguel Ángel Romero"/>
    <s v="CENTRO"/>
    <n v="23666"/>
    <s v="Alta sin facturar"/>
    <m/>
    <n v="1"/>
    <n v="0"/>
    <n v="0"/>
    <n v="0"/>
    <n v="0"/>
    <n v="0"/>
    <n v="0"/>
    <n v="2394.2399999999998"/>
    <m/>
    <n v="2394.2399999999998"/>
    <n v="2139.04"/>
    <n v="1"/>
    <n v="255.19999999999982"/>
    <n v="0.89341085271317833"/>
    <s v="Cliente nuevo"/>
    <s v="Ha pagado"/>
    <m/>
    <m/>
    <m/>
  </r>
  <r>
    <d v="2022-07-07T00:00:00"/>
    <x v="6"/>
    <s v="Miguel Ángel Romero"/>
    <s v="CENTRO"/>
    <n v="23667"/>
    <s v="Cliente nuevo"/>
    <m/>
    <n v="1"/>
    <n v="0"/>
    <n v="0"/>
    <n v="0"/>
    <n v="0"/>
    <n v="0"/>
    <n v="0"/>
    <n v="3074"/>
    <m/>
    <n v="3074"/>
    <m/>
    <n v="1"/>
    <n v="3074"/>
    <n v="0"/>
    <s v="Cliente nuevo"/>
    <s v="Ha pagado"/>
    <m/>
    <m/>
    <m/>
  </r>
  <r>
    <d v="2022-07-07T00:00:00"/>
    <x v="6"/>
    <s v="Yareli Flores"/>
    <s v="CENTRO"/>
    <n v="23669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14T00:00:00"/>
    <x v="6"/>
    <s v="Yareli Flores"/>
    <s v="CENTRO"/>
    <n v="23689"/>
    <s v="Cliente nuevo"/>
    <m/>
    <n v="0"/>
    <n v="0"/>
    <n v="0"/>
    <n v="0"/>
    <n v="0"/>
    <n v="0"/>
    <n v="0"/>
    <n v="0"/>
    <m/>
    <n v="0"/>
    <n v="1912.84"/>
    <n v="0"/>
    <n v="-1912.84"/>
    <n v="0"/>
    <s v="Alta sin facturar"/>
    <s v="Sin pago"/>
    <m/>
    <m/>
    <m/>
  </r>
  <r>
    <d v="2022-07-07T00:00:00"/>
    <x v="6"/>
    <s v="Iván Luna"/>
    <s v="NORTE"/>
    <n v="23670"/>
    <s v="Alta sin facturar"/>
    <m/>
    <n v="1"/>
    <n v="0"/>
    <n v="0"/>
    <n v="0"/>
    <n v="0"/>
    <n v="0"/>
    <n v="0"/>
    <n v="2289.84"/>
    <m/>
    <n v="2289.84"/>
    <n v="754"/>
    <n v="1"/>
    <n v="1535.8400000000001"/>
    <n v="0.3292806484295846"/>
    <s v="Cliente nuevo"/>
    <s v="Ha pagado"/>
    <m/>
    <m/>
    <m/>
  </r>
  <r>
    <d v="2022-07-07T00:00:00"/>
    <x v="6"/>
    <s v="Rubí Rodríguez"/>
    <s v="CENTRO"/>
    <n v="23671"/>
    <s v="Cliente nuevo"/>
    <m/>
    <n v="1"/>
    <n v="0"/>
    <n v="0"/>
    <n v="0"/>
    <n v="0"/>
    <n v="0"/>
    <n v="0"/>
    <n v="110.2"/>
    <m/>
    <n v="110.2"/>
    <m/>
    <n v="1"/>
    <n v="110.2"/>
    <n v="0"/>
    <s v="Cliente nuevo"/>
    <s v="Ha pagado"/>
    <m/>
    <m/>
    <m/>
  </r>
  <r>
    <d v="2022-07-07T00:00:00"/>
    <x v="6"/>
    <s v="Marcos López"/>
    <s v="SUR"/>
    <n v="23672"/>
    <s v="Alta sin facturar"/>
    <m/>
    <n v="1"/>
    <n v="0"/>
    <n v="0"/>
    <n v="0"/>
    <n v="0"/>
    <n v="0"/>
    <n v="0"/>
    <n v="12502.479999999998"/>
    <m/>
    <n v="12502.479999999998"/>
    <m/>
    <n v="1"/>
    <n v="12502.479999999998"/>
    <n v="0"/>
    <s v="Cliente nuevo"/>
    <s v="Ha pagado"/>
    <m/>
    <m/>
    <m/>
  </r>
  <r>
    <d v="2022-07-21T00:00:00"/>
    <x v="6"/>
    <s v="Yareli Flores"/>
    <s v="CENTRO"/>
    <n v="23717"/>
    <s v="Alta sin facturar"/>
    <m/>
    <n v="0"/>
    <n v="0"/>
    <n v="0"/>
    <n v="0"/>
    <n v="0"/>
    <n v="0"/>
    <n v="0"/>
    <n v="0"/>
    <m/>
    <n v="0"/>
    <n v="2289.84"/>
    <n v="0"/>
    <n v="-2289.84"/>
    <n v="0"/>
    <s v="Alta sin facturar"/>
    <s v="Sin pago"/>
    <m/>
    <m/>
    <m/>
  </r>
  <r>
    <d v="2022-07-07T00:00:00"/>
    <x v="6"/>
    <s v="Iván Luna"/>
    <s v="NORTE"/>
    <n v="23674"/>
    <s v="Alta sin facturar"/>
    <m/>
    <n v="1"/>
    <n v="0"/>
    <n v="0"/>
    <n v="0"/>
    <n v="0"/>
    <n v="0"/>
    <n v="0"/>
    <n v="911.76"/>
    <m/>
    <n v="911.76"/>
    <n v="0"/>
    <n v="1"/>
    <n v="911.76"/>
    <n v="0"/>
    <s v="Cliente nuevo"/>
    <s v="Ha pagado"/>
    <m/>
    <m/>
    <m/>
  </r>
  <r>
    <d v="2022-07-07T00:00:00"/>
    <x v="6"/>
    <s v="Iván Luna"/>
    <s v="NORTE"/>
    <n v="23675"/>
    <s v="Alta sin facturar"/>
    <m/>
    <n v="0"/>
    <n v="0"/>
    <n v="0"/>
    <n v="0"/>
    <n v="0"/>
    <n v="0"/>
    <n v="0"/>
    <n v="0"/>
    <m/>
    <n v="0"/>
    <n v="5632.96"/>
    <n v="0"/>
    <n v="-5632.96"/>
    <n v="0"/>
    <s v="Alta sin facturar"/>
    <s v="Sin pago"/>
    <m/>
    <m/>
    <m/>
  </r>
  <r>
    <d v="2022-07-08T00:00:00"/>
    <x v="6"/>
    <s v="Iván Luna"/>
    <s v="NORTE"/>
    <n v="23676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8T00:00:00"/>
    <x v="6"/>
    <s v="Iván Luna"/>
    <s v="NORTE"/>
    <n v="23677"/>
    <s v="Cliente nuevo"/>
    <m/>
    <n v="0"/>
    <n v="0"/>
    <n v="0"/>
    <n v="0"/>
    <n v="0"/>
    <n v="0"/>
    <n v="0"/>
    <n v="0"/>
    <m/>
    <n v="0"/>
    <n v="911.76"/>
    <n v="0"/>
    <n v="-911.76"/>
    <n v="0"/>
    <s v="Alta sin facturar"/>
    <s v="Sin pago"/>
    <m/>
    <m/>
    <m/>
  </r>
  <r>
    <d v="2022-07-08T00:00:00"/>
    <x v="6"/>
    <s v="Iván Luna"/>
    <s v="NORTE"/>
    <n v="23678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8T00:00:00"/>
    <x v="6"/>
    <s v="Carlos Guerra"/>
    <s v="CENTRO"/>
    <n v="23679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8T00:00:00"/>
    <x v="6"/>
    <s v="Miguel Ángel Romero"/>
    <s v="CENTRO"/>
    <n v="23680"/>
    <s v="Alta sin facturar"/>
    <m/>
    <n v="1"/>
    <n v="0"/>
    <n v="0"/>
    <n v="0"/>
    <n v="0"/>
    <n v="0"/>
    <n v="0"/>
    <n v="700.64"/>
    <m/>
    <n v="700.64"/>
    <m/>
    <n v="1"/>
    <n v="700.64"/>
    <n v="0"/>
    <s v="Cliente nuevo"/>
    <s v="Ha pagado"/>
    <m/>
    <m/>
    <m/>
  </r>
  <r>
    <d v="2022-07-08T00:00:00"/>
    <x v="6"/>
    <s v="Julio César Trejo"/>
    <s v="NORTE"/>
    <n v="23681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11T00:00:00"/>
    <x v="6"/>
    <s v="Ricardo Vidal"/>
    <s v="MAGALLANES"/>
    <n v="23682"/>
    <s v="Alta sin facturar"/>
    <m/>
    <n v="1"/>
    <n v="0"/>
    <n v="0"/>
    <n v="0"/>
    <n v="0"/>
    <n v="0"/>
    <n v="0"/>
    <n v="366.56"/>
    <m/>
    <n v="366.56"/>
    <m/>
    <n v="1"/>
    <n v="366.56"/>
    <n v="0"/>
    <s v="Cliente nuevo"/>
    <s v="Ha pagado"/>
    <m/>
    <m/>
    <m/>
  </r>
  <r>
    <d v="2022-07-11T00:00:00"/>
    <x v="6"/>
    <s v="Roger Gómez"/>
    <s v="SUR"/>
    <n v="23683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7-13T00:00:00"/>
    <x v="6"/>
    <s v="Christian Castellanos"/>
    <s v="NORTE"/>
    <n v="23684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13T00:00:00"/>
    <x v="6"/>
    <s v="David Montañéz"/>
    <s v="CENTRO"/>
    <n v="23685"/>
    <s v="Alta sin facturar"/>
    <m/>
    <n v="0"/>
    <n v="0"/>
    <n v="0"/>
    <n v="0"/>
    <n v="0"/>
    <n v="0"/>
    <n v="0"/>
    <n v="0"/>
    <m/>
    <n v="0"/>
    <n v="366.56"/>
    <n v="0"/>
    <n v="-366.56"/>
    <n v="0"/>
    <s v="Alta sin facturar"/>
    <s v="Sin pago"/>
    <m/>
    <m/>
    <m/>
  </r>
  <r>
    <d v="2022-07-13T00:00:00"/>
    <x v="6"/>
    <s v="Iván Luna"/>
    <s v="NORTE"/>
    <n v="23686"/>
    <s v="Cliente nuevo"/>
    <m/>
    <n v="1"/>
    <n v="0"/>
    <n v="0"/>
    <n v="0"/>
    <n v="0"/>
    <n v="0"/>
    <n v="0"/>
    <n v="6501.8"/>
    <m/>
    <n v="6501.8"/>
    <m/>
    <n v="1"/>
    <n v="6501.8"/>
    <n v="0"/>
    <s v="Cliente nuevo"/>
    <s v="Ha pagado"/>
    <m/>
    <m/>
    <m/>
  </r>
  <r>
    <d v="2022-07-13T00:00:00"/>
    <x v="6"/>
    <s v="Ricardo Vidal"/>
    <s v="MAGALLANES"/>
    <n v="23687"/>
    <s v="Alta sin facturar"/>
    <m/>
    <n v="1"/>
    <n v="0"/>
    <n v="0"/>
    <n v="0"/>
    <n v="0"/>
    <n v="0"/>
    <n v="0"/>
    <n v="2596.0799999999995"/>
    <m/>
    <n v="2596.0799999999995"/>
    <m/>
    <n v="1"/>
    <n v="2596.0799999999995"/>
    <n v="0"/>
    <s v="Cliente nuevo"/>
    <s v="Ha pagado"/>
    <m/>
    <m/>
    <m/>
  </r>
  <r>
    <d v="2022-07-13T00:00:00"/>
    <x v="6"/>
    <s v="Noemí Castillo"/>
    <s v="NORTE"/>
    <n v="23688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6T00:00:00"/>
    <x v="6"/>
    <s v="Blanca Montoya"/>
    <s v="CENTRO"/>
    <n v="23662"/>
    <s v="Cliente nuevo"/>
    <m/>
    <n v="1"/>
    <n v="0"/>
    <n v="0"/>
    <n v="0"/>
    <n v="0"/>
    <n v="0"/>
    <n v="0"/>
    <n v="12094.16"/>
    <m/>
    <n v="12094.16"/>
    <n v="6501.8"/>
    <n v="1"/>
    <n v="5592.36"/>
    <n v="0.53759831191252638"/>
    <s v="Cliente nuevo"/>
    <s v="Ha pagado"/>
    <m/>
    <m/>
    <m/>
  </r>
  <r>
    <d v="2022-07-14T00:00:00"/>
    <x v="6"/>
    <s v="Julio César Trejo"/>
    <s v="NORTE"/>
    <n v="23690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7-14T00:00:00"/>
    <x v="6"/>
    <s v="Julio César Trejo"/>
    <s v="NORTE"/>
    <n v="23691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14T00:00:00"/>
    <x v="6"/>
    <s v="Rubí Rodríguez"/>
    <s v="CENTRO"/>
    <n v="23693"/>
    <s v="Cliente nuevo"/>
    <m/>
    <n v="1"/>
    <n v="0"/>
    <n v="0"/>
    <n v="0"/>
    <n v="0"/>
    <n v="0"/>
    <n v="0"/>
    <n v="4071.6"/>
    <m/>
    <n v="4071.6"/>
    <n v="12094.16"/>
    <n v="1"/>
    <n v="-8022.5599999999995"/>
    <n v="2.9703703703703703"/>
    <s v="Cliente nuevo"/>
    <s v="Sin pago"/>
    <m/>
    <m/>
    <m/>
  </r>
  <r>
    <d v="2022-07-15T00:00:00"/>
    <x v="6"/>
    <s v="Karla Ángeles"/>
    <s v="CENTRO"/>
    <n v="23694"/>
    <s v="Cliente nuevo"/>
    <m/>
    <n v="1"/>
    <n v="0"/>
    <n v="0"/>
    <n v="0"/>
    <n v="0"/>
    <n v="0"/>
    <n v="0"/>
    <n v="2547.3599999999997"/>
    <m/>
    <n v="2547.3599999999997"/>
    <m/>
    <n v="1"/>
    <n v="2547.3599999999997"/>
    <n v="0"/>
    <s v="Cliente nuevo"/>
    <s v="Ha pagado"/>
    <m/>
    <m/>
    <m/>
  </r>
  <r>
    <d v="2022-07-15T00:00:00"/>
    <x v="6"/>
    <s v="Diana Tejadilla"/>
    <s v="CENTRO"/>
    <n v="23695"/>
    <s v="Cliente nuevo"/>
    <m/>
    <n v="1"/>
    <n v="0"/>
    <n v="0"/>
    <n v="0"/>
    <n v="0"/>
    <n v="0"/>
    <n v="0"/>
    <n v="1492.92"/>
    <m/>
    <n v="1492.92"/>
    <m/>
    <n v="1"/>
    <n v="1492.92"/>
    <n v="0"/>
    <s v="Cliente nuevo"/>
    <s v="Ha pagado"/>
    <m/>
    <m/>
    <m/>
  </r>
  <r>
    <d v="2022-07-16T00:00:00"/>
    <x v="6"/>
    <s v="Leonar Lule"/>
    <s v="SUR"/>
    <n v="23696"/>
    <s v="Cliente nuevo"/>
    <m/>
    <n v="1"/>
    <n v="0"/>
    <n v="0"/>
    <n v="0"/>
    <n v="0"/>
    <n v="0"/>
    <n v="0"/>
    <n v="338.72"/>
    <m/>
    <n v="338.72"/>
    <n v="4071.6"/>
    <n v="1"/>
    <n v="-3732.88"/>
    <n v="12.020547945205479"/>
    <s v="Cliente nuevo"/>
    <s v="Sin pago"/>
    <m/>
    <m/>
    <m/>
  </r>
  <r>
    <d v="2022-07-16T00:00:00"/>
    <x v="6"/>
    <s v="Oscar Moreno"/>
    <s v="MAGALLANES"/>
    <n v="23697"/>
    <s v="Alta sin facturar"/>
    <m/>
    <n v="1"/>
    <n v="0"/>
    <n v="0"/>
    <n v="0"/>
    <n v="0"/>
    <n v="0"/>
    <n v="0"/>
    <n v="799.24"/>
    <m/>
    <n v="799.24"/>
    <n v="120.64"/>
    <n v="1"/>
    <n v="678.6"/>
    <n v="0.15094339622641509"/>
    <s v="Cliente nuevo"/>
    <s v="Ha pagado"/>
    <m/>
    <m/>
    <m/>
  </r>
  <r>
    <d v="2022-07-18T00:00:00"/>
    <x v="6"/>
    <s v="Karla Ángeles"/>
    <s v="CENTRO"/>
    <n v="23698"/>
    <s v="Alta sin facturar"/>
    <m/>
    <n v="1"/>
    <n v="0"/>
    <n v="0"/>
    <n v="0"/>
    <n v="0"/>
    <n v="0"/>
    <n v="0"/>
    <n v="1439.56"/>
    <m/>
    <n v="1439.56"/>
    <n v="1492.92"/>
    <n v="1"/>
    <n v="-53.360000000000127"/>
    <n v="1.0370668815471396"/>
    <s v="Cliente nuevo"/>
    <s v="Sin pago"/>
    <m/>
    <m/>
    <m/>
  </r>
  <r>
    <d v="2022-07-18T00:00:00"/>
    <x v="6"/>
    <s v="Diana Tejadilla"/>
    <s v="CENTRO"/>
    <n v="23699"/>
    <s v="Alta sin facturar"/>
    <m/>
    <n v="1"/>
    <n v="0"/>
    <n v="0"/>
    <n v="0"/>
    <n v="0"/>
    <n v="0"/>
    <n v="0"/>
    <n v="2088"/>
    <m/>
    <n v="2088"/>
    <n v="0"/>
    <n v="1"/>
    <n v="2088"/>
    <n v="0"/>
    <s v="Cliente nuevo"/>
    <s v="Ha pagado"/>
    <m/>
    <m/>
    <m/>
  </r>
  <r>
    <d v="2022-07-18T00:00:00"/>
    <x v="6"/>
    <s v="Iván Luna"/>
    <s v="NORTE"/>
    <n v="23700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7-18T00:00:00"/>
    <x v="6"/>
    <s v="Miguel Ángel Romero"/>
    <s v="CENTRO"/>
    <n v="23701"/>
    <s v="Cliente nuevo"/>
    <m/>
    <n v="0"/>
    <n v="0"/>
    <n v="0"/>
    <n v="0"/>
    <n v="0"/>
    <n v="0"/>
    <n v="0"/>
    <n v="0"/>
    <m/>
    <n v="0"/>
    <n v="0"/>
    <n v="0"/>
    <n v="0"/>
    <n v="0"/>
    <s v="Alta sin facturar"/>
    <s v="Sin pago"/>
    <m/>
    <m/>
    <m/>
  </r>
  <r>
    <d v="2022-07-18T00:00:00"/>
    <x v="6"/>
    <s v="Miguel Ángel Romero"/>
    <s v="CENTRO"/>
    <n v="23702"/>
    <s v="Cliente nuevo"/>
    <m/>
    <n v="0"/>
    <n v="0"/>
    <n v="0"/>
    <n v="0"/>
    <n v="0"/>
    <n v="0"/>
    <n v="0"/>
    <n v="0"/>
    <m/>
    <n v="0"/>
    <n v="2088"/>
    <n v="0"/>
    <n v="-2088"/>
    <n v="0"/>
    <s v="Alta sin facturar"/>
    <s v="Sin pago"/>
    <m/>
    <m/>
    <m/>
  </r>
  <r>
    <d v="2022-07-18T00:00:00"/>
    <x v="6"/>
    <s v="Diana Tejadilla"/>
    <s v="CENTRO"/>
    <n v="23703"/>
    <s v="Alta sin facturar"/>
    <m/>
    <n v="1"/>
    <n v="0"/>
    <n v="0"/>
    <n v="0"/>
    <n v="0"/>
    <n v="0"/>
    <n v="0"/>
    <n v="3138.96"/>
    <m/>
    <n v="3138.96"/>
    <m/>
    <n v="1"/>
    <n v="3138.96"/>
    <n v="0"/>
    <s v="Cliente nuevo"/>
    <s v="Ha pagado"/>
    <m/>
    <m/>
    <m/>
  </r>
  <r>
    <d v="2022-07-19T00:00:00"/>
    <x v="6"/>
    <s v="Oscar Moreno"/>
    <s v="MAGALLANES"/>
    <n v="23704"/>
    <s v="Alta sin facturar"/>
    <m/>
    <n v="1"/>
    <n v="0"/>
    <n v="0"/>
    <n v="0"/>
    <n v="0"/>
    <n v="0"/>
    <n v="0"/>
    <n v="281.88"/>
    <m/>
    <n v="281.88"/>
    <m/>
    <n v="1"/>
    <n v="281.88"/>
    <n v="0"/>
    <s v="Cliente nuevo"/>
    <s v="Ha pagado"/>
    <m/>
    <m/>
    <m/>
  </r>
  <r>
    <d v="2022-07-19T00:00:00"/>
    <x v="6"/>
    <s v="Alfredo Almaráz"/>
    <s v="MAGALLANES"/>
    <n v="23705"/>
    <s v="Cliente nuevo"/>
    <m/>
    <n v="1"/>
    <n v="0"/>
    <n v="0"/>
    <n v="0"/>
    <n v="0"/>
    <n v="0"/>
    <n v="0"/>
    <n v="883.92"/>
    <m/>
    <n v="883.92"/>
    <m/>
    <n v="1"/>
    <n v="883.92"/>
    <n v="0"/>
    <s v="Cliente nuevo"/>
    <s v="Ha pagado"/>
    <m/>
    <m/>
    <m/>
  </r>
  <r>
    <d v="2022-07-19T00:00:00"/>
    <x v="6"/>
    <s v="Miguel Ángel Romero"/>
    <s v="CENTRO"/>
    <n v="23706"/>
    <s v="Cliente nuevo"/>
    <m/>
    <n v="0"/>
    <n v="0"/>
    <n v="0"/>
    <n v="0"/>
    <n v="0"/>
    <n v="0"/>
    <n v="0"/>
    <n v="0"/>
    <m/>
    <n v="0"/>
    <n v="3138.96"/>
    <n v="0"/>
    <n v="-3138.96"/>
    <n v="0"/>
    <s v="Alta sin facturar"/>
    <s v="Sin pago"/>
    <m/>
    <m/>
    <m/>
  </r>
  <r>
    <d v="2022-07-19T00:00:00"/>
    <x v="6"/>
    <s v="Miguel Ángel Romero"/>
    <s v="CENTRO"/>
    <n v="23707"/>
    <s v="Cliente nuevo"/>
    <m/>
    <n v="0"/>
    <n v="0"/>
    <n v="0"/>
    <n v="0"/>
    <n v="0"/>
    <n v="0"/>
    <n v="0"/>
    <n v="0"/>
    <m/>
    <n v="0"/>
    <n v="281.88"/>
    <n v="0"/>
    <n v="-281.88"/>
    <n v="0"/>
    <s v="Alta sin facturar"/>
    <s v="Sin pago"/>
    <m/>
    <m/>
    <m/>
  </r>
  <r>
    <d v="2022-07-19T00:00:00"/>
    <x v="6"/>
    <s v="Ricardo Vidal"/>
    <s v="MAGALLANES"/>
    <n v="23708"/>
    <s v="Cliente nuevo"/>
    <m/>
    <n v="1"/>
    <n v="0"/>
    <n v="0"/>
    <n v="0"/>
    <n v="0"/>
    <n v="0"/>
    <n v="0"/>
    <n v="290"/>
    <m/>
    <n v="290"/>
    <n v="883.92"/>
    <n v="1"/>
    <n v="-593.91999999999996"/>
    <n v="3.048"/>
    <s v="Cliente nuevo"/>
    <s v="Sin pago"/>
    <m/>
    <m/>
    <m/>
  </r>
  <r>
    <d v="2022-07-20T00:00:00"/>
    <x v="6"/>
    <s v="Marcos López"/>
    <s v="SUR"/>
    <n v="23709"/>
    <s v="Alta sin facturar"/>
    <m/>
    <n v="1"/>
    <n v="0"/>
    <n v="0"/>
    <n v="0"/>
    <n v="0"/>
    <n v="0"/>
    <n v="0"/>
    <n v="215.76"/>
    <m/>
    <n v="215.76"/>
    <m/>
    <n v="1"/>
    <n v="215.76"/>
    <n v="0"/>
    <s v="Cliente nuevo"/>
    <s v="Ha pagado"/>
    <m/>
    <m/>
    <m/>
  </r>
  <r>
    <d v="2022-07-20T00:00:00"/>
    <x v="6"/>
    <s v="Rubí Rodríguez"/>
    <s v="CENTRO"/>
    <n v="23710"/>
    <s v="Cliente nuevo"/>
    <m/>
    <n v="1"/>
    <n v="0"/>
    <n v="0"/>
    <n v="0"/>
    <n v="0"/>
    <n v="0"/>
    <n v="0"/>
    <n v="226.2"/>
    <m/>
    <n v="226.2"/>
    <m/>
    <n v="1"/>
    <n v="226.2"/>
    <n v="0"/>
    <s v="Cliente nuevo"/>
    <s v="Ha pagado"/>
    <m/>
    <m/>
    <m/>
  </r>
  <r>
    <d v="2022-07-20T00:00:00"/>
    <x v="6"/>
    <s v="Diana Tejadilla"/>
    <s v="CENTRO"/>
    <n v="23711"/>
    <s v="Alta sin facturar"/>
    <m/>
    <n v="1"/>
    <n v="0"/>
    <n v="0"/>
    <n v="0"/>
    <n v="0"/>
    <n v="0"/>
    <n v="0"/>
    <n v="752.84"/>
    <m/>
    <n v="752.84"/>
    <n v="0"/>
    <n v="1"/>
    <n v="752.84"/>
    <n v="0"/>
    <s v="Cliente nuevo"/>
    <s v="Ha pagado"/>
    <m/>
    <m/>
    <m/>
  </r>
  <r>
    <d v="2022-07-21T00:00:00"/>
    <x v="6"/>
    <s v="Ricardo Vidal"/>
    <s v="MAGALLANES"/>
    <n v="23712"/>
    <s v="Alta sin facturar"/>
    <m/>
    <n v="0"/>
    <n v="0"/>
    <n v="0"/>
    <n v="0"/>
    <n v="0"/>
    <n v="0"/>
    <n v="0"/>
    <n v="0"/>
    <m/>
    <n v="0"/>
    <n v="215.76"/>
    <n v="0"/>
    <n v="-215.76"/>
    <n v="0"/>
    <s v="Alta sin facturar"/>
    <s v="Sin pago"/>
    <m/>
    <m/>
    <m/>
  </r>
  <r>
    <d v="2022-07-21T00:00:00"/>
    <x v="6"/>
    <s v="Rubí Rodríguez"/>
    <s v="CENTRO"/>
    <n v="23713"/>
    <s v="Cliente nuevo"/>
    <m/>
    <n v="1"/>
    <n v="0"/>
    <n v="0"/>
    <n v="0"/>
    <n v="0"/>
    <n v="0"/>
    <n v="0"/>
    <n v="2417.44"/>
    <m/>
    <n v="2417.44"/>
    <n v="226.2"/>
    <n v="1"/>
    <n v="2191.2400000000002"/>
    <n v="9.3570057581573884E-2"/>
    <s v="Cliente nuevo"/>
    <s v="Ha pagado"/>
    <m/>
    <m/>
    <m/>
  </r>
  <r>
    <d v="2022-07-21T00:00:00"/>
    <x v="6"/>
    <s v="Leonar Lule"/>
    <s v="SUR"/>
    <n v="23714"/>
    <s v="Alta sin facturar"/>
    <m/>
    <n v="0"/>
    <n v="0"/>
    <n v="0"/>
    <n v="0"/>
    <n v="0"/>
    <n v="0"/>
    <n v="0"/>
    <n v="0"/>
    <m/>
    <n v="0"/>
    <n v="752.84"/>
    <n v="0"/>
    <n v="-752.84"/>
    <n v="0"/>
    <s v="Alta sin facturar"/>
    <s v="Sin pago"/>
    <m/>
    <m/>
    <m/>
  </r>
  <r>
    <d v="2022-07-21T00:00:00"/>
    <x v="6"/>
    <s v="Christian Castellanos"/>
    <s v="NORTE"/>
    <n v="23716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07T00:00:00"/>
    <x v="6"/>
    <s v="Blanca Montoya"/>
    <s v="CENTRO"/>
    <n v="23673"/>
    <s v="Cliente nuevo"/>
    <m/>
    <n v="1"/>
    <n v="0"/>
    <n v="0"/>
    <n v="0"/>
    <n v="0"/>
    <n v="0"/>
    <n v="0"/>
    <n v="13746"/>
    <m/>
    <n v="13746"/>
    <n v="2417.44"/>
    <n v="1"/>
    <n v="11328.56"/>
    <n v="0.17586497890295358"/>
    <s v="Cliente nuevo"/>
    <s v="Ha pagado"/>
    <m/>
    <m/>
    <m/>
  </r>
  <r>
    <d v="2022-07-22T00:00:00"/>
    <x v="6"/>
    <s v="Ricardo Vidal"/>
    <s v="MAGALLANES"/>
    <n v="23718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2T00:00:00"/>
    <x v="6"/>
    <s v="Ricardo Vidal"/>
    <s v="MAGALLANES"/>
    <n v="23719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2T00:00:00"/>
    <x v="6"/>
    <s v="Alfredo Almaráz"/>
    <s v="MAGALLANES"/>
    <n v="23720"/>
    <s v="Alta sin facturar"/>
    <m/>
    <n v="1"/>
    <n v="0"/>
    <n v="0"/>
    <n v="0"/>
    <n v="0"/>
    <n v="0"/>
    <n v="0"/>
    <n v="648.44000000000005"/>
    <m/>
    <n v="648.44000000000005"/>
    <n v="13746"/>
    <n v="1"/>
    <n v="-13097.56"/>
    <n v="21.198568872987476"/>
    <s v="Cliente nuevo"/>
    <s v="Sin pago"/>
    <m/>
    <m/>
    <m/>
  </r>
  <r>
    <d v="2022-07-23T00:00:00"/>
    <x v="6"/>
    <s v="David Montañéz"/>
    <s v="CENTRO"/>
    <n v="23721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5T00:00:00"/>
    <x v="6"/>
    <s v="Ricardo Vidal"/>
    <s v="MAGALLANES"/>
    <n v="23722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5T00:00:00"/>
    <x v="6"/>
    <s v="Miguel Ángel Romero"/>
    <s v="CENTRO"/>
    <n v="23723"/>
    <s v="Alta sin facturar"/>
    <m/>
    <n v="0"/>
    <n v="0"/>
    <n v="0"/>
    <n v="0"/>
    <n v="0"/>
    <n v="0"/>
    <n v="0"/>
    <n v="0"/>
    <m/>
    <n v="0"/>
    <n v="648.44000000000005"/>
    <n v="0"/>
    <n v="-648.44000000000005"/>
    <n v="0"/>
    <s v="Alta sin facturar"/>
    <s v="Sin pago"/>
    <m/>
    <m/>
    <m/>
  </r>
  <r>
    <d v="2022-07-25T00:00:00"/>
    <x v="6"/>
    <s v="Miguel Ángel Romero"/>
    <s v="CENTRO"/>
    <n v="23724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6T00:00:00"/>
    <x v="6"/>
    <s v="Oscar Moreno"/>
    <s v="MAGALLANES"/>
    <n v="23725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6T00:00:00"/>
    <x v="6"/>
    <s v="Antonio Salazar"/>
    <s v="NORTE"/>
    <n v="23726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6T00:00:00"/>
    <x v="6"/>
    <s v="Genaro Castro"/>
    <s v="SUR"/>
    <n v="23727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8T00:00:00"/>
    <x v="6"/>
    <s v="David Montañéz"/>
    <s v="CENTRO"/>
    <n v="23728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9T00:00:00"/>
    <x v="6"/>
    <s v="Ricardo Vidal"/>
    <s v="MAGALLANES"/>
    <n v="23729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9T00:00:00"/>
    <x v="6"/>
    <s v="David Montañéz"/>
    <s v="CENTRO"/>
    <n v="23730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29T00:00:00"/>
    <x v="6"/>
    <s v="Roger Gómez"/>
    <s v="SUR"/>
    <n v="23731"/>
    <s v="Cliente nuevo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30T00:00:00"/>
    <x v="6"/>
    <s v="Dolores Jiménez"/>
    <s v="NORTE"/>
    <n v="23732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7-30T00:00:00"/>
    <x v="6"/>
    <s v="Antonio Salazar"/>
    <s v="NORTE"/>
    <n v="23733"/>
    <s v="Alta sin facturar"/>
    <m/>
    <n v="0"/>
    <n v="0"/>
    <n v="0"/>
    <n v="0"/>
    <n v="0"/>
    <n v="0"/>
    <n v="0"/>
    <n v="0"/>
    <m/>
    <n v="0"/>
    <m/>
    <n v="0"/>
    <n v="0"/>
    <n v="0"/>
    <s v="Alta sin facturar"/>
    <s v="Sin pago"/>
    <m/>
    <m/>
    <m/>
  </r>
  <r>
    <d v="2022-08-01T00:00:00"/>
    <x v="7"/>
    <s v="Pedro"/>
    <e v="#N/A"/>
    <n v="11111"/>
    <s v="Cliente nuevo"/>
    <m/>
    <n v="1"/>
    <n v="0"/>
    <n v="0"/>
    <n v="0"/>
    <n v="0"/>
    <n v="0"/>
    <n v="0"/>
    <n v="7"/>
    <n v="1"/>
    <n v="7"/>
    <m/>
    <n v="1"/>
    <n v="7"/>
    <n v="0"/>
    <s v="Cliente nuevo"/>
    <s v="Ha pagado"/>
    <m/>
    <m/>
    <m/>
  </r>
  <r>
    <m/>
    <x v="8"/>
    <m/>
    <m/>
    <m/>
    <m/>
    <m/>
    <m/>
    <m/>
    <m/>
    <m/>
    <m/>
    <m/>
    <m/>
    <m/>
    <m/>
    <m/>
    <m/>
    <m/>
    <m/>
    <m/>
    <m/>
    <m/>
    <m/>
    <m/>
    <m/>
  </r>
  <r>
    <m/>
    <x v="8"/>
    <m/>
    <m/>
    <m/>
    <m/>
    <m/>
    <m/>
    <m/>
    <m/>
    <m/>
    <m/>
    <m/>
    <m/>
    <m/>
    <m/>
    <m/>
    <m/>
    <m/>
    <m/>
    <m/>
    <m/>
    <m/>
    <m/>
    <m/>
    <m/>
  </r>
  <r>
    <m/>
    <x v="8"/>
    <m/>
    <m/>
    <m/>
    <m/>
    <m/>
    <m/>
    <m/>
    <m/>
    <m/>
    <m/>
    <m/>
    <m/>
    <m/>
    <m/>
    <m/>
    <m/>
    <m/>
    <m/>
    <m/>
    <m/>
    <m/>
    <m/>
    <m/>
    <m/>
  </r>
  <r>
    <m/>
    <x v="8"/>
    <m/>
    <m/>
    <m/>
    <m/>
    <m/>
    <m/>
    <m/>
    <m/>
    <m/>
    <m/>
    <m/>
    <m/>
    <m/>
    <m/>
    <m/>
    <m/>
    <m/>
    <m/>
    <m/>
    <m/>
    <m/>
    <m/>
    <m/>
    <m/>
  </r>
  <r>
    <m/>
    <x v="8"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6">
  <r>
    <d v="2022-01-03T00:00:00"/>
    <x v="0"/>
    <x v="0"/>
    <x v="0"/>
    <n v="23080"/>
    <x v="0"/>
    <m/>
    <n v="0"/>
    <n v="0"/>
    <n v="0"/>
    <n v="0"/>
    <n v="0"/>
    <n v="0"/>
    <n v="0"/>
    <n v="0"/>
    <n v="0"/>
    <n v="0"/>
  </r>
  <r>
    <d v="2022-01-03T00:00:00"/>
    <x v="0"/>
    <x v="1"/>
    <x v="0"/>
    <n v="23081"/>
    <x v="1"/>
    <m/>
    <n v="8"/>
    <n v="5336"/>
    <n v="5744.3200000000024"/>
    <n v="9239.4000000000015"/>
    <n v="8745.2400000000034"/>
    <n v="6961.16"/>
    <n v="8067.8"/>
    <n v="9052.64"/>
    <n v="8302.1199999999953"/>
    <n v="61448.680000000008"/>
  </r>
  <r>
    <d v="2022-01-03T00:00:00"/>
    <x v="0"/>
    <x v="1"/>
    <x v="0"/>
    <n v="23082"/>
    <x v="0"/>
    <m/>
    <n v="0"/>
    <n v="0"/>
    <n v="0"/>
    <n v="0"/>
    <n v="0"/>
    <n v="0"/>
    <n v="0"/>
    <n v="0"/>
    <n v="0"/>
    <n v="0"/>
  </r>
  <r>
    <d v="2022-01-04T00:00:00"/>
    <x v="0"/>
    <x v="2"/>
    <x v="1"/>
    <n v="23083"/>
    <x v="2"/>
    <m/>
    <n v="2"/>
    <n v="0"/>
    <n v="0"/>
    <n v="0"/>
    <n v="0"/>
    <n v="0"/>
    <n v="690.2"/>
    <n v="0"/>
    <n v="1372.2799999999997"/>
    <n v="2062.4799999999996"/>
  </r>
  <r>
    <d v="2022-01-04T00:00:00"/>
    <x v="0"/>
    <x v="3"/>
    <x v="0"/>
    <n v="23084"/>
    <x v="2"/>
    <m/>
    <n v="2"/>
    <n v="0"/>
    <n v="0"/>
    <n v="0"/>
    <n v="0"/>
    <n v="0"/>
    <n v="9320.6"/>
    <n v="0"/>
    <n v="221.55999999999997"/>
    <n v="9542.16"/>
  </r>
  <r>
    <d v="2022-01-04T00:00:00"/>
    <x v="0"/>
    <x v="4"/>
    <x v="0"/>
    <n v="23085"/>
    <x v="0"/>
    <m/>
    <n v="0"/>
    <n v="0"/>
    <n v="0"/>
    <n v="0"/>
    <n v="0"/>
    <n v="0"/>
    <n v="0"/>
    <n v="0"/>
    <n v="0"/>
    <n v="0"/>
  </r>
  <r>
    <d v="2022-01-06T00:00:00"/>
    <x v="0"/>
    <x v="5"/>
    <x v="0"/>
    <n v="23086"/>
    <x v="1"/>
    <m/>
    <n v="4"/>
    <n v="2.3199999999999998"/>
    <n v="0"/>
    <n v="0"/>
    <n v="0"/>
    <n v="290"/>
    <n v="21460"/>
    <n v="870"/>
    <n v="0"/>
    <n v="22622.32"/>
  </r>
  <r>
    <d v="2022-01-06T00:00:00"/>
    <x v="0"/>
    <x v="4"/>
    <x v="0"/>
    <n v="23087"/>
    <x v="1"/>
    <m/>
    <n v="5"/>
    <n v="1624"/>
    <n v="0"/>
    <n v="0"/>
    <n v="869.99999999999989"/>
    <n v="0"/>
    <n v="5684"/>
    <n v="869.99999999999989"/>
    <n v="1392"/>
    <n v="10440"/>
  </r>
  <r>
    <d v="2022-01-06T00:00:00"/>
    <x v="0"/>
    <x v="6"/>
    <x v="1"/>
    <n v="23088"/>
    <x v="0"/>
    <m/>
    <n v="0"/>
    <n v="0"/>
    <n v="0"/>
    <n v="0"/>
    <n v="0"/>
    <n v="0"/>
    <n v="0"/>
    <n v="0"/>
    <n v="0"/>
    <n v="0"/>
  </r>
  <r>
    <d v="2022-01-06T00:00:00"/>
    <x v="0"/>
    <x v="2"/>
    <x v="1"/>
    <n v="23089"/>
    <x v="2"/>
    <m/>
    <n v="2"/>
    <n v="0"/>
    <n v="0"/>
    <n v="0"/>
    <n v="0"/>
    <n v="0"/>
    <n v="2304.92"/>
    <n v="0"/>
    <n v="1083.44"/>
    <n v="3388.36"/>
  </r>
  <r>
    <d v="2022-01-06T00:00:00"/>
    <x v="0"/>
    <x v="7"/>
    <x v="0"/>
    <n v="23090"/>
    <x v="0"/>
    <m/>
    <n v="0"/>
    <n v="0"/>
    <n v="0"/>
    <n v="0"/>
    <n v="0"/>
    <n v="0"/>
    <n v="0"/>
    <n v="0"/>
    <n v="0"/>
    <n v="0"/>
  </r>
  <r>
    <d v="2022-01-06T00:00:00"/>
    <x v="0"/>
    <x v="4"/>
    <x v="0"/>
    <n v="23091"/>
    <x v="1"/>
    <m/>
    <n v="3"/>
    <n v="0"/>
    <n v="0"/>
    <n v="747.04"/>
    <n v="174"/>
    <n v="0"/>
    <n v="1624"/>
    <n v="0"/>
    <n v="0"/>
    <n v="2545.04"/>
  </r>
  <r>
    <d v="2022-01-06T00:00:00"/>
    <x v="0"/>
    <x v="8"/>
    <x v="2"/>
    <n v="23092"/>
    <x v="1"/>
    <m/>
    <n v="8"/>
    <n v="205253.88000000006"/>
    <n v="380995.04000000091"/>
    <n v="335546.24000000028"/>
    <n v="351265.4000000009"/>
    <n v="292277.0799999999"/>
    <n v="453933.52"/>
    <n v="387232.36000000197"/>
    <n v="313720.83999999997"/>
    <n v="2720224.3600000041"/>
  </r>
  <r>
    <d v="2022-01-06T00:00:00"/>
    <x v="0"/>
    <x v="9"/>
    <x v="2"/>
    <n v="23093"/>
    <x v="0"/>
    <m/>
    <n v="0"/>
    <n v="0"/>
    <n v="0"/>
    <n v="0"/>
    <n v="0"/>
    <n v="0"/>
    <n v="0"/>
    <n v="0"/>
    <n v="0"/>
    <n v="0"/>
  </r>
  <r>
    <d v="2022-01-07T00:00:00"/>
    <x v="0"/>
    <x v="3"/>
    <x v="0"/>
    <n v="23094"/>
    <x v="1"/>
    <m/>
    <n v="3"/>
    <n v="0"/>
    <n v="0"/>
    <n v="5800"/>
    <n v="11600"/>
    <n v="0"/>
    <n v="262392"/>
    <n v="0"/>
    <n v="0"/>
    <n v="279792"/>
  </r>
  <r>
    <d v="2022-01-07T00:00:00"/>
    <x v="0"/>
    <x v="10"/>
    <x v="0"/>
    <n v="23095"/>
    <x v="1"/>
    <m/>
    <n v="3"/>
    <n v="534.76"/>
    <n v="869.99999999999989"/>
    <n v="0"/>
    <n v="0"/>
    <n v="0"/>
    <n v="1102"/>
    <n v="0"/>
    <n v="0"/>
    <n v="2506.7599999999998"/>
  </r>
  <r>
    <d v="2022-01-08T00:00:00"/>
    <x v="0"/>
    <x v="5"/>
    <x v="0"/>
    <n v="23096"/>
    <x v="0"/>
    <m/>
    <n v="0"/>
    <n v="0"/>
    <n v="0"/>
    <n v="0"/>
    <n v="0"/>
    <n v="0"/>
    <n v="0"/>
    <n v="0"/>
    <n v="0"/>
    <n v="0"/>
  </r>
  <r>
    <d v="2022-01-08T00:00:00"/>
    <x v="0"/>
    <x v="11"/>
    <x v="3"/>
    <n v="23097"/>
    <x v="0"/>
    <m/>
    <n v="0"/>
    <n v="0"/>
    <n v="0"/>
    <n v="0"/>
    <n v="0"/>
    <n v="0"/>
    <n v="0"/>
    <n v="0"/>
    <n v="0"/>
    <n v="0"/>
  </r>
  <r>
    <d v="2022-01-08T00:00:00"/>
    <x v="0"/>
    <x v="11"/>
    <x v="3"/>
    <n v="23098"/>
    <x v="0"/>
    <m/>
    <n v="0"/>
    <n v="0"/>
    <n v="0"/>
    <n v="0"/>
    <n v="0"/>
    <n v="0"/>
    <n v="0"/>
    <n v="0"/>
    <n v="0"/>
    <n v="0"/>
  </r>
  <r>
    <d v="2022-01-08T00:00:00"/>
    <x v="0"/>
    <x v="11"/>
    <x v="3"/>
    <n v="23099"/>
    <x v="1"/>
    <m/>
    <n v="6"/>
    <n v="0"/>
    <n v="348"/>
    <n v="0"/>
    <n v="696"/>
    <n v="115.99999999999999"/>
    <n v="395.56"/>
    <n v="627.55999999999995"/>
    <n v="4127.28"/>
    <n v="6310.4"/>
  </r>
  <r>
    <d v="2022-01-10T00:00:00"/>
    <x v="0"/>
    <x v="5"/>
    <x v="0"/>
    <n v="23100"/>
    <x v="0"/>
    <m/>
    <n v="0"/>
    <n v="0"/>
    <n v="0"/>
    <n v="0"/>
    <n v="0"/>
    <n v="0"/>
    <n v="0"/>
    <n v="0"/>
    <n v="0"/>
    <n v="0"/>
  </r>
  <r>
    <d v="2022-01-10T00:00:00"/>
    <x v="0"/>
    <x v="5"/>
    <x v="0"/>
    <n v="23101"/>
    <x v="0"/>
    <m/>
    <n v="0"/>
    <n v="0"/>
    <n v="0"/>
    <n v="0"/>
    <n v="0"/>
    <n v="0"/>
    <n v="0"/>
    <n v="0"/>
    <n v="0"/>
    <n v="0"/>
  </r>
  <r>
    <d v="2022-01-10T00:00:00"/>
    <x v="0"/>
    <x v="1"/>
    <x v="0"/>
    <n v="23102"/>
    <x v="1"/>
    <m/>
    <n v="7"/>
    <n v="725"/>
    <n v="0"/>
    <n v="3528.7200000000003"/>
    <n v="5274.5199999999986"/>
    <n v="2395.3999999999996"/>
    <n v="1633.2800000000002"/>
    <n v="5761.7199999999984"/>
    <n v="7464.6"/>
    <n v="26783.239999999998"/>
  </r>
  <r>
    <d v="2022-01-10T00:00:00"/>
    <x v="0"/>
    <x v="1"/>
    <x v="0"/>
    <n v="23103"/>
    <x v="1"/>
    <m/>
    <n v="4"/>
    <n v="0"/>
    <n v="0"/>
    <n v="812"/>
    <n v="0"/>
    <n v="0"/>
    <n v="9686"/>
    <n v="1739.9999999999998"/>
    <n v="1739.9999999999998"/>
    <n v="13978"/>
  </r>
  <r>
    <d v="2022-01-10T00:00:00"/>
    <x v="0"/>
    <x v="9"/>
    <x v="2"/>
    <n v="23104"/>
    <x v="1"/>
    <m/>
    <n v="6"/>
    <n v="0"/>
    <n v="1252.8"/>
    <n v="0"/>
    <n v="3949.7999999999988"/>
    <n v="7078.3200000000024"/>
    <n v="3289.76"/>
    <n v="2485.88"/>
    <n v="3384.88"/>
    <n v="21441.440000000002"/>
  </r>
  <r>
    <d v="2022-01-11T00:00:00"/>
    <x v="0"/>
    <x v="12"/>
    <x v="0"/>
    <n v="23105"/>
    <x v="2"/>
    <m/>
    <n v="2"/>
    <n v="0"/>
    <n v="0"/>
    <n v="0"/>
    <n v="580"/>
    <n v="0"/>
    <n v="580"/>
    <n v="0"/>
    <n v="0"/>
    <n v="1160"/>
  </r>
  <r>
    <d v="2022-01-11T00:00:00"/>
    <x v="0"/>
    <x v="5"/>
    <x v="0"/>
    <n v="23106"/>
    <x v="0"/>
    <m/>
    <n v="0"/>
    <n v="0"/>
    <n v="0"/>
    <n v="0"/>
    <n v="0"/>
    <n v="0"/>
    <n v="0"/>
    <n v="0"/>
    <n v="0"/>
    <n v="0"/>
  </r>
  <r>
    <d v="2022-01-11T00:00:00"/>
    <x v="0"/>
    <x v="13"/>
    <x v="2"/>
    <n v="23107"/>
    <x v="1"/>
    <m/>
    <n v="8"/>
    <n v="34333.680000000008"/>
    <n v="22338.120000000017"/>
    <n v="34126.040000000008"/>
    <n v="26899.240000000013"/>
    <n v="17278.200000000004"/>
    <n v="46328.08"/>
    <n v="24364.64000000001"/>
    <n v="22100.320000000018"/>
    <n v="227768.32000000007"/>
  </r>
  <r>
    <d v="2022-01-11T00:00:00"/>
    <x v="0"/>
    <x v="5"/>
    <x v="0"/>
    <n v="23108"/>
    <x v="1"/>
    <m/>
    <n v="7"/>
    <n v="0"/>
    <n v="2148.3199999999997"/>
    <n v="1717.96"/>
    <n v="909.43999999999983"/>
    <n v="1039.3599999999999"/>
    <n v="6173.5199999999995"/>
    <n v="1209.8799999999999"/>
    <n v="2263.16"/>
    <n v="15461.639999999998"/>
  </r>
  <r>
    <d v="2022-01-12T00:00:00"/>
    <x v="0"/>
    <x v="2"/>
    <x v="1"/>
    <n v="23109"/>
    <x v="2"/>
    <m/>
    <n v="2"/>
    <n v="0"/>
    <n v="0"/>
    <n v="0"/>
    <n v="0"/>
    <n v="0"/>
    <n v="546.36"/>
    <n v="0"/>
    <n v="222.71999999999997"/>
    <n v="769.07999999999993"/>
  </r>
  <r>
    <d v="2022-01-12T00:00:00"/>
    <x v="0"/>
    <x v="14"/>
    <x v="0"/>
    <n v="23110"/>
    <x v="1"/>
    <m/>
    <n v="6"/>
    <n v="487.2"/>
    <n v="629.87999999999988"/>
    <n v="1485.9599999999998"/>
    <n v="434.99999999999994"/>
    <n v="403.67999999999995"/>
    <n v="351.48"/>
    <n v="0"/>
    <n v="0"/>
    <n v="3793.2"/>
  </r>
  <r>
    <d v="2022-01-12T00:00:00"/>
    <x v="0"/>
    <x v="12"/>
    <x v="0"/>
    <n v="23111"/>
    <x v="0"/>
    <m/>
    <n v="0"/>
    <n v="0"/>
    <n v="0"/>
    <n v="0"/>
    <n v="0"/>
    <n v="0"/>
    <n v="0"/>
    <n v="0"/>
    <n v="0"/>
    <n v="0"/>
  </r>
  <r>
    <d v="2022-01-12T00:00:00"/>
    <x v="0"/>
    <x v="3"/>
    <x v="0"/>
    <n v="23112"/>
    <x v="0"/>
    <m/>
    <n v="0"/>
    <n v="0"/>
    <n v="0"/>
    <n v="0"/>
    <n v="0"/>
    <n v="0"/>
    <n v="0"/>
    <n v="0"/>
    <n v="0"/>
    <n v="0"/>
  </r>
  <r>
    <d v="2022-01-12T00:00:00"/>
    <x v="0"/>
    <x v="3"/>
    <x v="0"/>
    <n v="23113"/>
    <x v="0"/>
    <m/>
    <n v="0"/>
    <n v="0"/>
    <n v="0"/>
    <n v="0"/>
    <n v="0"/>
    <n v="0"/>
    <n v="0"/>
    <n v="0"/>
    <n v="0"/>
    <n v="0"/>
  </r>
  <r>
    <d v="2022-01-12T00:00:00"/>
    <x v="0"/>
    <x v="6"/>
    <x v="1"/>
    <n v="23114"/>
    <x v="2"/>
    <m/>
    <n v="2"/>
    <n v="0"/>
    <n v="0"/>
    <n v="0"/>
    <n v="0"/>
    <n v="0"/>
    <n v="91.64"/>
    <n v="0"/>
    <n v="366.56"/>
    <n v="458.2"/>
  </r>
  <r>
    <d v="2022-01-12T00:00:00"/>
    <x v="0"/>
    <x v="12"/>
    <x v="0"/>
    <n v="23115"/>
    <x v="2"/>
    <m/>
    <n v="1"/>
    <n v="0"/>
    <n v="0"/>
    <n v="0"/>
    <n v="3424.3199999999997"/>
    <n v="0"/>
    <n v="0"/>
    <n v="0"/>
    <n v="0"/>
    <n v="3424.3199999999997"/>
  </r>
  <r>
    <d v="2022-01-12T00:00:00"/>
    <x v="0"/>
    <x v="1"/>
    <x v="0"/>
    <n v="23116"/>
    <x v="1"/>
    <m/>
    <n v="3"/>
    <n v="276.08"/>
    <n v="310.88"/>
    <n v="926.8399999999998"/>
    <n v="0"/>
    <n v="0"/>
    <n v="0"/>
    <n v="0"/>
    <n v="0"/>
    <n v="1513.7999999999997"/>
  </r>
  <r>
    <d v="2022-01-13T00:00:00"/>
    <x v="0"/>
    <x v="15"/>
    <x v="3"/>
    <n v="23117"/>
    <x v="1"/>
    <m/>
    <n v="5"/>
    <n v="0"/>
    <n v="371.2"/>
    <n v="0"/>
    <n v="0"/>
    <n v="280.71999999999997"/>
    <n v="1968.52"/>
    <n v="3811.7599999999993"/>
    <n v="2569.3999999999996"/>
    <n v="9001.5999999999985"/>
  </r>
  <r>
    <d v="2022-01-13T00:00:00"/>
    <x v="0"/>
    <x v="4"/>
    <x v="0"/>
    <n v="23118"/>
    <x v="2"/>
    <m/>
    <n v="1"/>
    <n v="0"/>
    <n v="0"/>
    <n v="0"/>
    <n v="0"/>
    <n v="0"/>
    <n v="12992"/>
    <n v="0"/>
    <n v="0"/>
    <n v="12992"/>
  </r>
  <r>
    <d v="2022-01-13T00:00:00"/>
    <x v="0"/>
    <x v="1"/>
    <x v="0"/>
    <n v="23119"/>
    <x v="0"/>
    <m/>
    <n v="0"/>
    <n v="0"/>
    <n v="0"/>
    <n v="0"/>
    <n v="0"/>
    <n v="0"/>
    <n v="0"/>
    <n v="0"/>
    <n v="0"/>
    <n v="0"/>
  </r>
  <r>
    <d v="2022-01-14T00:00:00"/>
    <x v="0"/>
    <x v="2"/>
    <x v="1"/>
    <n v="23120"/>
    <x v="2"/>
    <m/>
    <n v="2"/>
    <n v="0"/>
    <n v="0"/>
    <n v="0"/>
    <n v="0"/>
    <n v="0"/>
    <n v="13014.039999999999"/>
    <n v="0"/>
    <n v="2216.7599999999998"/>
    <n v="15230.8"/>
  </r>
  <r>
    <d v="2022-01-14T00:00:00"/>
    <x v="0"/>
    <x v="8"/>
    <x v="2"/>
    <n v="23121"/>
    <x v="0"/>
    <m/>
    <n v="0"/>
    <n v="0"/>
    <n v="0"/>
    <n v="0"/>
    <n v="0"/>
    <n v="0"/>
    <n v="0"/>
    <n v="0"/>
    <n v="0"/>
    <n v="0"/>
  </r>
  <r>
    <d v="2022-01-14T00:00:00"/>
    <x v="0"/>
    <x v="15"/>
    <x v="3"/>
    <n v="23122"/>
    <x v="0"/>
    <m/>
    <n v="0"/>
    <n v="0"/>
    <n v="0"/>
    <n v="0"/>
    <n v="0"/>
    <n v="0"/>
    <n v="0"/>
    <n v="0"/>
    <n v="0"/>
    <n v="0"/>
  </r>
  <r>
    <d v="2022-01-14T00:00:00"/>
    <x v="0"/>
    <x v="13"/>
    <x v="2"/>
    <n v="23123"/>
    <x v="0"/>
    <m/>
    <n v="0"/>
    <n v="0"/>
    <n v="0"/>
    <n v="0"/>
    <n v="0"/>
    <n v="0"/>
    <n v="0"/>
    <n v="0"/>
    <n v="0"/>
    <n v="0"/>
  </r>
  <r>
    <d v="2022-01-14T00:00:00"/>
    <x v="0"/>
    <x v="13"/>
    <x v="2"/>
    <n v="23124"/>
    <x v="0"/>
    <m/>
    <n v="0"/>
    <n v="0"/>
    <n v="0"/>
    <n v="0"/>
    <n v="0"/>
    <n v="0"/>
    <n v="0"/>
    <n v="0"/>
    <n v="0"/>
    <n v="0"/>
  </r>
  <r>
    <d v="2022-01-14T00:00:00"/>
    <x v="0"/>
    <x v="13"/>
    <x v="2"/>
    <n v="23125"/>
    <x v="0"/>
    <m/>
    <n v="0"/>
    <n v="0"/>
    <n v="0"/>
    <n v="0"/>
    <n v="0"/>
    <n v="0"/>
    <n v="0"/>
    <n v="0"/>
    <n v="0"/>
    <n v="0"/>
  </r>
  <r>
    <d v="2022-01-14T00:00:00"/>
    <x v="0"/>
    <x v="5"/>
    <x v="0"/>
    <n v="23126"/>
    <x v="0"/>
    <m/>
    <n v="0"/>
    <n v="0"/>
    <n v="0"/>
    <n v="0"/>
    <n v="0"/>
    <n v="0"/>
    <n v="0"/>
    <n v="0"/>
    <n v="0"/>
    <n v="0"/>
  </r>
  <r>
    <d v="2022-01-14T00:00:00"/>
    <x v="0"/>
    <x v="5"/>
    <x v="0"/>
    <n v="23127"/>
    <x v="0"/>
    <m/>
    <n v="0"/>
    <n v="0"/>
    <n v="0"/>
    <n v="0"/>
    <n v="0"/>
    <n v="0"/>
    <n v="0"/>
    <n v="0"/>
    <n v="0"/>
    <n v="0"/>
  </r>
  <r>
    <d v="2022-01-14T00:00:00"/>
    <x v="0"/>
    <x v="16"/>
    <x v="2"/>
    <n v="23128"/>
    <x v="2"/>
    <m/>
    <n v="1"/>
    <n v="0"/>
    <n v="214.6"/>
    <n v="0"/>
    <n v="0"/>
    <n v="0"/>
    <n v="0"/>
    <n v="0"/>
    <n v="0"/>
    <n v="214.6"/>
  </r>
  <r>
    <d v="2022-01-14T00:00:00"/>
    <x v="0"/>
    <x v="3"/>
    <x v="0"/>
    <n v="23129"/>
    <x v="0"/>
    <m/>
    <n v="0"/>
    <n v="0"/>
    <n v="0"/>
    <n v="0"/>
    <n v="0"/>
    <n v="0"/>
    <n v="0"/>
    <n v="0"/>
    <n v="0"/>
    <n v="0"/>
  </r>
  <r>
    <d v="2022-01-14T00:00:00"/>
    <x v="0"/>
    <x v="17"/>
    <x v="0"/>
    <n v="23130"/>
    <x v="0"/>
    <m/>
    <n v="0"/>
    <n v="0"/>
    <n v="0"/>
    <n v="0"/>
    <n v="0"/>
    <n v="0"/>
    <n v="0"/>
    <n v="0"/>
    <n v="0"/>
    <n v="0"/>
  </r>
  <r>
    <d v="2022-01-14T00:00:00"/>
    <x v="0"/>
    <x v="17"/>
    <x v="0"/>
    <n v="23131"/>
    <x v="0"/>
    <m/>
    <n v="0"/>
    <n v="0"/>
    <n v="0"/>
    <n v="0"/>
    <n v="0"/>
    <n v="0"/>
    <n v="0"/>
    <n v="0"/>
    <n v="0"/>
    <n v="0"/>
  </r>
  <r>
    <d v="2022-01-15T00:00:00"/>
    <x v="0"/>
    <x v="13"/>
    <x v="2"/>
    <n v="23132"/>
    <x v="0"/>
    <m/>
    <n v="0"/>
    <n v="0"/>
    <n v="0"/>
    <n v="0"/>
    <n v="0"/>
    <n v="0"/>
    <n v="0"/>
    <n v="0"/>
    <n v="0"/>
    <n v="0"/>
  </r>
  <r>
    <d v="2022-01-15T00:00:00"/>
    <x v="0"/>
    <x v="13"/>
    <x v="2"/>
    <n v="23133"/>
    <x v="0"/>
    <m/>
    <n v="0"/>
    <n v="0"/>
    <n v="0"/>
    <n v="0"/>
    <n v="0"/>
    <n v="0"/>
    <n v="0"/>
    <n v="0"/>
    <n v="0"/>
    <n v="0"/>
  </r>
  <r>
    <d v="2022-01-15T00:00:00"/>
    <x v="0"/>
    <x v="3"/>
    <x v="0"/>
    <n v="23134"/>
    <x v="0"/>
    <m/>
    <n v="0"/>
    <n v="0"/>
    <n v="0"/>
    <n v="0"/>
    <n v="0"/>
    <n v="0"/>
    <n v="0"/>
    <n v="0"/>
    <n v="0"/>
    <n v="0"/>
  </r>
  <r>
    <d v="2022-01-15T00:00:00"/>
    <x v="0"/>
    <x v="3"/>
    <x v="0"/>
    <n v="23135"/>
    <x v="0"/>
    <m/>
    <n v="0"/>
    <n v="0"/>
    <n v="0"/>
    <n v="0"/>
    <n v="0"/>
    <n v="0"/>
    <n v="0"/>
    <n v="0"/>
    <n v="0"/>
    <n v="0"/>
  </r>
  <r>
    <d v="2022-01-15T00:00:00"/>
    <x v="0"/>
    <x v="13"/>
    <x v="2"/>
    <n v="23136"/>
    <x v="0"/>
    <m/>
    <n v="0"/>
    <n v="0"/>
    <n v="0"/>
    <n v="0"/>
    <n v="0"/>
    <n v="0"/>
    <n v="0"/>
    <n v="0"/>
    <n v="0"/>
    <n v="0"/>
  </r>
  <r>
    <d v="2022-01-15T00:00:00"/>
    <x v="0"/>
    <x v="13"/>
    <x v="2"/>
    <n v="23137"/>
    <x v="0"/>
    <m/>
    <n v="0"/>
    <n v="0"/>
    <n v="0"/>
    <n v="0"/>
    <n v="0"/>
    <n v="0"/>
    <n v="0"/>
    <n v="0"/>
    <n v="0"/>
    <n v="0"/>
  </r>
  <r>
    <d v="2022-01-15T00:00:00"/>
    <x v="0"/>
    <x v="13"/>
    <x v="2"/>
    <n v="23138"/>
    <x v="0"/>
    <m/>
    <n v="0"/>
    <n v="0"/>
    <n v="0"/>
    <n v="0"/>
    <n v="0"/>
    <n v="0"/>
    <n v="0"/>
    <n v="0"/>
    <n v="0"/>
    <n v="0"/>
  </r>
  <r>
    <d v="2022-01-15T00:00:00"/>
    <x v="0"/>
    <x v="9"/>
    <x v="2"/>
    <n v="23139"/>
    <x v="1"/>
    <m/>
    <n v="4"/>
    <n v="0"/>
    <n v="0"/>
    <n v="0"/>
    <n v="115.99999999999999"/>
    <n v="0"/>
    <n v="3589.0399999999995"/>
    <n v="10073.440000000004"/>
    <n v="26403.920000000006"/>
    <n v="40182.400000000009"/>
  </r>
  <r>
    <d v="2022-01-15T00:00:00"/>
    <x v="0"/>
    <x v="11"/>
    <x v="3"/>
    <n v="23140"/>
    <x v="2"/>
    <m/>
    <n v="2"/>
    <n v="0"/>
    <n v="0"/>
    <n v="0"/>
    <n v="0"/>
    <n v="0"/>
    <n v="14834.08"/>
    <n v="0"/>
    <n v="17024.159999999993"/>
    <n v="31858.239999999991"/>
  </r>
  <r>
    <d v="2022-01-15T00:00:00"/>
    <x v="0"/>
    <x v="11"/>
    <x v="3"/>
    <n v="23141"/>
    <x v="2"/>
    <m/>
    <n v="2"/>
    <n v="0"/>
    <n v="0"/>
    <n v="0"/>
    <n v="0"/>
    <n v="0"/>
    <n v="1180.8800000000001"/>
    <n v="0"/>
    <n v="4040.2799999999993"/>
    <n v="5221.16"/>
  </r>
  <r>
    <d v="2022-01-15T00:00:00"/>
    <x v="0"/>
    <x v="3"/>
    <x v="0"/>
    <n v="23142"/>
    <x v="2"/>
    <m/>
    <n v="2"/>
    <n v="0"/>
    <n v="0"/>
    <n v="3248"/>
    <n v="3711.9999999999995"/>
    <n v="0"/>
    <n v="0"/>
    <n v="0"/>
    <n v="0"/>
    <n v="6960"/>
  </r>
  <r>
    <d v="2022-01-17T00:00:00"/>
    <x v="0"/>
    <x v="11"/>
    <x v="3"/>
    <n v="23143"/>
    <x v="2"/>
    <m/>
    <n v="1"/>
    <n v="0"/>
    <n v="0"/>
    <n v="0"/>
    <n v="0"/>
    <n v="0"/>
    <n v="6919.4"/>
    <n v="0"/>
    <n v="0"/>
    <n v="6919.4"/>
  </r>
  <r>
    <d v="2022-01-17T00:00:00"/>
    <x v="0"/>
    <x v="14"/>
    <x v="0"/>
    <n v="23144"/>
    <x v="1"/>
    <m/>
    <n v="4"/>
    <n v="0"/>
    <n v="580"/>
    <n v="0"/>
    <n v="0"/>
    <n v="231.99999999999997"/>
    <n v="7308"/>
    <n v="231.99999999999997"/>
    <n v="0"/>
    <n v="8352"/>
  </r>
  <r>
    <d v="2022-01-17T00:00:00"/>
    <x v="0"/>
    <x v="12"/>
    <x v="0"/>
    <n v="23145"/>
    <x v="2"/>
    <m/>
    <n v="2"/>
    <n v="0"/>
    <n v="0"/>
    <n v="1359.52"/>
    <n v="247.07999999999998"/>
    <n v="0"/>
    <n v="0"/>
    <n v="0"/>
    <n v="0"/>
    <n v="1606.6"/>
  </r>
  <r>
    <d v="2022-01-17T00:00:00"/>
    <x v="0"/>
    <x v="5"/>
    <x v="0"/>
    <n v="23146"/>
    <x v="1"/>
    <m/>
    <n v="7"/>
    <n v="11137.159999999998"/>
    <n v="5567.9999999999991"/>
    <n v="2783.9999999999995"/>
    <n v="927.99999999999989"/>
    <n v="0"/>
    <n v="5568"/>
    <n v="6843.9999999999991"/>
    <n v="2783.9999999999995"/>
    <n v="35613.159999999996"/>
  </r>
  <r>
    <d v="2022-01-17T00:00:00"/>
    <x v="0"/>
    <x v="18"/>
    <x v="0"/>
    <n v="23147"/>
    <x v="1"/>
    <m/>
    <n v="5"/>
    <n v="0"/>
    <n v="0"/>
    <n v="6296.48"/>
    <n v="9632.64"/>
    <n v="10268.32"/>
    <n v="5230.4399999999996"/>
    <n v="8150.16"/>
    <n v="0"/>
    <n v="39578.039999999994"/>
  </r>
  <r>
    <d v="2022-01-17T00:00:00"/>
    <x v="0"/>
    <x v="18"/>
    <x v="0"/>
    <n v="23148"/>
    <x v="0"/>
    <m/>
    <n v="0"/>
    <n v="0"/>
    <n v="0"/>
    <n v="0"/>
    <n v="0"/>
    <n v="0"/>
    <n v="0"/>
    <n v="0"/>
    <n v="0"/>
    <n v="0"/>
  </r>
  <r>
    <d v="2022-01-17T00:00:00"/>
    <x v="0"/>
    <x v="1"/>
    <x v="0"/>
    <n v="23149"/>
    <x v="0"/>
    <m/>
    <n v="0"/>
    <n v="0"/>
    <n v="0"/>
    <n v="0"/>
    <n v="0"/>
    <n v="0"/>
    <n v="0"/>
    <n v="0"/>
    <n v="0"/>
    <n v="0"/>
  </r>
  <r>
    <d v="2022-01-17T00:00:00"/>
    <x v="0"/>
    <x v="1"/>
    <x v="0"/>
    <n v="23150"/>
    <x v="0"/>
    <m/>
    <n v="0"/>
    <n v="0"/>
    <n v="0"/>
    <n v="0"/>
    <n v="0"/>
    <n v="0"/>
    <n v="0"/>
    <n v="0"/>
    <n v="0"/>
    <n v="0"/>
  </r>
  <r>
    <d v="2022-01-17T00:00:00"/>
    <x v="0"/>
    <x v="11"/>
    <x v="3"/>
    <n v="23151"/>
    <x v="2"/>
    <m/>
    <n v="2"/>
    <n v="0"/>
    <n v="0"/>
    <n v="0"/>
    <n v="0"/>
    <n v="0"/>
    <n v="8111.8799999999992"/>
    <n v="0"/>
    <n v="13553.439999999999"/>
    <n v="21665.32"/>
  </r>
  <r>
    <d v="2022-01-18T00:00:00"/>
    <x v="0"/>
    <x v="2"/>
    <x v="1"/>
    <n v="23152"/>
    <x v="0"/>
    <m/>
    <n v="0"/>
    <n v="0"/>
    <n v="0"/>
    <n v="0"/>
    <n v="0"/>
    <n v="0"/>
    <n v="0"/>
    <n v="0"/>
    <n v="0"/>
    <n v="0"/>
  </r>
  <r>
    <d v="2022-01-18T00:00:00"/>
    <x v="0"/>
    <x v="2"/>
    <x v="1"/>
    <n v="23153"/>
    <x v="0"/>
    <m/>
    <n v="0"/>
    <n v="0"/>
    <n v="0"/>
    <n v="0"/>
    <n v="0"/>
    <n v="0"/>
    <n v="0"/>
    <n v="0"/>
    <n v="0"/>
    <n v="0"/>
  </r>
  <r>
    <d v="2022-01-18T00:00:00"/>
    <x v="0"/>
    <x v="11"/>
    <x v="3"/>
    <n v="23154"/>
    <x v="1"/>
    <m/>
    <n v="8"/>
    <n v="1643.7200000000003"/>
    <n v="1966.1999999999998"/>
    <n v="5735.0399999999972"/>
    <n v="3177.2399999999993"/>
    <n v="3874.4000000000005"/>
    <n v="2753.84"/>
    <n v="1780.6"/>
    <n v="3858.1600000000003"/>
    <n v="24789.199999999997"/>
  </r>
  <r>
    <d v="2022-01-18T00:00:00"/>
    <x v="0"/>
    <x v="19"/>
    <x v="2"/>
    <n v="23155"/>
    <x v="1"/>
    <m/>
    <n v="8"/>
    <n v="1391.9999999999998"/>
    <n v="5990.24"/>
    <n v="8325.3200000000015"/>
    <n v="15277.199999999997"/>
    <n v="14458.240000000002"/>
    <n v="20869.559999999998"/>
    <n v="12753.04"/>
    <n v="8781.1999999999989"/>
    <n v="87846.8"/>
  </r>
  <r>
    <d v="2022-01-18T00:00:00"/>
    <x v="0"/>
    <x v="12"/>
    <x v="0"/>
    <n v="23156"/>
    <x v="2"/>
    <m/>
    <n v="1"/>
    <n v="0"/>
    <n v="0"/>
    <n v="0"/>
    <n v="0"/>
    <n v="0"/>
    <n v="5800"/>
    <n v="0"/>
    <n v="0"/>
    <n v="5800"/>
  </r>
  <r>
    <d v="2022-01-18T00:00:00"/>
    <x v="0"/>
    <x v="3"/>
    <x v="0"/>
    <n v="23157"/>
    <x v="0"/>
    <m/>
    <n v="0"/>
    <n v="0"/>
    <n v="0"/>
    <n v="0"/>
    <n v="0"/>
    <n v="0"/>
    <n v="0"/>
    <n v="0"/>
    <n v="0"/>
    <n v="0"/>
  </r>
  <r>
    <d v="2022-01-18T00:00:00"/>
    <x v="0"/>
    <x v="1"/>
    <x v="0"/>
    <n v="23158"/>
    <x v="1"/>
    <m/>
    <n v="5"/>
    <n v="0"/>
    <n v="0"/>
    <n v="0"/>
    <n v="869.99999999999989"/>
    <n v="5220"/>
    <n v="24302"/>
    <n v="9860"/>
    <n v="16240"/>
    <n v="56492"/>
  </r>
  <r>
    <d v="2022-01-19T00:00:00"/>
    <x v="0"/>
    <x v="1"/>
    <x v="0"/>
    <n v="23159"/>
    <x v="1"/>
    <m/>
    <n v="8"/>
    <n v="78.88"/>
    <n v="1122.8800000000001"/>
    <n v="105.55999999999999"/>
    <n v="66.11999999999999"/>
    <n v="1517.2799999999997"/>
    <n v="3485.8"/>
    <n v="7553.920000000001"/>
    <n v="8539.92"/>
    <n v="22470.36"/>
  </r>
  <r>
    <d v="2022-01-19T00:00:00"/>
    <x v="0"/>
    <x v="16"/>
    <x v="2"/>
    <n v="23160"/>
    <x v="2"/>
    <m/>
    <n v="1"/>
    <n v="0"/>
    <n v="0"/>
    <n v="0"/>
    <n v="115.99999999999999"/>
    <n v="0"/>
    <n v="0"/>
    <n v="0"/>
    <n v="0"/>
    <n v="115.99999999999999"/>
  </r>
  <r>
    <d v="2022-01-19T00:00:00"/>
    <x v="0"/>
    <x v="13"/>
    <x v="2"/>
    <n v="23161"/>
    <x v="0"/>
    <m/>
    <n v="0"/>
    <n v="0"/>
    <n v="0"/>
    <n v="0"/>
    <n v="0"/>
    <n v="0"/>
    <n v="0"/>
    <n v="0"/>
    <n v="0"/>
    <n v="0"/>
  </r>
  <r>
    <d v="2022-01-19T00:00:00"/>
    <x v="0"/>
    <x v="19"/>
    <x v="2"/>
    <n v="23162"/>
    <x v="1"/>
    <m/>
    <n v="8"/>
    <n v="324.79999999999995"/>
    <n v="1231.92"/>
    <n v="2019.56"/>
    <n v="2323.48"/>
    <n v="2730.64"/>
    <n v="3636.6000000000004"/>
    <n v="4003.1600000000003"/>
    <n v="7189.6800000000048"/>
    <n v="23459.840000000004"/>
  </r>
  <r>
    <d v="2022-01-19T00:00:00"/>
    <x v="0"/>
    <x v="13"/>
    <x v="2"/>
    <n v="23163"/>
    <x v="0"/>
    <m/>
    <n v="0"/>
    <n v="0"/>
    <n v="0"/>
    <n v="0"/>
    <n v="0"/>
    <n v="0"/>
    <n v="0"/>
    <n v="0"/>
    <n v="0"/>
    <n v="0"/>
  </r>
  <r>
    <d v="2022-01-19T00:00:00"/>
    <x v="0"/>
    <x v="6"/>
    <x v="1"/>
    <n v="23164"/>
    <x v="2"/>
    <m/>
    <n v="2"/>
    <n v="0"/>
    <n v="0"/>
    <n v="0"/>
    <n v="0"/>
    <n v="0"/>
    <n v="5635.28"/>
    <n v="0"/>
    <n v="2555.4799999999996"/>
    <n v="8190.7599999999993"/>
  </r>
  <r>
    <d v="2022-01-20T00:00:00"/>
    <x v="0"/>
    <x v="12"/>
    <x v="0"/>
    <n v="23165"/>
    <x v="1"/>
    <m/>
    <n v="5"/>
    <n v="3.4799999999999995"/>
    <n v="9.2799999999999994"/>
    <n v="0"/>
    <n v="6959.9999999999991"/>
    <n v="0"/>
    <n v="37700"/>
    <n v="0"/>
    <n v="868.83999999999992"/>
    <n v="45541.599999999999"/>
  </r>
  <r>
    <d v="2022-01-20T00:00:00"/>
    <x v="0"/>
    <x v="14"/>
    <x v="0"/>
    <n v="23166"/>
    <x v="1"/>
    <m/>
    <n v="4"/>
    <n v="0"/>
    <n v="127.6"/>
    <n v="0"/>
    <n v="0"/>
    <n v="0"/>
    <n v="14290.04"/>
    <n v="881.60000000000014"/>
    <n v="6845.1599999999989"/>
    <n v="22144.400000000001"/>
  </r>
  <r>
    <d v="2022-01-20T00:00:00"/>
    <x v="0"/>
    <x v="13"/>
    <x v="2"/>
    <n v="23167"/>
    <x v="0"/>
    <m/>
    <n v="0"/>
    <n v="0"/>
    <n v="0"/>
    <n v="0"/>
    <n v="0"/>
    <n v="0"/>
    <n v="0"/>
    <n v="0"/>
    <n v="0"/>
    <n v="0"/>
  </r>
  <r>
    <d v="2022-01-21T00:00:00"/>
    <x v="0"/>
    <x v="12"/>
    <x v="0"/>
    <n v="23168"/>
    <x v="1"/>
    <m/>
    <n v="6"/>
    <n v="1193.6399999999999"/>
    <n v="671.63999999999987"/>
    <n v="3731.7200000000003"/>
    <n v="925.67999999999984"/>
    <n v="814.31999999999994"/>
    <n v="15864.16"/>
    <n v="0"/>
    <n v="0"/>
    <n v="23201.16"/>
  </r>
  <r>
    <d v="2022-01-21T00:00:00"/>
    <x v="0"/>
    <x v="5"/>
    <x v="0"/>
    <n v="23169"/>
    <x v="1"/>
    <m/>
    <n v="8"/>
    <n v="468.64"/>
    <n v="8683.76"/>
    <n v="5373.1200000000017"/>
    <n v="17345.480000000003"/>
    <n v="22040.000000000007"/>
    <n v="4290.84"/>
    <n v="512.71999999999991"/>
    <n v="2488.2000000000007"/>
    <n v="61202.760000000009"/>
  </r>
  <r>
    <d v="2022-01-21T00:00:00"/>
    <x v="0"/>
    <x v="1"/>
    <x v="0"/>
    <n v="23170"/>
    <x v="1"/>
    <m/>
    <n v="3"/>
    <n v="0"/>
    <n v="0"/>
    <n v="0"/>
    <n v="1023.12"/>
    <n v="348"/>
    <n v="1856"/>
    <n v="0"/>
    <n v="0"/>
    <n v="3227.12"/>
  </r>
  <r>
    <d v="2022-01-21T00:00:00"/>
    <x v="0"/>
    <x v="20"/>
    <x v="4"/>
    <n v="23171"/>
    <x v="0"/>
    <m/>
    <n v="0"/>
    <n v="0"/>
    <n v="0"/>
    <n v="0"/>
    <n v="0"/>
    <n v="0"/>
    <n v="0"/>
    <n v="0"/>
    <n v="0"/>
    <n v="0"/>
  </r>
  <r>
    <d v="2022-01-21T00:00:00"/>
    <x v="0"/>
    <x v="13"/>
    <x v="2"/>
    <n v="23172"/>
    <x v="1"/>
    <m/>
    <n v="7"/>
    <n v="0"/>
    <n v="3252.6399999999994"/>
    <n v="9841.4399999999987"/>
    <n v="5623.68"/>
    <n v="2709.7599999999998"/>
    <n v="5238.5599999999995"/>
    <n v="8530.6400000000012"/>
    <n v="9289.2800000000007"/>
    <n v="44485.999999999993"/>
  </r>
  <r>
    <d v="2022-01-21T00:00:00"/>
    <x v="0"/>
    <x v="13"/>
    <x v="2"/>
    <n v="23173"/>
    <x v="0"/>
    <m/>
    <n v="0"/>
    <n v="0"/>
    <n v="0"/>
    <n v="0"/>
    <n v="0"/>
    <n v="0"/>
    <n v="0"/>
    <n v="0"/>
    <n v="0"/>
    <n v="0"/>
  </r>
  <r>
    <d v="2022-01-21T00:00:00"/>
    <x v="0"/>
    <x v="12"/>
    <x v="0"/>
    <n v="23174"/>
    <x v="1"/>
    <m/>
    <n v="5"/>
    <n v="1923.2799999999997"/>
    <n v="3056.5999999999995"/>
    <n v="0"/>
    <n v="530.12"/>
    <n v="1786.3999999999999"/>
    <n v="962.8"/>
    <n v="0"/>
    <n v="0"/>
    <n v="8259.1999999999989"/>
  </r>
  <r>
    <d v="2022-01-21T00:00:00"/>
    <x v="0"/>
    <x v="15"/>
    <x v="3"/>
    <n v="23175"/>
    <x v="2"/>
    <m/>
    <n v="2"/>
    <n v="0"/>
    <n v="1.1599999999999999"/>
    <n v="0"/>
    <n v="0"/>
    <n v="0"/>
    <n v="2494"/>
    <n v="0"/>
    <n v="0"/>
    <n v="2495.16"/>
  </r>
  <r>
    <d v="2022-01-22T00:00:00"/>
    <x v="0"/>
    <x v="6"/>
    <x v="1"/>
    <n v="23176"/>
    <x v="1"/>
    <m/>
    <n v="4"/>
    <n v="0"/>
    <n v="0"/>
    <n v="0"/>
    <n v="5175.92"/>
    <n v="2622.7599999999998"/>
    <n v="2215.6"/>
    <n v="2680.7599999999998"/>
    <n v="0"/>
    <n v="12695.04"/>
  </r>
  <r>
    <d v="2022-01-22T00:00:00"/>
    <x v="0"/>
    <x v="3"/>
    <x v="0"/>
    <n v="23177"/>
    <x v="0"/>
    <m/>
    <n v="0"/>
    <n v="0"/>
    <n v="0"/>
    <n v="0"/>
    <n v="0"/>
    <n v="0"/>
    <n v="0"/>
    <n v="0"/>
    <n v="0"/>
    <n v="0"/>
  </r>
  <r>
    <d v="2022-01-24T00:00:00"/>
    <x v="0"/>
    <x v="5"/>
    <x v="0"/>
    <n v="23178"/>
    <x v="2"/>
    <m/>
    <n v="1"/>
    <n v="0"/>
    <n v="0"/>
    <n v="0"/>
    <n v="0"/>
    <n v="0"/>
    <n v="0"/>
    <n v="0"/>
    <n v="4721.2"/>
    <n v="4721.2"/>
  </r>
  <r>
    <d v="2022-01-24T00:00:00"/>
    <x v="0"/>
    <x v="2"/>
    <x v="1"/>
    <n v="23179"/>
    <x v="2"/>
    <m/>
    <n v="2"/>
    <n v="0"/>
    <n v="0"/>
    <n v="0"/>
    <n v="0"/>
    <n v="0"/>
    <n v="20880"/>
    <n v="0"/>
    <n v="290"/>
    <n v="21170"/>
  </r>
  <r>
    <d v="2022-01-24T00:00:00"/>
    <x v="0"/>
    <x v="2"/>
    <x v="1"/>
    <n v="23180"/>
    <x v="2"/>
    <m/>
    <n v="2"/>
    <n v="0"/>
    <n v="0"/>
    <n v="0"/>
    <n v="0"/>
    <n v="0"/>
    <n v="1407.08"/>
    <n v="0"/>
    <n v="1329.36"/>
    <n v="2736.4399999999996"/>
  </r>
  <r>
    <d v="2022-01-24T00:00:00"/>
    <x v="0"/>
    <x v="9"/>
    <x v="2"/>
    <n v="23181"/>
    <x v="2"/>
    <m/>
    <n v="2"/>
    <n v="0"/>
    <n v="2005.6400000000003"/>
    <n v="4375.5200000000004"/>
    <n v="0"/>
    <n v="0"/>
    <n v="0"/>
    <n v="0"/>
    <n v="0"/>
    <n v="6381.1600000000008"/>
  </r>
  <r>
    <d v="2022-01-24T00:00:00"/>
    <x v="0"/>
    <x v="8"/>
    <x v="2"/>
    <n v="23182"/>
    <x v="0"/>
    <m/>
    <n v="0"/>
    <n v="0"/>
    <n v="0"/>
    <n v="0"/>
    <n v="0"/>
    <n v="0"/>
    <n v="0"/>
    <n v="0"/>
    <n v="0"/>
    <n v="0"/>
  </r>
  <r>
    <d v="2022-01-25T00:00:00"/>
    <x v="0"/>
    <x v="16"/>
    <x v="2"/>
    <n v="23183"/>
    <x v="1"/>
    <m/>
    <n v="8"/>
    <n v="5852.199999999998"/>
    <n v="11030.439999999991"/>
    <n v="4498.4799999999996"/>
    <n v="1926.7599999999998"/>
    <n v="10829.759999999998"/>
    <n v="13775"/>
    <n v="30328.200000000023"/>
    <n v="44969.720000000118"/>
    <n v="123210.56000000013"/>
  </r>
  <r>
    <d v="2022-01-25T00:00:00"/>
    <x v="0"/>
    <x v="5"/>
    <x v="0"/>
    <n v="23184"/>
    <x v="1"/>
    <m/>
    <n v="5"/>
    <n v="0"/>
    <n v="2081.04"/>
    <n v="640.31999999999994"/>
    <n v="0"/>
    <n v="1316.6"/>
    <n v="2833.88"/>
    <n v="0"/>
    <n v="1739.9999999999998"/>
    <n v="8611.84"/>
  </r>
  <r>
    <d v="2022-01-26T00:00:00"/>
    <x v="0"/>
    <x v="3"/>
    <x v="0"/>
    <n v="23185"/>
    <x v="0"/>
    <m/>
    <n v="0"/>
    <n v="0"/>
    <n v="0"/>
    <n v="0"/>
    <n v="0"/>
    <n v="0"/>
    <n v="0"/>
    <n v="0"/>
    <n v="0"/>
    <n v="0"/>
  </r>
  <r>
    <d v="2022-01-26T00:00:00"/>
    <x v="0"/>
    <x v="11"/>
    <x v="3"/>
    <n v="23186"/>
    <x v="2"/>
    <m/>
    <n v="1"/>
    <n v="0"/>
    <n v="0"/>
    <n v="0"/>
    <n v="0"/>
    <n v="0"/>
    <n v="0"/>
    <n v="0"/>
    <n v="1220.32"/>
    <n v="1220.32"/>
  </r>
  <r>
    <d v="2022-01-26T00:00:00"/>
    <x v="0"/>
    <x v="15"/>
    <x v="3"/>
    <n v="23187"/>
    <x v="0"/>
    <m/>
    <n v="0"/>
    <n v="0"/>
    <n v="0"/>
    <n v="0"/>
    <n v="0"/>
    <n v="0"/>
    <n v="0"/>
    <n v="0"/>
    <n v="0"/>
    <n v="0"/>
  </r>
  <r>
    <d v="2022-01-26T00:00:00"/>
    <x v="0"/>
    <x v="15"/>
    <x v="3"/>
    <n v="23188"/>
    <x v="0"/>
    <m/>
    <n v="0"/>
    <n v="0"/>
    <n v="0"/>
    <n v="0"/>
    <n v="0"/>
    <n v="0"/>
    <n v="0"/>
    <n v="0"/>
    <n v="0"/>
    <n v="0"/>
  </r>
  <r>
    <d v="2022-01-26T00:00:00"/>
    <x v="0"/>
    <x v="21"/>
    <x v="1"/>
    <n v="23189"/>
    <x v="2"/>
    <m/>
    <n v="2"/>
    <n v="0"/>
    <n v="0"/>
    <n v="0"/>
    <n v="0"/>
    <n v="0"/>
    <n v="580"/>
    <n v="0"/>
    <n v="429.2"/>
    <n v="1009.2"/>
  </r>
  <r>
    <d v="2022-01-26T00:00:00"/>
    <x v="0"/>
    <x v="2"/>
    <x v="1"/>
    <n v="23190"/>
    <x v="2"/>
    <m/>
    <n v="2"/>
    <n v="0"/>
    <n v="0"/>
    <n v="0"/>
    <n v="0"/>
    <n v="0"/>
    <n v="7215.2000000000007"/>
    <n v="0"/>
    <n v="3678.360000000001"/>
    <n v="10893.560000000001"/>
  </r>
  <r>
    <d v="2022-01-26T00:00:00"/>
    <x v="0"/>
    <x v="22"/>
    <x v="4"/>
    <n v="23191"/>
    <x v="0"/>
    <m/>
    <n v="0"/>
    <n v="0"/>
    <n v="0"/>
    <n v="0"/>
    <n v="0"/>
    <n v="0"/>
    <n v="0"/>
    <n v="0"/>
    <n v="0"/>
    <n v="0"/>
  </r>
  <r>
    <d v="2022-01-26T00:00:00"/>
    <x v="0"/>
    <x v="4"/>
    <x v="0"/>
    <n v="23192"/>
    <x v="1"/>
    <m/>
    <n v="5"/>
    <n v="0"/>
    <n v="0"/>
    <n v="0"/>
    <n v="2562.4400000000005"/>
    <n v="11895.799999999994"/>
    <n v="24863.439999999999"/>
    <n v="10320.519999999993"/>
    <n v="17206.279999999992"/>
    <n v="66848.479999999981"/>
  </r>
  <r>
    <d v="2022-01-26T00:00:00"/>
    <x v="0"/>
    <x v="4"/>
    <x v="0"/>
    <n v="23193"/>
    <x v="1"/>
    <m/>
    <n v="5"/>
    <n v="0"/>
    <n v="0"/>
    <n v="1293.4000000000001"/>
    <n v="0"/>
    <n v="683.24"/>
    <n v="1426.8"/>
    <n v="463.99999999999994"/>
    <n v="1508"/>
    <n v="5375.4400000000005"/>
  </r>
  <r>
    <d v="2022-01-27T00:00:00"/>
    <x v="0"/>
    <x v="6"/>
    <x v="1"/>
    <n v="23194"/>
    <x v="2"/>
    <m/>
    <n v="1"/>
    <n v="0"/>
    <n v="0"/>
    <n v="0"/>
    <n v="0"/>
    <n v="0"/>
    <n v="3809.44"/>
    <n v="0"/>
    <n v="0"/>
    <n v="3809.44"/>
  </r>
  <r>
    <d v="2022-01-27T00:00:00"/>
    <x v="0"/>
    <x v="14"/>
    <x v="0"/>
    <n v="23195"/>
    <x v="1"/>
    <m/>
    <n v="3"/>
    <n v="0"/>
    <n v="0"/>
    <n v="352.64"/>
    <n v="266.79999999999995"/>
    <n v="907.11999999999989"/>
    <n v="0"/>
    <n v="0"/>
    <n v="0"/>
    <n v="1526.56"/>
  </r>
  <r>
    <d v="2022-01-27T00:00:00"/>
    <x v="0"/>
    <x v="6"/>
    <x v="1"/>
    <n v="23196"/>
    <x v="2"/>
    <m/>
    <n v="2"/>
    <n v="0"/>
    <n v="0"/>
    <n v="0"/>
    <n v="0"/>
    <n v="0"/>
    <n v="777.19999999999993"/>
    <n v="0"/>
    <n v="2759.64"/>
    <n v="3536.8399999999997"/>
  </r>
  <r>
    <d v="2022-01-27T00:00:00"/>
    <x v="0"/>
    <x v="2"/>
    <x v="1"/>
    <n v="23197"/>
    <x v="2"/>
    <m/>
    <n v="2"/>
    <n v="0"/>
    <n v="0"/>
    <n v="0"/>
    <n v="0"/>
    <n v="0"/>
    <n v="6261.68"/>
    <n v="0"/>
    <n v="6124.8"/>
    <n v="12386.48"/>
  </r>
  <r>
    <d v="2022-01-27T00:00:00"/>
    <x v="0"/>
    <x v="21"/>
    <x v="1"/>
    <n v="23198"/>
    <x v="2"/>
    <m/>
    <n v="2"/>
    <n v="0"/>
    <n v="0"/>
    <n v="0"/>
    <n v="0"/>
    <n v="0"/>
    <n v="2291"/>
    <n v="0"/>
    <n v="1496.4"/>
    <n v="3787.4"/>
  </r>
  <r>
    <d v="2022-01-27T00:00:00"/>
    <x v="0"/>
    <x v="12"/>
    <x v="0"/>
    <n v="23199"/>
    <x v="0"/>
    <m/>
    <n v="0"/>
    <n v="0"/>
    <n v="0"/>
    <n v="0"/>
    <n v="0"/>
    <n v="0"/>
    <n v="0"/>
    <n v="0"/>
    <n v="0"/>
    <n v="0"/>
  </r>
  <r>
    <d v="2022-01-28T00:00:00"/>
    <x v="0"/>
    <x v="13"/>
    <x v="2"/>
    <n v="23200"/>
    <x v="0"/>
    <m/>
    <n v="0"/>
    <n v="0"/>
    <n v="0"/>
    <n v="0"/>
    <n v="0"/>
    <n v="0"/>
    <n v="0"/>
    <n v="0"/>
    <n v="0"/>
    <n v="0"/>
  </r>
  <r>
    <d v="2022-01-28T00:00:00"/>
    <x v="0"/>
    <x v="8"/>
    <x v="2"/>
    <n v="23201"/>
    <x v="1"/>
    <m/>
    <n v="5"/>
    <n v="0"/>
    <n v="203"/>
    <n v="2290.9999999999995"/>
    <n v="1237.7199999999998"/>
    <n v="527.79999999999995"/>
    <n v="213.44"/>
    <n v="0"/>
    <n v="0"/>
    <n v="4472.9599999999991"/>
  </r>
  <r>
    <d v="2022-01-29T00:00:00"/>
    <x v="0"/>
    <x v="0"/>
    <x v="0"/>
    <n v="23202"/>
    <x v="2"/>
    <m/>
    <n v="2"/>
    <n v="0"/>
    <n v="0"/>
    <n v="0"/>
    <n v="481.4"/>
    <n v="388.59999999999997"/>
    <n v="0"/>
    <n v="0"/>
    <n v="0"/>
    <n v="870"/>
  </r>
  <r>
    <d v="2022-01-29T00:00:00"/>
    <x v="0"/>
    <x v="0"/>
    <x v="0"/>
    <n v="23203"/>
    <x v="1"/>
    <m/>
    <n v="3"/>
    <n v="0"/>
    <n v="0"/>
    <n v="0"/>
    <n v="0"/>
    <n v="0"/>
    <n v="1624"/>
    <n v="522"/>
    <n v="870"/>
    <n v="3016"/>
  </r>
  <r>
    <d v="2022-01-31T00:00:00"/>
    <x v="0"/>
    <x v="22"/>
    <x v="4"/>
    <n v="23204"/>
    <x v="0"/>
    <m/>
    <n v="0"/>
    <n v="0"/>
    <n v="0"/>
    <n v="0"/>
    <n v="0"/>
    <n v="0"/>
    <n v="0"/>
    <n v="0"/>
    <n v="0"/>
    <n v="0"/>
  </r>
  <r>
    <d v="2022-01-31T00:00:00"/>
    <x v="0"/>
    <x v="19"/>
    <x v="2"/>
    <n v="23205"/>
    <x v="0"/>
    <m/>
    <n v="0"/>
    <n v="0"/>
    <n v="0"/>
    <n v="0"/>
    <n v="0"/>
    <n v="0"/>
    <n v="0"/>
    <n v="0"/>
    <n v="0"/>
    <n v="0"/>
  </r>
  <r>
    <d v="2022-01-31T00:00:00"/>
    <x v="0"/>
    <x v="1"/>
    <x v="0"/>
    <n v="23206"/>
    <x v="1"/>
    <m/>
    <n v="7"/>
    <n v="0"/>
    <n v="1862.9599999999996"/>
    <n v="2056.6799999999998"/>
    <n v="1484.8"/>
    <n v="1291.08"/>
    <n v="2115.8399999999997"/>
    <n v="1930.2399999999998"/>
    <n v="2259.6799999999994"/>
    <n v="13001.279999999999"/>
  </r>
  <r>
    <d v="2022-01-31T00:00:00"/>
    <x v="0"/>
    <x v="1"/>
    <x v="0"/>
    <n v="23207"/>
    <x v="0"/>
    <m/>
    <n v="0"/>
    <n v="0"/>
    <n v="0"/>
    <n v="0"/>
    <n v="0"/>
    <n v="0"/>
    <n v="0"/>
    <n v="0"/>
    <n v="0"/>
    <n v="0"/>
  </r>
  <r>
    <d v="2022-01-31T00:00:00"/>
    <x v="0"/>
    <x v="15"/>
    <x v="3"/>
    <n v="23208"/>
    <x v="2"/>
    <m/>
    <n v="2"/>
    <n v="0"/>
    <n v="0"/>
    <n v="0"/>
    <n v="0"/>
    <n v="290"/>
    <n v="8120"/>
    <n v="0"/>
    <n v="0"/>
    <n v="8410"/>
  </r>
  <r>
    <d v="2022-01-31T00:00:00"/>
    <x v="0"/>
    <x v="3"/>
    <x v="0"/>
    <n v="23209"/>
    <x v="2"/>
    <m/>
    <n v="2"/>
    <n v="0"/>
    <n v="1434.92"/>
    <n v="13001.279999999999"/>
    <n v="0"/>
    <n v="0"/>
    <n v="0"/>
    <n v="0"/>
    <n v="0"/>
    <n v="14436.199999999999"/>
  </r>
  <r>
    <d v="2022-02-01T00:00:00"/>
    <x v="1"/>
    <x v="6"/>
    <x v="1"/>
    <n v="23210"/>
    <x v="2"/>
    <m/>
    <n v="2"/>
    <n v="0"/>
    <n v="0"/>
    <n v="0"/>
    <n v="0"/>
    <n v="0"/>
    <n v="9335.6800000000021"/>
    <n v="0"/>
    <n v="17547.320000000011"/>
    <n v="26883.000000000015"/>
  </r>
  <r>
    <d v="2022-02-01T00:00:00"/>
    <x v="1"/>
    <x v="0"/>
    <x v="0"/>
    <n v="23211"/>
    <x v="0"/>
    <m/>
    <n v="0"/>
    <n v="0"/>
    <n v="0"/>
    <n v="0"/>
    <n v="0"/>
    <n v="0"/>
    <n v="0"/>
    <n v="0"/>
    <n v="0"/>
    <n v="0"/>
  </r>
  <r>
    <d v="2022-02-01T00:00:00"/>
    <x v="1"/>
    <x v="0"/>
    <x v="0"/>
    <n v="23212"/>
    <x v="0"/>
    <m/>
    <n v="0"/>
    <n v="0"/>
    <n v="0"/>
    <n v="0"/>
    <n v="0"/>
    <n v="0"/>
    <n v="0"/>
    <n v="0"/>
    <n v="0"/>
    <n v="0"/>
  </r>
  <r>
    <d v="2022-02-01T00:00:00"/>
    <x v="1"/>
    <x v="2"/>
    <x v="1"/>
    <n v="23213"/>
    <x v="2"/>
    <m/>
    <n v="2"/>
    <n v="0"/>
    <n v="0"/>
    <n v="0"/>
    <n v="0"/>
    <n v="0"/>
    <n v="12935.16"/>
    <n v="0"/>
    <n v="9993.3999999999905"/>
    <n v="22928.55999999999"/>
  </r>
  <r>
    <d v="2022-02-01T00:00:00"/>
    <x v="1"/>
    <x v="6"/>
    <x v="1"/>
    <n v="23214"/>
    <x v="2"/>
    <m/>
    <n v="2"/>
    <n v="0"/>
    <n v="0"/>
    <n v="0"/>
    <n v="0"/>
    <n v="0"/>
    <n v="10455.080000000002"/>
    <n v="0"/>
    <n v="9795.0399999999991"/>
    <n v="20250.120000000003"/>
  </r>
  <r>
    <d v="2022-02-01T00:00:00"/>
    <x v="1"/>
    <x v="13"/>
    <x v="2"/>
    <n v="23215"/>
    <x v="0"/>
    <m/>
    <n v="0"/>
    <n v="0"/>
    <n v="0"/>
    <n v="0"/>
    <n v="0"/>
    <n v="0"/>
    <n v="0"/>
    <n v="0"/>
    <n v="0"/>
    <n v="0"/>
  </r>
  <r>
    <d v="2022-02-01T00:00:00"/>
    <x v="1"/>
    <x v="23"/>
    <x v="2"/>
    <n v="23216"/>
    <x v="0"/>
    <m/>
    <n v="0"/>
    <n v="0"/>
    <n v="0"/>
    <n v="0"/>
    <n v="0"/>
    <n v="0"/>
    <n v="0"/>
    <n v="0"/>
    <n v="0"/>
    <n v="0"/>
  </r>
  <r>
    <d v="2022-02-01T00:00:00"/>
    <x v="1"/>
    <x v="12"/>
    <x v="0"/>
    <n v="23217"/>
    <x v="0"/>
    <m/>
    <n v="0"/>
    <n v="0"/>
    <n v="0"/>
    <n v="0"/>
    <n v="0"/>
    <n v="0"/>
    <n v="0"/>
    <n v="0"/>
    <n v="0"/>
    <n v="0"/>
  </r>
  <r>
    <d v="2022-02-01T00:00:00"/>
    <x v="1"/>
    <x v="4"/>
    <x v="0"/>
    <n v="23218"/>
    <x v="2"/>
    <m/>
    <n v="1"/>
    <n v="0"/>
    <n v="0"/>
    <n v="0"/>
    <n v="0"/>
    <n v="0"/>
    <n v="303.92"/>
    <n v="0"/>
    <n v="0"/>
    <n v="303.92"/>
  </r>
  <r>
    <d v="2022-02-01T00:00:00"/>
    <x v="1"/>
    <x v="4"/>
    <x v="0"/>
    <n v="23219"/>
    <x v="0"/>
    <m/>
    <n v="0"/>
    <n v="0"/>
    <n v="0"/>
    <n v="0"/>
    <n v="0"/>
    <n v="0"/>
    <n v="0"/>
    <n v="0"/>
    <n v="0"/>
    <n v="0"/>
  </r>
  <r>
    <d v="2022-02-02T00:00:00"/>
    <x v="1"/>
    <x v="9"/>
    <x v="2"/>
    <n v="23220"/>
    <x v="1"/>
    <m/>
    <n v="4"/>
    <n v="0"/>
    <n v="214.59999999999997"/>
    <n v="1523.0800000000002"/>
    <n v="0"/>
    <n v="1502.2"/>
    <n v="174"/>
    <n v="0"/>
    <n v="0"/>
    <n v="3413.88"/>
  </r>
  <r>
    <d v="2022-02-02T00:00:00"/>
    <x v="1"/>
    <x v="15"/>
    <x v="3"/>
    <n v="23221"/>
    <x v="2"/>
    <m/>
    <n v="1"/>
    <n v="0"/>
    <n v="287.67999999999995"/>
    <n v="0"/>
    <n v="0"/>
    <n v="0"/>
    <n v="0"/>
    <n v="0"/>
    <n v="0"/>
    <n v="287.67999999999995"/>
  </r>
  <r>
    <d v="2022-02-02T00:00:00"/>
    <x v="1"/>
    <x v="15"/>
    <x v="3"/>
    <n v="23222"/>
    <x v="1"/>
    <m/>
    <n v="7"/>
    <n v="0"/>
    <n v="1229.5999999999999"/>
    <n v="2894.2"/>
    <n v="962.8"/>
    <n v="4121.4799999999996"/>
    <n v="4909.12"/>
    <n v="4247.9199999999992"/>
    <n v="13282"/>
    <n v="31647.119999999995"/>
  </r>
  <r>
    <d v="2022-02-02T00:00:00"/>
    <x v="1"/>
    <x v="6"/>
    <x v="1"/>
    <n v="23223"/>
    <x v="2"/>
    <m/>
    <n v="1"/>
    <n v="0"/>
    <n v="0"/>
    <n v="0"/>
    <n v="0"/>
    <n v="0"/>
    <n v="3248"/>
    <n v="0"/>
    <n v="0"/>
    <n v="3248"/>
  </r>
  <r>
    <d v="2022-02-03T00:00:00"/>
    <x v="1"/>
    <x v="24"/>
    <x v="3"/>
    <n v="23224"/>
    <x v="0"/>
    <m/>
    <n v="0"/>
    <n v="0"/>
    <n v="0"/>
    <n v="0"/>
    <n v="0"/>
    <n v="0"/>
    <n v="0"/>
    <n v="0"/>
    <n v="0"/>
    <n v="0"/>
  </r>
  <r>
    <d v="2022-02-03T00:00:00"/>
    <x v="1"/>
    <x v="4"/>
    <x v="0"/>
    <n v="23225"/>
    <x v="1"/>
    <m/>
    <n v="6"/>
    <n v="0"/>
    <n v="0"/>
    <n v="488.3599999999999"/>
    <n v="600.87999999999988"/>
    <n v="1238.8800000000003"/>
    <n v="1460.44"/>
    <n v="1881.5200000000004"/>
    <n v="1280.6399999999999"/>
    <n v="6950.7199999999993"/>
  </r>
  <r>
    <d v="2022-02-03T00:00:00"/>
    <x v="1"/>
    <x v="4"/>
    <x v="0"/>
    <n v="23226"/>
    <x v="0"/>
    <m/>
    <n v="0"/>
    <n v="0"/>
    <n v="0"/>
    <n v="0"/>
    <n v="0"/>
    <n v="0"/>
    <n v="0"/>
    <n v="0"/>
    <n v="0"/>
    <n v="0"/>
  </r>
  <r>
    <d v="2022-02-04T00:00:00"/>
    <x v="1"/>
    <x v="9"/>
    <x v="2"/>
    <n v="23227"/>
    <x v="1"/>
    <m/>
    <n v="6"/>
    <n v="0"/>
    <n v="0"/>
    <n v="57.999999999999993"/>
    <n v="776.04"/>
    <n v="57.999999999999993"/>
    <n v="2606.52"/>
    <n v="3099.5199999999991"/>
    <n v="1937.2"/>
    <n v="8535.2799999999988"/>
  </r>
  <r>
    <d v="2022-02-04T00:00:00"/>
    <x v="1"/>
    <x v="6"/>
    <x v="1"/>
    <n v="23228"/>
    <x v="1"/>
    <m/>
    <n v="6"/>
    <n v="0"/>
    <n v="0"/>
    <n v="5157.3599999999997"/>
    <n v="1756.24"/>
    <n v="2133.2399999999998"/>
    <n v="887.40000000000009"/>
    <n v="7436.76"/>
    <n v="8430.880000000001"/>
    <n v="25801.88"/>
  </r>
  <r>
    <d v="2022-02-08T00:00:00"/>
    <x v="1"/>
    <x v="9"/>
    <x v="2"/>
    <n v="23229"/>
    <x v="1"/>
    <m/>
    <n v="4"/>
    <n v="0"/>
    <n v="396.71999999999997"/>
    <n v="2056.6799999999998"/>
    <n v="972.07999999999993"/>
    <n v="2713.2400000000002"/>
    <n v="0"/>
    <n v="0"/>
    <n v="0"/>
    <n v="6138.7199999999993"/>
  </r>
  <r>
    <d v="2022-02-08T00:00:00"/>
    <x v="1"/>
    <x v="18"/>
    <x v="0"/>
    <n v="23230"/>
    <x v="2"/>
    <m/>
    <n v="1"/>
    <n v="0"/>
    <n v="0"/>
    <n v="0"/>
    <n v="151.95999999999998"/>
    <n v="0"/>
    <n v="0"/>
    <n v="0"/>
    <n v="0"/>
    <n v="151.95999999999998"/>
  </r>
  <r>
    <d v="2022-02-08T00:00:00"/>
    <x v="1"/>
    <x v="18"/>
    <x v="0"/>
    <n v="23231"/>
    <x v="0"/>
    <m/>
    <n v="0"/>
    <n v="0"/>
    <n v="0"/>
    <n v="0"/>
    <n v="0"/>
    <n v="0"/>
    <n v="0"/>
    <n v="0"/>
    <n v="0"/>
    <n v="0"/>
  </r>
  <r>
    <d v="2022-01-08T00:00:00"/>
    <x v="0"/>
    <x v="11"/>
    <x v="3"/>
    <n v="23232"/>
    <x v="1"/>
    <m/>
    <n v="7"/>
    <n v="0"/>
    <n v="70.759999999999991"/>
    <n v="605.52"/>
    <n v="463.99999999999994"/>
    <n v="1021.9599999999999"/>
    <n v="832.88"/>
    <n v="807.3599999999999"/>
    <n v="1449.9999999999995"/>
    <n v="5252.48"/>
  </r>
  <r>
    <d v="2022-02-08T00:00:00"/>
    <x v="1"/>
    <x v="7"/>
    <x v="0"/>
    <n v="23233"/>
    <x v="1"/>
    <m/>
    <n v="3"/>
    <n v="0"/>
    <n v="0"/>
    <n v="0"/>
    <n v="0"/>
    <n v="198.35999999999999"/>
    <n v="3717.8"/>
    <n v="0"/>
    <n v="407.15999999999997"/>
    <n v="4323.3200000000006"/>
  </r>
  <r>
    <d v="2022-02-08T00:00:00"/>
    <x v="1"/>
    <x v="19"/>
    <x v="2"/>
    <n v="23234"/>
    <x v="2"/>
    <m/>
    <n v="2"/>
    <n v="0"/>
    <n v="0"/>
    <n v="136.88"/>
    <n v="0"/>
    <n v="0"/>
    <n v="5800"/>
    <n v="0"/>
    <n v="0"/>
    <n v="5936.88"/>
  </r>
  <r>
    <d v="2022-02-09T00:00:00"/>
    <x v="1"/>
    <x v="23"/>
    <x v="2"/>
    <n v="23235"/>
    <x v="2"/>
    <m/>
    <n v="2"/>
    <n v="0"/>
    <n v="0"/>
    <n v="0"/>
    <n v="0"/>
    <n v="0"/>
    <n v="1160"/>
    <n v="0"/>
    <n v="348"/>
    <n v="1508"/>
  </r>
  <r>
    <d v="2022-02-09T00:00:00"/>
    <x v="1"/>
    <x v="15"/>
    <x v="3"/>
    <n v="23236"/>
    <x v="0"/>
    <m/>
    <n v="0"/>
    <n v="0"/>
    <n v="0"/>
    <n v="0"/>
    <n v="0"/>
    <n v="0"/>
    <n v="0"/>
    <n v="0"/>
    <n v="0"/>
    <n v="0"/>
  </r>
  <r>
    <d v="2022-02-09T00:00:00"/>
    <x v="1"/>
    <x v="10"/>
    <x v="0"/>
    <n v="23237"/>
    <x v="0"/>
    <m/>
    <n v="0"/>
    <n v="0"/>
    <n v="0"/>
    <n v="0"/>
    <n v="0"/>
    <n v="0"/>
    <n v="0"/>
    <n v="0"/>
    <n v="0"/>
    <n v="0"/>
  </r>
  <r>
    <d v="2022-02-10T00:00:00"/>
    <x v="1"/>
    <x v="10"/>
    <x v="0"/>
    <n v="23238"/>
    <x v="2"/>
    <m/>
    <n v="1"/>
    <n v="0"/>
    <n v="0"/>
    <n v="0"/>
    <n v="0"/>
    <n v="0"/>
    <n v="11.6"/>
    <n v="0"/>
    <n v="0"/>
    <n v="11.6"/>
  </r>
  <r>
    <d v="2022-02-10T00:00:00"/>
    <x v="1"/>
    <x v="11"/>
    <x v="3"/>
    <n v="23239"/>
    <x v="0"/>
    <m/>
    <n v="0"/>
    <n v="0"/>
    <n v="0"/>
    <n v="0"/>
    <n v="0"/>
    <n v="0"/>
    <n v="0"/>
    <n v="0"/>
    <n v="0"/>
    <n v="0"/>
  </r>
  <r>
    <d v="2022-02-10T00:00:00"/>
    <x v="1"/>
    <x v="13"/>
    <x v="2"/>
    <n v="23240"/>
    <x v="1"/>
    <m/>
    <n v="5"/>
    <n v="0"/>
    <n v="0"/>
    <n v="2397.7199999999998"/>
    <n v="0"/>
    <n v="6276.7599999999984"/>
    <n v="5303.52"/>
    <n v="13752.959999999997"/>
    <n v="5158.5199999999986"/>
    <n v="32889.479999999996"/>
  </r>
  <r>
    <d v="2022-02-10T00:00:00"/>
    <x v="1"/>
    <x v="16"/>
    <x v="2"/>
    <n v="23241"/>
    <x v="1"/>
    <m/>
    <n v="5"/>
    <n v="0"/>
    <n v="1308.4799999999998"/>
    <n v="2300.2799999999993"/>
    <n v="2145.9999999999995"/>
    <n v="1006.88"/>
    <n v="2633.2000000000003"/>
    <n v="0"/>
    <n v="0"/>
    <n v="9394.8399999999983"/>
  </r>
  <r>
    <d v="2022-02-10T00:00:00"/>
    <x v="1"/>
    <x v="2"/>
    <x v="1"/>
    <n v="23242"/>
    <x v="2"/>
    <m/>
    <n v="2"/>
    <n v="0"/>
    <n v="0"/>
    <n v="0"/>
    <n v="0"/>
    <n v="0"/>
    <n v="27444.440000000002"/>
    <n v="0"/>
    <n v="1940.6799999999996"/>
    <n v="29385.120000000003"/>
  </r>
  <r>
    <d v="2022-02-11T00:00:00"/>
    <x v="1"/>
    <x v="25"/>
    <x v="4"/>
    <n v="23243"/>
    <x v="0"/>
    <m/>
    <n v="0"/>
    <n v="0"/>
    <n v="0"/>
    <n v="0"/>
    <n v="0"/>
    <n v="0"/>
    <n v="0"/>
    <n v="0"/>
    <n v="0"/>
    <n v="0"/>
  </r>
  <r>
    <d v="2022-02-11T00:00:00"/>
    <x v="1"/>
    <x v="13"/>
    <x v="2"/>
    <n v="23244"/>
    <x v="1"/>
    <m/>
    <n v="7"/>
    <n v="0"/>
    <n v="1648.36"/>
    <n v="3821.04"/>
    <n v="6950.7199999999984"/>
    <n v="5675.8799999999992"/>
    <n v="3829.16"/>
    <n v="6290.68"/>
    <n v="4637.68"/>
    <n v="32853.520000000004"/>
  </r>
  <r>
    <d v="2022-02-11T00:00:00"/>
    <x v="1"/>
    <x v="8"/>
    <x v="2"/>
    <n v="23245"/>
    <x v="0"/>
    <m/>
    <n v="0"/>
    <n v="0"/>
    <n v="0"/>
    <n v="0"/>
    <n v="0"/>
    <n v="0"/>
    <n v="0"/>
    <n v="0"/>
    <n v="0"/>
    <n v="0"/>
  </r>
  <r>
    <d v="2022-02-11T00:00:00"/>
    <x v="1"/>
    <x v="8"/>
    <x v="2"/>
    <n v="23246"/>
    <x v="0"/>
    <m/>
    <n v="0"/>
    <n v="0"/>
    <n v="0"/>
    <n v="0"/>
    <n v="0"/>
    <n v="0"/>
    <n v="0"/>
    <n v="0"/>
    <n v="0"/>
    <n v="0"/>
  </r>
  <r>
    <d v="2022-02-11T00:00:00"/>
    <x v="1"/>
    <x v="7"/>
    <x v="0"/>
    <n v="23247"/>
    <x v="1"/>
    <m/>
    <n v="3"/>
    <n v="0"/>
    <n v="8107.24"/>
    <n v="17606.479999999992"/>
    <n v="14146.199999999972"/>
    <n v="0"/>
    <n v="0"/>
    <n v="0"/>
    <n v="0"/>
    <n v="39859.919999999969"/>
  </r>
  <r>
    <d v="2022-02-12T00:00:00"/>
    <x v="1"/>
    <x v="2"/>
    <x v="1"/>
    <n v="23248"/>
    <x v="0"/>
    <m/>
    <n v="0"/>
    <n v="0"/>
    <n v="0"/>
    <n v="0"/>
    <n v="0"/>
    <n v="0"/>
    <n v="0"/>
    <n v="0"/>
    <n v="0"/>
    <n v="0"/>
  </r>
  <r>
    <d v="2022-02-12T00:00:00"/>
    <x v="1"/>
    <x v="9"/>
    <x v="2"/>
    <n v="23249"/>
    <x v="2"/>
    <m/>
    <n v="1"/>
    <n v="0"/>
    <n v="0"/>
    <n v="0"/>
    <n v="0"/>
    <n v="0"/>
    <n v="580"/>
    <n v="0"/>
    <n v="0"/>
    <n v="580"/>
  </r>
  <r>
    <d v="2022-02-12T00:00:00"/>
    <x v="1"/>
    <x v="8"/>
    <x v="2"/>
    <n v="23250"/>
    <x v="1"/>
    <m/>
    <n v="5"/>
    <n v="0"/>
    <n v="0"/>
    <n v="1237.7199999999998"/>
    <n v="0"/>
    <n v="2207.48"/>
    <n v="1227.28"/>
    <n v="11254.32"/>
    <n v="11745"/>
    <n v="27671.8"/>
  </r>
  <r>
    <d v="2022-02-12T00:00:00"/>
    <x v="1"/>
    <x v="13"/>
    <x v="2"/>
    <n v="23251"/>
    <x v="1"/>
    <m/>
    <n v="3"/>
    <n v="0"/>
    <n v="0"/>
    <n v="4776.88"/>
    <n v="676.28"/>
    <n v="2533.44"/>
    <n v="0"/>
    <n v="0"/>
    <n v="0"/>
    <n v="7986.6"/>
  </r>
  <r>
    <d v="2022-02-12T00:00:00"/>
    <x v="1"/>
    <x v="6"/>
    <x v="1"/>
    <n v="23252"/>
    <x v="1"/>
    <m/>
    <n v="6"/>
    <n v="0"/>
    <n v="546.36"/>
    <n v="1422.1599999999999"/>
    <n v="0"/>
    <n v="2396.56"/>
    <n v="1211.04"/>
    <n v="751.68"/>
    <n v="1390.84"/>
    <n v="7718.64"/>
  </r>
  <r>
    <d v="2022-02-15T00:00:00"/>
    <x v="1"/>
    <x v="13"/>
    <x v="2"/>
    <n v="23253"/>
    <x v="2"/>
    <m/>
    <n v="1"/>
    <n v="0"/>
    <n v="0"/>
    <n v="0"/>
    <n v="0"/>
    <n v="0"/>
    <n v="0"/>
    <n v="0"/>
    <n v="5051.7999999999984"/>
    <n v="5051.7999999999984"/>
  </r>
  <r>
    <d v="2022-01-15T00:00:00"/>
    <x v="0"/>
    <x v="15"/>
    <x v="3"/>
    <n v="23255"/>
    <x v="2"/>
    <m/>
    <n v="2"/>
    <n v="0"/>
    <n v="0"/>
    <n v="784.16"/>
    <n v="0"/>
    <n v="0"/>
    <n v="3016"/>
    <n v="0"/>
    <n v="0"/>
    <n v="3800.16"/>
  </r>
  <r>
    <d v="2022-02-15T00:00:00"/>
    <x v="1"/>
    <x v="10"/>
    <x v="0"/>
    <n v="23256"/>
    <x v="0"/>
    <m/>
    <n v="0"/>
    <n v="0"/>
    <n v="0"/>
    <n v="0"/>
    <n v="0"/>
    <n v="0"/>
    <n v="0"/>
    <n v="0"/>
    <n v="0"/>
    <n v="0"/>
  </r>
  <r>
    <d v="2022-02-15T00:00:00"/>
    <x v="1"/>
    <x v="11"/>
    <x v="3"/>
    <n v="23257"/>
    <x v="2"/>
    <m/>
    <n v="1"/>
    <n v="0"/>
    <n v="0"/>
    <n v="0"/>
    <n v="0"/>
    <n v="0"/>
    <n v="696"/>
    <n v="0"/>
    <n v="0"/>
    <n v="696"/>
  </r>
  <r>
    <d v="2022-02-15T00:00:00"/>
    <x v="1"/>
    <x v="3"/>
    <x v="0"/>
    <n v="23258"/>
    <x v="0"/>
    <m/>
    <n v="0"/>
    <n v="0"/>
    <n v="0"/>
    <n v="0"/>
    <n v="0"/>
    <n v="0"/>
    <n v="0"/>
    <n v="0"/>
    <n v="0"/>
    <n v="0"/>
  </r>
  <r>
    <d v="2022-02-16T00:00:00"/>
    <x v="1"/>
    <x v="9"/>
    <x v="2"/>
    <n v="23259"/>
    <x v="1"/>
    <m/>
    <n v="3"/>
    <n v="0"/>
    <n v="2650.599999999999"/>
    <n v="9152.4000000000051"/>
    <n v="3753.7599999999993"/>
    <n v="0"/>
    <n v="0"/>
    <n v="0"/>
    <n v="0"/>
    <n v="15556.760000000002"/>
  </r>
  <r>
    <d v="2022-02-17T00:00:00"/>
    <x v="1"/>
    <x v="9"/>
    <x v="2"/>
    <n v="23260"/>
    <x v="1"/>
    <m/>
    <n v="5"/>
    <n v="0"/>
    <n v="0"/>
    <n v="506.91999999999996"/>
    <n v="395.55999999999995"/>
    <n v="0"/>
    <n v="95.12"/>
    <n v="1131"/>
    <n v="1256.28"/>
    <n v="3384.88"/>
  </r>
  <r>
    <d v="2022-02-17T00:00:00"/>
    <x v="1"/>
    <x v="12"/>
    <x v="0"/>
    <n v="23261"/>
    <x v="0"/>
    <m/>
    <n v="0"/>
    <n v="0"/>
    <n v="0"/>
    <n v="0"/>
    <n v="0"/>
    <n v="0"/>
    <n v="0"/>
    <n v="0"/>
    <n v="0"/>
    <n v="0"/>
  </r>
  <r>
    <d v="2022-02-18T00:00:00"/>
    <x v="1"/>
    <x v="14"/>
    <x v="0"/>
    <n v="23262"/>
    <x v="1"/>
    <m/>
    <n v="5"/>
    <n v="0"/>
    <n v="0"/>
    <n v="0"/>
    <n v="1160"/>
    <n v="2320"/>
    <n v="8352"/>
    <n v="1160"/>
    <n v="2900"/>
    <n v="15892"/>
  </r>
  <r>
    <d v="2022-02-19T00:00:00"/>
    <x v="1"/>
    <x v="2"/>
    <x v="1"/>
    <n v="23263"/>
    <x v="2"/>
    <m/>
    <n v="1"/>
    <n v="0"/>
    <n v="0"/>
    <n v="0"/>
    <n v="0"/>
    <n v="0"/>
    <n v="1624"/>
    <n v="0"/>
    <n v="0"/>
    <n v="1624"/>
  </r>
  <r>
    <d v="2022-02-19T00:00:00"/>
    <x v="1"/>
    <x v="18"/>
    <x v="0"/>
    <n v="23264"/>
    <x v="0"/>
    <m/>
    <n v="0"/>
    <n v="0"/>
    <n v="0"/>
    <n v="0"/>
    <n v="0"/>
    <n v="0"/>
    <n v="0"/>
    <n v="0"/>
    <n v="0"/>
    <n v="0"/>
  </r>
  <r>
    <d v="2022-02-19T00:00:00"/>
    <x v="1"/>
    <x v="7"/>
    <x v="0"/>
    <n v="23265"/>
    <x v="1"/>
    <m/>
    <n v="5"/>
    <n v="0"/>
    <n v="0"/>
    <n v="327.12"/>
    <n v="0"/>
    <n v="93.96"/>
    <n v="81.2"/>
    <n v="3064.7200000000012"/>
    <n v="1643.7199999999998"/>
    <n v="5210.7200000000012"/>
  </r>
  <r>
    <d v="2022-02-19T00:00:00"/>
    <x v="1"/>
    <x v="14"/>
    <x v="0"/>
    <n v="23266"/>
    <x v="1"/>
    <m/>
    <n v="6"/>
    <n v="0"/>
    <n v="0"/>
    <n v="2217.92"/>
    <n v="1364.1599999999999"/>
    <n v="532.43999999999994"/>
    <n v="2894.2"/>
    <n v="1474.3599999999997"/>
    <n v="3309.4799999999996"/>
    <n v="11792.559999999998"/>
  </r>
  <r>
    <d v="2022-02-21T00:00:00"/>
    <x v="1"/>
    <x v="6"/>
    <x v="1"/>
    <n v="23267"/>
    <x v="2"/>
    <m/>
    <n v="2"/>
    <n v="0"/>
    <n v="0"/>
    <n v="194.88"/>
    <n v="0"/>
    <n v="0"/>
    <n v="0"/>
    <n v="976.71999999999991"/>
    <n v="0"/>
    <n v="1171.5999999999999"/>
  </r>
  <r>
    <d v="2022-02-21T00:00:00"/>
    <x v="1"/>
    <x v="2"/>
    <x v="1"/>
    <n v="23268"/>
    <x v="2"/>
    <m/>
    <n v="2"/>
    <n v="0"/>
    <n v="0"/>
    <n v="0"/>
    <n v="0"/>
    <n v="0"/>
    <n v="1133.3200000000002"/>
    <n v="0"/>
    <n v="618.28"/>
    <n v="1751.6000000000001"/>
  </r>
  <r>
    <d v="2022-02-21T00:00:00"/>
    <x v="1"/>
    <x v="0"/>
    <x v="0"/>
    <n v="23269"/>
    <x v="1"/>
    <m/>
    <n v="6"/>
    <n v="0"/>
    <n v="0"/>
    <n v="1359.52"/>
    <n v="3701.5599999999995"/>
    <n v="404.84"/>
    <n v="1270.1999999999998"/>
    <n v="2842"/>
    <n v="3528.7199999999989"/>
    <n v="13106.839999999998"/>
  </r>
  <r>
    <d v="2022-02-22T00:00:00"/>
    <x v="1"/>
    <x v="11"/>
    <x v="3"/>
    <n v="23270"/>
    <x v="0"/>
    <m/>
    <n v="0"/>
    <n v="0"/>
    <n v="0"/>
    <n v="0"/>
    <n v="0"/>
    <n v="0"/>
    <n v="0"/>
    <n v="0"/>
    <n v="0"/>
    <n v="0"/>
  </r>
  <r>
    <d v="2022-02-22T00:00:00"/>
    <x v="1"/>
    <x v="4"/>
    <x v="0"/>
    <n v="23271"/>
    <x v="1"/>
    <m/>
    <n v="6"/>
    <n v="0"/>
    <n v="0"/>
    <n v="2277.0800000000004"/>
    <n v="5079.6399999999985"/>
    <n v="3853.5199999999991"/>
    <n v="5079.6400000000003"/>
    <n v="26211.360000000008"/>
    <n v="53210.360000000088"/>
    <n v="95711.600000000093"/>
  </r>
  <r>
    <d v="2022-02-22T00:00:00"/>
    <x v="1"/>
    <x v="8"/>
    <x v="2"/>
    <n v="23272"/>
    <x v="2"/>
    <m/>
    <n v="1"/>
    <n v="0"/>
    <n v="0"/>
    <n v="0"/>
    <n v="0"/>
    <n v="0"/>
    <n v="1160"/>
    <n v="0"/>
    <n v="0"/>
    <n v="1160"/>
  </r>
  <r>
    <d v="2022-02-22T00:00:00"/>
    <x v="1"/>
    <x v="18"/>
    <x v="0"/>
    <n v="23273"/>
    <x v="0"/>
    <m/>
    <n v="0"/>
    <n v="0"/>
    <n v="0"/>
    <n v="0"/>
    <n v="0"/>
    <n v="0"/>
    <n v="0"/>
    <n v="0"/>
    <n v="0"/>
    <n v="0"/>
  </r>
  <r>
    <d v="2022-02-22T00:00:00"/>
    <x v="1"/>
    <x v="16"/>
    <x v="2"/>
    <n v="23274"/>
    <x v="2"/>
    <m/>
    <n v="2"/>
    <n v="0"/>
    <n v="0"/>
    <n v="0"/>
    <n v="115.99999999999999"/>
    <n v="10609.36000000001"/>
    <n v="0"/>
    <n v="0"/>
    <n v="0"/>
    <n v="10725.36000000001"/>
  </r>
  <r>
    <d v="2022-02-23T00:00:00"/>
    <x v="1"/>
    <x v="5"/>
    <x v="0"/>
    <n v="23275"/>
    <x v="2"/>
    <m/>
    <n v="2"/>
    <n v="0"/>
    <n v="0"/>
    <n v="0"/>
    <n v="0"/>
    <n v="0"/>
    <n v="1472.04"/>
    <n v="0"/>
    <n v="1300.3600000000004"/>
    <n v="2772.4000000000005"/>
  </r>
  <r>
    <d v="2022-02-23T00:00:00"/>
    <x v="1"/>
    <x v="4"/>
    <x v="0"/>
    <n v="23276"/>
    <x v="0"/>
    <m/>
    <n v="0"/>
    <n v="0"/>
    <n v="0"/>
    <n v="0"/>
    <n v="0"/>
    <n v="0"/>
    <n v="0"/>
    <n v="0"/>
    <n v="0"/>
    <n v="0"/>
  </r>
  <r>
    <d v="2022-02-23T00:00:00"/>
    <x v="1"/>
    <x v="4"/>
    <x v="0"/>
    <n v="23277"/>
    <x v="1"/>
    <m/>
    <n v="4"/>
    <n v="0"/>
    <n v="0"/>
    <n v="2648.2799999999997"/>
    <n v="3594.84"/>
    <n v="1198.28"/>
    <n v="1198.28"/>
    <n v="0"/>
    <n v="0"/>
    <n v="8639.68"/>
  </r>
  <r>
    <d v="2022-02-23T00:00:00"/>
    <x v="1"/>
    <x v="4"/>
    <x v="0"/>
    <n v="23278"/>
    <x v="0"/>
    <m/>
    <n v="0"/>
    <n v="0"/>
    <n v="0"/>
    <n v="0"/>
    <n v="0"/>
    <n v="0"/>
    <n v="0"/>
    <n v="0"/>
    <n v="0"/>
    <n v="0"/>
  </r>
  <r>
    <d v="2022-02-23T00:00:00"/>
    <x v="1"/>
    <x v="12"/>
    <x v="0"/>
    <n v="23279"/>
    <x v="1"/>
    <m/>
    <n v="6"/>
    <n v="0"/>
    <n v="0"/>
    <n v="5071.5199999999995"/>
    <n v="582.31999999999994"/>
    <n v="2324.64"/>
    <n v="2555.48"/>
    <n v="2451.08"/>
    <n v="3710.84"/>
    <n v="16695.879999999997"/>
  </r>
  <r>
    <d v="2022-02-23T00:00:00"/>
    <x v="1"/>
    <x v="6"/>
    <x v="1"/>
    <n v="23280"/>
    <x v="1"/>
    <m/>
    <n v="6"/>
    <n v="0"/>
    <n v="0"/>
    <n v="1763.1999999999998"/>
    <n v="2643.64"/>
    <n v="1276"/>
    <n v="1451.16"/>
    <n v="5184.0400000000009"/>
    <n v="2162.2399999999998"/>
    <n v="14480.28"/>
  </r>
  <r>
    <d v="2022-02-23T00:00:00"/>
    <x v="1"/>
    <x v="2"/>
    <x v="1"/>
    <n v="23281"/>
    <x v="2"/>
    <m/>
    <n v="1"/>
    <n v="0"/>
    <n v="0"/>
    <n v="0"/>
    <n v="0"/>
    <n v="0"/>
    <n v="870"/>
    <n v="0"/>
    <n v="0"/>
    <n v="870"/>
  </r>
  <r>
    <d v="2022-02-24T00:00:00"/>
    <x v="1"/>
    <x v="4"/>
    <x v="0"/>
    <n v="23282"/>
    <x v="1"/>
    <m/>
    <n v="5"/>
    <n v="0"/>
    <n v="0"/>
    <n v="6496"/>
    <n v="2320"/>
    <n v="9164"/>
    <n v="6960"/>
    <n v="9280"/>
    <n v="0"/>
    <n v="34220"/>
  </r>
  <r>
    <d v="2022-02-24T00:00:00"/>
    <x v="1"/>
    <x v="5"/>
    <x v="0"/>
    <n v="23283"/>
    <x v="1"/>
    <m/>
    <n v="6"/>
    <n v="0"/>
    <n v="0"/>
    <n v="28776.120000000017"/>
    <n v="72748.239999999874"/>
    <n v="76254.919999999853"/>
    <n v="117447.67999999999"/>
    <n v="58730.799999999843"/>
    <n v="61485.799999999865"/>
    <n v="415443.55999999942"/>
  </r>
  <r>
    <d v="2022-02-24T00:00:00"/>
    <x v="1"/>
    <x v="4"/>
    <x v="0"/>
    <n v="23284"/>
    <x v="2"/>
    <m/>
    <n v="2"/>
    <n v="0"/>
    <n v="0"/>
    <n v="0"/>
    <n v="0"/>
    <n v="0"/>
    <n v="423.40000000000003"/>
    <n v="0"/>
    <n v="1081.1199999999999"/>
    <n v="1504.52"/>
  </r>
  <r>
    <d v="2022-02-24T00:00:00"/>
    <x v="1"/>
    <x v="4"/>
    <x v="0"/>
    <n v="23285"/>
    <x v="0"/>
    <m/>
    <n v="0"/>
    <n v="0"/>
    <n v="0"/>
    <n v="0"/>
    <n v="0"/>
    <n v="0"/>
    <n v="0"/>
    <n v="0"/>
    <n v="0"/>
    <n v="0"/>
  </r>
  <r>
    <d v="2022-02-24T00:00:00"/>
    <x v="1"/>
    <x v="16"/>
    <x v="2"/>
    <n v="23286"/>
    <x v="0"/>
    <m/>
    <n v="0"/>
    <n v="0"/>
    <n v="0"/>
    <n v="0"/>
    <n v="0"/>
    <n v="0"/>
    <n v="0"/>
    <n v="0"/>
    <n v="0"/>
    <n v="0"/>
  </r>
  <r>
    <d v="2022-02-25T00:00:00"/>
    <x v="1"/>
    <x v="11"/>
    <x v="3"/>
    <n v="23287"/>
    <x v="1"/>
    <m/>
    <n v="6"/>
    <n v="0"/>
    <n v="0"/>
    <n v="2107.7199999999998"/>
    <n v="494.15999999999997"/>
    <n v="951.2"/>
    <n v="395.56000000000006"/>
    <n v="1310.7999999999997"/>
    <n v="1735.36"/>
    <n v="6994.7999999999993"/>
  </r>
  <r>
    <d v="2022-02-25T00:00:00"/>
    <x v="1"/>
    <x v="11"/>
    <x v="3"/>
    <n v="23288"/>
    <x v="2"/>
    <m/>
    <n v="1"/>
    <n v="0"/>
    <n v="0"/>
    <n v="220.39999999999998"/>
    <n v="0"/>
    <n v="0"/>
    <n v="0"/>
    <n v="0"/>
    <n v="0"/>
    <n v="220.39999999999998"/>
  </r>
  <r>
    <d v="2022-02-25T00:00:00"/>
    <x v="1"/>
    <x v="11"/>
    <x v="3"/>
    <n v="23289"/>
    <x v="1"/>
    <m/>
    <n v="3"/>
    <n v="0"/>
    <n v="0"/>
    <n v="0"/>
    <n v="1840.92"/>
    <n v="18684.120000000024"/>
    <n v="1044"/>
    <n v="0"/>
    <n v="0"/>
    <n v="21569.040000000023"/>
  </r>
  <r>
    <d v="2022-02-28T00:00:00"/>
    <x v="1"/>
    <x v="9"/>
    <x v="2"/>
    <n v="23290"/>
    <x v="0"/>
    <m/>
    <n v="0"/>
    <n v="0"/>
    <n v="0"/>
    <n v="0"/>
    <n v="0"/>
    <n v="0"/>
    <n v="0"/>
    <n v="0"/>
    <n v="0"/>
    <n v="0"/>
  </r>
  <r>
    <d v="2022-02-28T00:00:00"/>
    <x v="1"/>
    <x v="3"/>
    <x v="0"/>
    <n v="23291"/>
    <x v="0"/>
    <m/>
    <n v="0"/>
    <n v="0"/>
    <n v="0"/>
    <n v="0"/>
    <n v="0"/>
    <n v="0"/>
    <n v="0"/>
    <n v="0"/>
    <n v="0"/>
    <n v="0"/>
  </r>
  <r>
    <d v="2022-03-01T00:00:00"/>
    <x v="2"/>
    <x v="23"/>
    <x v="2"/>
    <n v="23292"/>
    <x v="1"/>
    <m/>
    <n v="3"/>
    <n v="0"/>
    <n v="0"/>
    <n v="1224.9599999999998"/>
    <n v="1719.12"/>
    <n v="0"/>
    <n v="0"/>
    <n v="1127.5199999999998"/>
    <n v="0"/>
    <n v="4071.5999999999995"/>
  </r>
  <r>
    <d v="2022-03-01T00:00:00"/>
    <x v="2"/>
    <x v="23"/>
    <x v="2"/>
    <n v="23293"/>
    <x v="0"/>
    <m/>
    <n v="0"/>
    <n v="0"/>
    <n v="0"/>
    <n v="0"/>
    <n v="0"/>
    <n v="0"/>
    <n v="0"/>
    <n v="0"/>
    <n v="0"/>
    <n v="0"/>
  </r>
  <r>
    <d v="2022-03-01T00:00:00"/>
    <x v="2"/>
    <x v="11"/>
    <x v="3"/>
    <n v="23294"/>
    <x v="1"/>
    <m/>
    <n v="5"/>
    <n v="0"/>
    <n v="0"/>
    <n v="0"/>
    <n v="610.16"/>
    <n v="293.47999999999996"/>
    <n v="3711.9999999999995"/>
    <n v="3579.7599999999993"/>
    <n v="3064.7199999999989"/>
    <n v="11260.119999999997"/>
  </r>
  <r>
    <d v="2022-03-01T00:00:00"/>
    <x v="2"/>
    <x v="9"/>
    <x v="2"/>
    <n v="23295"/>
    <x v="1"/>
    <m/>
    <n v="4"/>
    <n v="0"/>
    <n v="0"/>
    <n v="0"/>
    <n v="0"/>
    <n v="2603.0399999999995"/>
    <n v="9184.880000000001"/>
    <n v="2583.3199999999997"/>
    <n v="2402.3599999999997"/>
    <n v="16773.599999999999"/>
  </r>
  <r>
    <d v="2022-03-01T00:00:00"/>
    <x v="2"/>
    <x v="15"/>
    <x v="3"/>
    <n v="23296"/>
    <x v="2"/>
    <m/>
    <n v="1"/>
    <n v="0"/>
    <n v="0"/>
    <n v="0"/>
    <n v="0"/>
    <n v="0"/>
    <n v="613.64"/>
    <n v="0"/>
    <n v="0"/>
    <n v="613.64"/>
  </r>
  <r>
    <d v="2022-03-01T00:00:00"/>
    <x v="2"/>
    <x v="11"/>
    <x v="3"/>
    <n v="23297"/>
    <x v="1"/>
    <m/>
    <n v="6"/>
    <n v="0"/>
    <n v="0"/>
    <n v="4932.32"/>
    <n v="4989.16"/>
    <n v="3834.9599999999996"/>
    <n v="9332.2000000000007"/>
    <n v="3270.0399999999995"/>
    <n v="6426.4000000000005"/>
    <n v="32785.08"/>
  </r>
  <r>
    <d v="2022-03-01T00:00:00"/>
    <x v="2"/>
    <x v="5"/>
    <x v="0"/>
    <n v="23298"/>
    <x v="1"/>
    <m/>
    <n v="6"/>
    <n v="0"/>
    <n v="0"/>
    <n v="3602.9599999999991"/>
    <n v="2679.5999999999995"/>
    <n v="3282.7999999999993"/>
    <n v="5305.84"/>
    <n v="3336.1599999999989"/>
    <n v="5305.8400000000011"/>
    <n v="23513.199999999997"/>
  </r>
  <r>
    <d v="2022-03-02T00:00:00"/>
    <x v="2"/>
    <x v="11"/>
    <x v="3"/>
    <n v="23299"/>
    <x v="1"/>
    <m/>
    <n v="3"/>
    <n v="0"/>
    <n v="0"/>
    <n v="0"/>
    <n v="0"/>
    <n v="0"/>
    <n v="970.92"/>
    <n v="2674.96"/>
    <n v="2988.16"/>
    <n v="6634.04"/>
  </r>
  <r>
    <d v="2022-03-02T00:00:00"/>
    <x v="2"/>
    <x v="0"/>
    <x v="0"/>
    <n v="23300"/>
    <x v="0"/>
    <m/>
    <n v="0"/>
    <n v="0"/>
    <n v="0"/>
    <n v="0"/>
    <n v="0"/>
    <n v="0"/>
    <n v="0"/>
    <n v="0"/>
    <n v="0"/>
    <n v="0"/>
  </r>
  <r>
    <d v="2022-03-02T00:00:00"/>
    <x v="2"/>
    <x v="0"/>
    <x v="0"/>
    <n v="23301"/>
    <x v="0"/>
    <m/>
    <n v="0"/>
    <n v="0"/>
    <n v="0"/>
    <n v="0"/>
    <n v="0"/>
    <n v="0"/>
    <n v="0"/>
    <n v="0"/>
    <n v="0"/>
    <n v="0"/>
  </r>
  <r>
    <d v="2022-03-02T00:00:00"/>
    <x v="2"/>
    <x v="8"/>
    <x v="2"/>
    <n v="23302"/>
    <x v="2"/>
    <m/>
    <n v="1"/>
    <n v="0"/>
    <n v="0"/>
    <n v="278.39999999999998"/>
    <n v="0"/>
    <n v="0"/>
    <n v="0"/>
    <n v="0"/>
    <n v="0"/>
    <n v="278.39999999999998"/>
  </r>
  <r>
    <d v="2022-03-02T00:00:00"/>
    <x v="2"/>
    <x v="9"/>
    <x v="2"/>
    <n v="23303"/>
    <x v="1"/>
    <m/>
    <n v="4"/>
    <n v="0"/>
    <n v="0"/>
    <n v="408.32"/>
    <n v="567.2399999999999"/>
    <n v="213.44"/>
    <n v="7440.24"/>
    <n v="0"/>
    <n v="0"/>
    <n v="8629.24"/>
  </r>
  <r>
    <d v="2022-03-03T00:00:00"/>
    <x v="2"/>
    <x v="24"/>
    <x v="3"/>
    <n v="23304"/>
    <x v="0"/>
    <m/>
    <n v="0"/>
    <n v="0"/>
    <n v="0"/>
    <n v="0"/>
    <n v="0"/>
    <n v="0"/>
    <n v="0"/>
    <n v="0"/>
    <n v="0"/>
    <n v="0"/>
  </r>
  <r>
    <d v="2022-03-03T00:00:00"/>
    <x v="2"/>
    <x v="14"/>
    <x v="0"/>
    <n v="23305"/>
    <x v="0"/>
    <m/>
    <n v="0"/>
    <n v="0"/>
    <n v="0"/>
    <n v="0"/>
    <n v="0"/>
    <n v="0"/>
    <n v="0"/>
    <n v="0"/>
    <n v="0"/>
    <n v="0"/>
  </r>
  <r>
    <d v="2022-03-04T00:00:00"/>
    <x v="2"/>
    <x v="12"/>
    <x v="0"/>
    <n v="23306"/>
    <x v="0"/>
    <m/>
    <n v="0"/>
    <n v="0"/>
    <n v="0"/>
    <n v="0"/>
    <n v="0"/>
    <n v="0"/>
    <n v="0"/>
    <n v="0"/>
    <n v="0"/>
    <n v="0"/>
  </r>
  <r>
    <d v="2022-03-04T00:00:00"/>
    <x v="2"/>
    <x v="4"/>
    <x v="0"/>
    <n v="23307"/>
    <x v="0"/>
    <m/>
    <n v="0"/>
    <n v="0"/>
    <n v="0"/>
    <n v="0"/>
    <n v="0"/>
    <n v="0"/>
    <n v="0"/>
    <n v="0"/>
    <n v="0"/>
    <n v="0"/>
  </r>
  <r>
    <d v="2022-03-07T00:00:00"/>
    <x v="2"/>
    <x v="6"/>
    <x v="1"/>
    <n v="23308"/>
    <x v="1"/>
    <m/>
    <n v="6"/>
    <n v="0"/>
    <n v="0"/>
    <n v="1676.1999999999998"/>
    <n v="3473.04"/>
    <n v="3735.2"/>
    <n v="989.48"/>
    <n v="1434.92"/>
    <n v="2053.1999999999998"/>
    <n v="13362.039999999997"/>
  </r>
  <r>
    <d v="2022-03-07T00:00:00"/>
    <x v="2"/>
    <x v="11"/>
    <x v="3"/>
    <n v="23309"/>
    <x v="1"/>
    <m/>
    <n v="4"/>
    <n v="0"/>
    <n v="0"/>
    <n v="0"/>
    <n v="0"/>
    <n v="501.11999999999995"/>
    <n v="377"/>
    <n v="377"/>
    <n v="515.04"/>
    <n v="1770.1599999999999"/>
  </r>
  <r>
    <d v="2022-03-07T00:00:00"/>
    <x v="2"/>
    <x v="6"/>
    <x v="1"/>
    <n v="23310"/>
    <x v="1"/>
    <m/>
    <n v="6"/>
    <n v="0"/>
    <n v="0"/>
    <n v="22187.320000000014"/>
    <n v="8079.4"/>
    <n v="15293.439999999979"/>
    <n v="38485.320000000007"/>
    <n v="10830.919999999986"/>
    <n v="39023.560000000019"/>
    <n v="133899.96000000002"/>
  </r>
  <r>
    <d v="2022-03-08T00:00:00"/>
    <x v="2"/>
    <x v="5"/>
    <x v="0"/>
    <n v="23311"/>
    <x v="0"/>
    <m/>
    <n v="0"/>
    <n v="0"/>
    <n v="0"/>
    <n v="0"/>
    <n v="0"/>
    <n v="0"/>
    <n v="0"/>
    <n v="0"/>
    <n v="0"/>
    <n v="0"/>
  </r>
  <r>
    <d v="2022-03-08T00:00:00"/>
    <x v="2"/>
    <x v="8"/>
    <x v="2"/>
    <n v="23312"/>
    <x v="1"/>
    <m/>
    <n v="3"/>
    <n v="0"/>
    <n v="0"/>
    <n v="5740.8399999999992"/>
    <n v="1501.0400000000002"/>
    <n v="1042.8399999999999"/>
    <n v="0"/>
    <n v="0"/>
    <n v="0"/>
    <n v="8284.7199999999993"/>
  </r>
  <r>
    <d v="2022-03-08T00:00:00"/>
    <x v="2"/>
    <x v="21"/>
    <x v="1"/>
    <n v="23313"/>
    <x v="0"/>
    <m/>
    <n v="0"/>
    <n v="0"/>
    <n v="0"/>
    <n v="0"/>
    <n v="0"/>
    <n v="0"/>
    <n v="0"/>
    <n v="0"/>
    <n v="0"/>
    <n v="0"/>
  </r>
  <r>
    <d v="2022-03-10T00:00:00"/>
    <x v="2"/>
    <x v="7"/>
    <x v="0"/>
    <n v="23314"/>
    <x v="0"/>
    <m/>
    <n v="0"/>
    <n v="0"/>
    <n v="0"/>
    <n v="0"/>
    <n v="0"/>
    <n v="0"/>
    <n v="0"/>
    <n v="0"/>
    <n v="0"/>
    <n v="0"/>
  </r>
  <r>
    <d v="2022-03-10T00:00:00"/>
    <x v="2"/>
    <x v="2"/>
    <x v="1"/>
    <n v="23315"/>
    <x v="0"/>
    <m/>
    <n v="0"/>
    <n v="0"/>
    <n v="0"/>
    <n v="0"/>
    <n v="0"/>
    <n v="0"/>
    <n v="0"/>
    <n v="0"/>
    <n v="0"/>
    <n v="0"/>
  </r>
  <r>
    <d v="2022-03-10T00:00:00"/>
    <x v="2"/>
    <x v="26"/>
    <x v="2"/>
    <n v="23316"/>
    <x v="2"/>
    <m/>
    <n v="2"/>
    <n v="0"/>
    <n v="0"/>
    <n v="791.11999999999989"/>
    <n v="169.35999999999999"/>
    <n v="0"/>
    <n v="0"/>
    <n v="0"/>
    <n v="0"/>
    <n v="960.4799999999999"/>
  </r>
  <r>
    <d v="2022-03-10T00:00:00"/>
    <x v="2"/>
    <x v="9"/>
    <x v="2"/>
    <n v="23317"/>
    <x v="1"/>
    <m/>
    <n v="6"/>
    <n v="0"/>
    <n v="0"/>
    <n v="665.83999999999992"/>
    <n v="3411.5600000000009"/>
    <n v="3933.5600000000009"/>
    <n v="2061.3199999999997"/>
    <n v="2119.3199999999997"/>
    <n v="723.83999999999992"/>
    <n v="12915.44"/>
  </r>
  <r>
    <d v="2022-03-10T00:00:00"/>
    <x v="2"/>
    <x v="9"/>
    <x v="2"/>
    <n v="23318"/>
    <x v="0"/>
    <m/>
    <n v="0"/>
    <n v="0"/>
    <n v="0"/>
    <n v="0"/>
    <n v="0"/>
    <n v="0"/>
    <n v="0"/>
    <n v="0"/>
    <n v="0"/>
    <n v="0"/>
  </r>
  <r>
    <d v="2022-03-10T00:00:00"/>
    <x v="2"/>
    <x v="9"/>
    <x v="2"/>
    <n v="23319"/>
    <x v="1"/>
    <m/>
    <n v="5"/>
    <n v="0"/>
    <n v="0"/>
    <n v="0"/>
    <n v="459.3599999999999"/>
    <n v="588.12"/>
    <n v="346.84"/>
    <n v="385.11999999999995"/>
    <n v="83.52"/>
    <n v="1862.9599999999998"/>
  </r>
  <r>
    <d v="2022-03-10T00:00:00"/>
    <x v="2"/>
    <x v="19"/>
    <x v="2"/>
    <n v="23320"/>
    <x v="0"/>
    <m/>
    <n v="0"/>
    <n v="0"/>
    <n v="0"/>
    <n v="0"/>
    <n v="0"/>
    <n v="0"/>
    <n v="0"/>
    <n v="0"/>
    <n v="0"/>
    <n v="0"/>
  </r>
  <r>
    <d v="2022-03-10T00:00:00"/>
    <x v="2"/>
    <x v="1"/>
    <x v="0"/>
    <n v="23321"/>
    <x v="0"/>
    <m/>
    <n v="0"/>
    <n v="0"/>
    <n v="0"/>
    <n v="0"/>
    <n v="0"/>
    <n v="0"/>
    <n v="0"/>
    <n v="0"/>
    <n v="0"/>
    <n v="0"/>
  </r>
  <r>
    <d v="2022-03-11T00:00:00"/>
    <x v="2"/>
    <x v="1"/>
    <x v="0"/>
    <n v="23322"/>
    <x v="1"/>
    <m/>
    <n v="6"/>
    <n v="0"/>
    <n v="0"/>
    <n v="1794.5199999999998"/>
    <n v="2176.16"/>
    <n v="1229.5999999999999"/>
    <n v="5766.3599999999988"/>
    <n v="3649.36"/>
    <n v="1796.84"/>
    <n v="16412.839999999997"/>
  </r>
  <r>
    <d v="2022-03-11T00:00:00"/>
    <x v="2"/>
    <x v="1"/>
    <x v="0"/>
    <n v="23323"/>
    <x v="2"/>
    <m/>
    <n v="1"/>
    <n v="0"/>
    <n v="0"/>
    <n v="0"/>
    <n v="0"/>
    <n v="0"/>
    <n v="0"/>
    <n v="115.99999999999999"/>
    <n v="0"/>
    <n v="115.99999999999999"/>
  </r>
  <r>
    <d v="2022-03-11T00:00:00"/>
    <x v="2"/>
    <x v="23"/>
    <x v="2"/>
    <n v="23324"/>
    <x v="2"/>
    <m/>
    <n v="2"/>
    <n v="0"/>
    <n v="0"/>
    <n v="0"/>
    <n v="0"/>
    <n v="0"/>
    <n v="1624"/>
    <n v="1450"/>
    <n v="0"/>
    <n v="3074"/>
  </r>
  <r>
    <d v="2022-03-11T00:00:00"/>
    <x v="2"/>
    <x v="24"/>
    <x v="3"/>
    <n v="23325"/>
    <x v="0"/>
    <m/>
    <n v="0"/>
    <n v="0"/>
    <n v="0"/>
    <n v="0"/>
    <n v="0"/>
    <n v="0"/>
    <n v="0"/>
    <n v="0"/>
    <n v="0"/>
    <n v="0"/>
  </r>
  <r>
    <d v="2022-03-11T00:00:00"/>
    <x v="2"/>
    <x v="24"/>
    <x v="3"/>
    <n v="23326"/>
    <x v="0"/>
    <m/>
    <n v="0"/>
    <n v="0"/>
    <n v="0"/>
    <n v="0"/>
    <n v="0"/>
    <n v="0"/>
    <n v="0"/>
    <n v="0"/>
    <n v="0"/>
    <n v="0"/>
  </r>
  <r>
    <d v="2022-03-11T00:00:00"/>
    <x v="2"/>
    <x v="6"/>
    <x v="1"/>
    <n v="23327"/>
    <x v="1"/>
    <m/>
    <n v="5"/>
    <n v="0"/>
    <n v="0"/>
    <n v="380.47999999999996"/>
    <n v="380.47999999999996"/>
    <n v="380.47999999999996"/>
    <n v="0"/>
    <n v="760.95999999999992"/>
    <n v="760.95999999999992"/>
    <n v="2663.3599999999997"/>
  </r>
  <r>
    <d v="2022-03-11T00:00:00"/>
    <x v="2"/>
    <x v="27"/>
    <x v="1"/>
    <n v="23328"/>
    <x v="1"/>
    <m/>
    <n v="6"/>
    <n v="0"/>
    <n v="0"/>
    <n v="3307.1600000000008"/>
    <n v="10808.880000000003"/>
    <n v="5163.1600000000017"/>
    <n v="3763.04"/>
    <n v="4130.76"/>
    <n v="4119.16"/>
    <n v="31292.160000000007"/>
  </r>
  <r>
    <d v="2022-03-11T00:00:00"/>
    <x v="2"/>
    <x v="16"/>
    <x v="2"/>
    <n v="23329"/>
    <x v="1"/>
    <m/>
    <n v="6"/>
    <n v="0"/>
    <n v="0"/>
    <n v="9218.52"/>
    <n v="13668.279999999981"/>
    <n v="7151.4000000000005"/>
    <n v="12610.36"/>
    <n v="7673.4000000000015"/>
    <n v="22532.999999999967"/>
    <n v="72854.959999999948"/>
  </r>
  <r>
    <d v="2022-03-12T00:00:00"/>
    <x v="2"/>
    <x v="15"/>
    <x v="3"/>
    <n v="23330"/>
    <x v="0"/>
    <m/>
    <n v="0"/>
    <n v="0"/>
    <n v="0"/>
    <n v="0"/>
    <n v="0"/>
    <n v="0"/>
    <n v="0"/>
    <n v="0"/>
    <n v="0"/>
    <n v="0"/>
  </r>
  <r>
    <d v="2022-03-12T00:00:00"/>
    <x v="2"/>
    <x v="15"/>
    <x v="3"/>
    <n v="23331"/>
    <x v="2"/>
    <m/>
    <n v="2"/>
    <n v="0"/>
    <n v="0"/>
    <n v="0"/>
    <n v="1824.6799999999998"/>
    <n v="0"/>
    <n v="136.88"/>
    <n v="0"/>
    <n v="0"/>
    <n v="1961.56"/>
  </r>
  <r>
    <d v="2022-03-12T00:00:00"/>
    <x v="2"/>
    <x v="28"/>
    <x v="2"/>
    <n v="23332"/>
    <x v="1"/>
    <m/>
    <n v="6"/>
    <n v="0"/>
    <n v="0"/>
    <n v="4629.5600000000022"/>
    <n v="5932.2399999999989"/>
    <n v="7415.8799999999965"/>
    <n v="9514.32"/>
    <n v="9385.5599999999977"/>
    <n v="12736.800000000001"/>
    <n v="49614.36"/>
  </r>
  <r>
    <d v="2022-03-14T00:00:00"/>
    <x v="2"/>
    <x v="27"/>
    <x v="1"/>
    <n v="23333"/>
    <x v="1"/>
    <m/>
    <n v="6"/>
    <n v="0"/>
    <n v="0"/>
    <n v="2346.6799999999994"/>
    <n v="634.52"/>
    <n v="6809.2000000000007"/>
    <n v="2589.12"/>
    <n v="6002.9999999999991"/>
    <n v="6470.4800000000005"/>
    <n v="24853"/>
  </r>
  <r>
    <d v="2022-03-14T00:00:00"/>
    <x v="2"/>
    <x v="15"/>
    <x v="3"/>
    <n v="23334"/>
    <x v="1"/>
    <m/>
    <n v="4"/>
    <n v="0"/>
    <n v="0"/>
    <n v="0"/>
    <n v="0"/>
    <n v="2751.5199999999995"/>
    <n v="6601.5599999999995"/>
    <n v="4570.4000000000005"/>
    <n v="3635.44"/>
    <n v="17558.919999999998"/>
  </r>
  <r>
    <d v="2022-03-14T00:00:00"/>
    <x v="2"/>
    <x v="13"/>
    <x v="2"/>
    <n v="23335"/>
    <x v="1"/>
    <m/>
    <n v="4"/>
    <n v="0"/>
    <n v="0"/>
    <n v="992.95999999999992"/>
    <n v="1031.24"/>
    <n v="0"/>
    <n v="134.56"/>
    <n v="2940.6"/>
    <n v="0"/>
    <n v="5099.3599999999997"/>
  </r>
  <r>
    <d v="2022-03-16T00:00:00"/>
    <x v="2"/>
    <x v="6"/>
    <x v="1"/>
    <n v="23336"/>
    <x v="0"/>
    <m/>
    <n v="0"/>
    <n v="0"/>
    <n v="0"/>
    <n v="0"/>
    <n v="0"/>
    <n v="0"/>
    <n v="0"/>
    <n v="0"/>
    <n v="0"/>
    <n v="0"/>
  </r>
  <r>
    <d v="2022-03-16T00:00:00"/>
    <x v="2"/>
    <x v="24"/>
    <x v="3"/>
    <n v="23337"/>
    <x v="2"/>
    <m/>
    <n v="1"/>
    <n v="0"/>
    <n v="0"/>
    <n v="0"/>
    <n v="0"/>
    <n v="0"/>
    <n v="0"/>
    <n v="0"/>
    <n v="406"/>
    <n v="406"/>
  </r>
  <r>
    <d v="2022-03-16T00:00:00"/>
    <x v="2"/>
    <x v="28"/>
    <x v="2"/>
    <n v="23338"/>
    <x v="0"/>
    <m/>
    <n v="0"/>
    <n v="0"/>
    <n v="0"/>
    <n v="0"/>
    <n v="0"/>
    <n v="0"/>
    <n v="0"/>
    <n v="0"/>
    <n v="0"/>
    <n v="0"/>
  </r>
  <r>
    <d v="2022-03-16T00:00:00"/>
    <x v="2"/>
    <x v="8"/>
    <x v="2"/>
    <n v="23339"/>
    <x v="0"/>
    <m/>
    <n v="0"/>
    <n v="0"/>
    <n v="0"/>
    <n v="0"/>
    <n v="0"/>
    <n v="0"/>
    <n v="0"/>
    <n v="0"/>
    <n v="0"/>
    <n v="0"/>
  </r>
  <r>
    <d v="2022-03-17T00:00:00"/>
    <x v="2"/>
    <x v="12"/>
    <x v="0"/>
    <n v="23340"/>
    <x v="1"/>
    <m/>
    <n v="6"/>
    <n v="0"/>
    <n v="0"/>
    <n v="1311.96"/>
    <n v="6705.9600000000009"/>
    <n v="2549.6799999999998"/>
    <n v="4614.4799999999996"/>
    <n v="7225.6399999999994"/>
    <n v="8468"/>
    <n v="30875.72"/>
  </r>
  <r>
    <d v="2022-03-17T00:00:00"/>
    <x v="2"/>
    <x v="12"/>
    <x v="0"/>
    <n v="23341"/>
    <x v="2"/>
    <m/>
    <n v="2"/>
    <n v="0"/>
    <n v="0"/>
    <n v="0"/>
    <n v="0"/>
    <n v="5860.3199999999988"/>
    <n v="1849.04"/>
    <n v="0"/>
    <n v="0"/>
    <n v="7709.3599999999988"/>
  </r>
  <r>
    <d v="2022-03-17T00:00:00"/>
    <x v="2"/>
    <x v="6"/>
    <x v="1"/>
    <n v="23342"/>
    <x v="1"/>
    <m/>
    <n v="5"/>
    <n v="0"/>
    <n v="0"/>
    <n v="0"/>
    <n v="1531.1999999999998"/>
    <n v="535.91999999999996"/>
    <n v="2119.3199999999997"/>
    <n v="1244.6799999999998"/>
    <n v="1949.9599999999998"/>
    <n v="7381.079999999999"/>
  </r>
  <r>
    <d v="2022-03-18T00:00:00"/>
    <x v="2"/>
    <x v="8"/>
    <x v="2"/>
    <n v="23343"/>
    <x v="1"/>
    <m/>
    <n v="6"/>
    <n v="0"/>
    <n v="0"/>
    <n v="1263.2399999999998"/>
    <n v="16323.519999999997"/>
    <n v="18402.239999999998"/>
    <n v="19192.2"/>
    <n v="15364.199999999997"/>
    <n v="14204.2"/>
    <n v="84749.599999999991"/>
  </r>
  <r>
    <d v="2022-03-18T00:00:00"/>
    <x v="2"/>
    <x v="8"/>
    <x v="2"/>
    <n v="23344"/>
    <x v="0"/>
    <m/>
    <n v="0"/>
    <n v="0"/>
    <n v="0"/>
    <n v="0"/>
    <n v="0"/>
    <n v="0"/>
    <n v="0"/>
    <n v="0"/>
    <n v="0"/>
    <n v="0"/>
  </r>
  <r>
    <d v="2022-03-18T00:00:00"/>
    <x v="2"/>
    <x v="9"/>
    <x v="2"/>
    <n v="23345"/>
    <x v="1"/>
    <m/>
    <n v="4"/>
    <n v="0"/>
    <n v="0"/>
    <n v="0"/>
    <n v="1248.1599999999999"/>
    <n v="551"/>
    <n v="546.36"/>
    <n v="305.08"/>
    <n v="0"/>
    <n v="2650.6"/>
  </r>
  <r>
    <d v="2022-03-18T00:00:00"/>
    <x v="2"/>
    <x v="5"/>
    <x v="0"/>
    <n v="23346"/>
    <x v="1"/>
    <m/>
    <n v="6"/>
    <n v="0"/>
    <n v="0"/>
    <n v="3271.1999999999989"/>
    <n v="6214.119999999999"/>
    <n v="5918.3200000000006"/>
    <n v="11386.560000000001"/>
    <n v="4972.9199999999983"/>
    <n v="6869.52"/>
    <n v="38632.639999999999"/>
  </r>
  <r>
    <d v="2022-03-18T00:00:00"/>
    <x v="2"/>
    <x v="8"/>
    <x v="2"/>
    <n v="23347"/>
    <x v="2"/>
    <m/>
    <n v="1"/>
    <n v="0"/>
    <n v="0"/>
    <n v="1364.16"/>
    <n v="0"/>
    <n v="0"/>
    <n v="0"/>
    <n v="0"/>
    <n v="0"/>
    <n v="1364.16"/>
  </r>
  <r>
    <d v="2022-03-19T00:00:00"/>
    <x v="2"/>
    <x v="27"/>
    <x v="1"/>
    <n v="23348"/>
    <x v="1"/>
    <m/>
    <n v="6"/>
    <n v="0"/>
    <n v="0"/>
    <n v="476.76"/>
    <n v="934.95999999999992"/>
    <n v="3328.04"/>
    <n v="2676.1200000000003"/>
    <n v="2026.52"/>
    <n v="2976.5599999999995"/>
    <n v="12418.960000000001"/>
  </r>
  <r>
    <d v="2022-03-22T00:00:00"/>
    <x v="2"/>
    <x v="24"/>
    <x v="3"/>
    <n v="23350"/>
    <x v="2"/>
    <m/>
    <n v="2"/>
    <n v="0"/>
    <n v="0"/>
    <n v="0"/>
    <n v="0"/>
    <n v="0"/>
    <n v="3055.44"/>
    <n v="0"/>
    <n v="2235.3200000000002"/>
    <n v="5290.76"/>
  </r>
  <r>
    <d v="2022-03-22T00:00:00"/>
    <x v="2"/>
    <x v="13"/>
    <x v="2"/>
    <n v="23351"/>
    <x v="1"/>
    <m/>
    <n v="6"/>
    <n v="0"/>
    <n v="0"/>
    <n v="3492.76"/>
    <n v="16096.160000000005"/>
    <n v="22062.03999999999"/>
    <n v="30349.08"/>
    <n v="16966.160000000003"/>
    <n v="31636.67999999996"/>
    <n v="120602.87999999996"/>
  </r>
  <r>
    <d v="2022-03-22T00:00:00"/>
    <x v="2"/>
    <x v="23"/>
    <x v="2"/>
    <n v="23352"/>
    <x v="1"/>
    <m/>
    <n v="4"/>
    <n v="0"/>
    <n v="0"/>
    <n v="0"/>
    <n v="0"/>
    <n v="1140.28"/>
    <n v="3622.6800000000003"/>
    <n v="8799.76"/>
    <n v="481.4"/>
    <n v="14044.12"/>
  </r>
  <r>
    <d v="2022-03-22T00:00:00"/>
    <x v="2"/>
    <x v="23"/>
    <x v="2"/>
    <n v="23353"/>
    <x v="2"/>
    <m/>
    <n v="1"/>
    <n v="0"/>
    <n v="0"/>
    <n v="0"/>
    <n v="0"/>
    <n v="0"/>
    <n v="1392"/>
    <n v="0"/>
    <n v="0"/>
    <n v="1392"/>
  </r>
  <r>
    <d v="2022-03-22T00:00:00"/>
    <x v="2"/>
    <x v="26"/>
    <x v="2"/>
    <n v="23354"/>
    <x v="0"/>
    <m/>
    <n v="0"/>
    <n v="0"/>
    <n v="0"/>
    <n v="0"/>
    <n v="0"/>
    <n v="0"/>
    <n v="0"/>
    <n v="0"/>
    <n v="0"/>
    <n v="0"/>
  </r>
  <r>
    <d v="2022-03-22T00:00:00"/>
    <x v="2"/>
    <x v="12"/>
    <x v="0"/>
    <n v="23355"/>
    <x v="1"/>
    <m/>
    <n v="5"/>
    <n v="0"/>
    <n v="0"/>
    <n v="0"/>
    <n v="939.59999999999991"/>
    <n v="1779.4399999999996"/>
    <n v="858.4"/>
    <n v="1198.2799999999997"/>
    <n v="317.83999999999997"/>
    <n v="5093.5599999999995"/>
  </r>
  <r>
    <d v="2022-03-22T00:00:00"/>
    <x v="2"/>
    <x v="18"/>
    <x v="0"/>
    <n v="23356"/>
    <x v="1"/>
    <m/>
    <n v="4"/>
    <n v="0"/>
    <n v="0"/>
    <n v="0"/>
    <n v="0"/>
    <n v="3026.4399999999996"/>
    <n v="17673.759999999998"/>
    <n v="6468.1600000000017"/>
    <n v="638"/>
    <n v="27806.36"/>
  </r>
  <r>
    <d v="2022-03-23T00:00:00"/>
    <x v="2"/>
    <x v="24"/>
    <x v="3"/>
    <n v="23357"/>
    <x v="2"/>
    <m/>
    <n v="2"/>
    <n v="0"/>
    <n v="0"/>
    <n v="0"/>
    <n v="0"/>
    <n v="0"/>
    <n v="4999.6000000000004"/>
    <n v="0"/>
    <n v="2942.9200000000005"/>
    <n v="7942.52"/>
  </r>
  <r>
    <d v="2022-03-23T00:00:00"/>
    <x v="2"/>
    <x v="27"/>
    <x v="1"/>
    <n v="23358"/>
    <x v="1"/>
    <m/>
    <n v="6"/>
    <n v="0"/>
    <n v="0"/>
    <n v="618.28"/>
    <n v="4549.5199999999986"/>
    <n v="2819.9599999999991"/>
    <n v="1593.8400000000001"/>
    <n v="2202.84"/>
    <n v="4831.4000000000005"/>
    <n v="16615.84"/>
  </r>
  <r>
    <d v="2022-03-23T00:00:00"/>
    <x v="2"/>
    <x v="4"/>
    <x v="0"/>
    <n v="23359"/>
    <x v="0"/>
    <m/>
    <n v="0"/>
    <n v="0"/>
    <n v="0"/>
    <n v="0"/>
    <n v="0"/>
    <n v="0"/>
    <n v="0"/>
    <n v="0"/>
    <n v="0"/>
    <n v="0"/>
  </r>
  <r>
    <d v="2022-03-24T00:00:00"/>
    <x v="2"/>
    <x v="24"/>
    <x v="3"/>
    <n v="23360"/>
    <x v="2"/>
    <m/>
    <n v="2"/>
    <n v="0"/>
    <n v="0"/>
    <n v="0"/>
    <n v="0"/>
    <n v="0"/>
    <n v="6128.28"/>
    <n v="0"/>
    <n v="2035.8000000000002"/>
    <n v="8164.08"/>
  </r>
  <r>
    <d v="2022-03-24T00:00:00"/>
    <x v="2"/>
    <x v="12"/>
    <x v="0"/>
    <n v="23361"/>
    <x v="1"/>
    <m/>
    <n v="3"/>
    <n v="0"/>
    <n v="0"/>
    <n v="0"/>
    <n v="0"/>
    <n v="174"/>
    <n v="2714.3999999999996"/>
    <n v="406"/>
    <n v="0"/>
    <n v="3294.3999999999996"/>
  </r>
  <r>
    <d v="2022-03-24T00:00:00"/>
    <x v="2"/>
    <x v="24"/>
    <x v="3"/>
    <n v="23362"/>
    <x v="2"/>
    <m/>
    <n v="1"/>
    <n v="0"/>
    <n v="0"/>
    <n v="0"/>
    <n v="0"/>
    <n v="0"/>
    <n v="298.12"/>
    <n v="0"/>
    <n v="0"/>
    <n v="298.12"/>
  </r>
  <r>
    <d v="2022-03-25T00:00:00"/>
    <x v="2"/>
    <x v="7"/>
    <x v="0"/>
    <n v="23363"/>
    <x v="2"/>
    <m/>
    <n v="2"/>
    <n v="0"/>
    <n v="0"/>
    <n v="0"/>
    <n v="0"/>
    <n v="0"/>
    <n v="14053.400000000001"/>
    <n v="0"/>
    <n v="10640.679999999997"/>
    <n v="24694.079999999998"/>
  </r>
  <r>
    <d v="2022-03-25T00:00:00"/>
    <x v="2"/>
    <x v="11"/>
    <x v="3"/>
    <n v="23364"/>
    <x v="2"/>
    <m/>
    <n v="1"/>
    <n v="0"/>
    <n v="0"/>
    <n v="0"/>
    <n v="0"/>
    <n v="0"/>
    <n v="0"/>
    <n v="0"/>
    <n v="581.16"/>
    <n v="581.16"/>
  </r>
  <r>
    <d v="2022-03-25T00:00:00"/>
    <x v="2"/>
    <x v="2"/>
    <x v="1"/>
    <n v="23365"/>
    <x v="2"/>
    <m/>
    <n v="2"/>
    <n v="0"/>
    <n v="0"/>
    <n v="0"/>
    <n v="0"/>
    <n v="0"/>
    <n v="5094.7199999999993"/>
    <n v="0"/>
    <n v="3485.7999999999997"/>
    <n v="8580.5199999999986"/>
  </r>
  <r>
    <d v="2022-03-25T00:00:00"/>
    <x v="2"/>
    <x v="0"/>
    <x v="0"/>
    <n v="23366"/>
    <x v="0"/>
    <m/>
    <n v="0"/>
    <n v="0"/>
    <n v="0"/>
    <n v="0"/>
    <n v="0"/>
    <n v="0"/>
    <n v="0"/>
    <n v="0"/>
    <n v="0"/>
    <n v="0"/>
  </r>
  <r>
    <d v="2022-03-26T00:00:00"/>
    <x v="2"/>
    <x v="14"/>
    <x v="0"/>
    <n v="23367"/>
    <x v="0"/>
    <m/>
    <n v="0"/>
    <n v="0"/>
    <n v="0"/>
    <n v="0"/>
    <n v="0"/>
    <n v="0"/>
    <n v="0"/>
    <n v="0"/>
    <n v="0"/>
    <n v="0"/>
  </r>
  <r>
    <d v="2022-03-26T00:00:00"/>
    <x v="2"/>
    <x v="5"/>
    <x v="0"/>
    <n v="23368"/>
    <x v="2"/>
    <m/>
    <n v="1"/>
    <n v="0"/>
    <n v="0"/>
    <n v="0"/>
    <n v="0"/>
    <n v="0"/>
    <n v="1468.56"/>
    <n v="0"/>
    <n v="0"/>
    <n v="1468.56"/>
  </r>
  <r>
    <d v="2022-03-26T00:00:00"/>
    <x v="2"/>
    <x v="6"/>
    <x v="1"/>
    <n v="23369"/>
    <x v="1"/>
    <m/>
    <n v="5"/>
    <n v="0"/>
    <n v="0"/>
    <n v="0"/>
    <n v="8153.64"/>
    <n v="5487.9599999999991"/>
    <n v="3911.5200000000004"/>
    <n v="7651.36"/>
    <n v="4584.32"/>
    <n v="29788.799999999999"/>
  </r>
  <r>
    <d v="2022-03-26T00:00:00"/>
    <x v="2"/>
    <x v="3"/>
    <x v="0"/>
    <n v="23370"/>
    <x v="0"/>
    <m/>
    <n v="0"/>
    <n v="0"/>
    <n v="0"/>
    <n v="0"/>
    <n v="0"/>
    <n v="0"/>
    <n v="0"/>
    <n v="0"/>
    <n v="0"/>
    <n v="0"/>
  </r>
  <r>
    <d v="2022-03-26T00:00:00"/>
    <x v="2"/>
    <x v="6"/>
    <x v="1"/>
    <n v="23371"/>
    <x v="1"/>
    <m/>
    <n v="6"/>
    <n v="0"/>
    <n v="0"/>
    <n v="465.15999999999997"/>
    <n v="2586.7999999999997"/>
    <n v="1336.32"/>
    <n v="342.2"/>
    <n v="1221.48"/>
    <n v="930.31999999999994"/>
    <n v="6882.2799999999988"/>
  </r>
  <r>
    <d v="2022-03-26T00:00:00"/>
    <x v="2"/>
    <x v="5"/>
    <x v="0"/>
    <n v="23372"/>
    <x v="0"/>
    <m/>
    <n v="0"/>
    <n v="0"/>
    <n v="0"/>
    <n v="0"/>
    <n v="0"/>
    <n v="0"/>
    <n v="0"/>
    <n v="0"/>
    <n v="0"/>
    <n v="0"/>
  </r>
  <r>
    <d v="2022-03-28T00:00:00"/>
    <x v="2"/>
    <x v="9"/>
    <x v="2"/>
    <n v="23373"/>
    <x v="2"/>
    <m/>
    <n v="1"/>
    <n v="0"/>
    <n v="0"/>
    <n v="0"/>
    <n v="0"/>
    <n v="0"/>
    <n v="0"/>
    <n v="0"/>
    <n v="1670.3999999999996"/>
    <n v="1670.3999999999996"/>
  </r>
  <r>
    <d v="2022-03-28T00:00:00"/>
    <x v="2"/>
    <x v="2"/>
    <x v="1"/>
    <n v="23374"/>
    <x v="2"/>
    <m/>
    <n v="2"/>
    <n v="0"/>
    <n v="0"/>
    <n v="0"/>
    <n v="0"/>
    <n v="0"/>
    <n v="2343.1999999999998"/>
    <n v="0"/>
    <n v="437.32"/>
    <n v="2780.52"/>
  </r>
  <r>
    <d v="2022-03-29T00:00:00"/>
    <x v="2"/>
    <x v="15"/>
    <x v="3"/>
    <n v="23375"/>
    <x v="2"/>
    <m/>
    <n v="1"/>
    <n v="0"/>
    <n v="0"/>
    <n v="0"/>
    <n v="0"/>
    <n v="0"/>
    <n v="0"/>
    <n v="0"/>
    <n v="12091.839999999997"/>
    <n v="12091.839999999997"/>
  </r>
  <r>
    <d v="2022-03-29T00:00:00"/>
    <x v="2"/>
    <x v="5"/>
    <x v="0"/>
    <n v="23376"/>
    <x v="0"/>
    <m/>
    <n v="0"/>
    <n v="0"/>
    <n v="0"/>
    <n v="0"/>
    <n v="0"/>
    <n v="0"/>
    <n v="0"/>
    <n v="0"/>
    <n v="0"/>
    <n v="0"/>
  </r>
  <r>
    <d v="2022-03-29T00:00:00"/>
    <x v="2"/>
    <x v="5"/>
    <x v="0"/>
    <n v="23377"/>
    <x v="0"/>
    <m/>
    <n v="0"/>
    <n v="0"/>
    <n v="0"/>
    <n v="0"/>
    <n v="0"/>
    <n v="0"/>
    <n v="0"/>
    <n v="0"/>
    <n v="0"/>
    <n v="0"/>
  </r>
  <r>
    <d v="2022-03-29T00:00:00"/>
    <x v="2"/>
    <x v="24"/>
    <x v="3"/>
    <n v="23378"/>
    <x v="2"/>
    <m/>
    <n v="1"/>
    <n v="0"/>
    <n v="0"/>
    <n v="0"/>
    <n v="0"/>
    <n v="0"/>
    <n v="401.36"/>
    <n v="0"/>
    <n v="0"/>
    <n v="401.36"/>
  </r>
  <r>
    <d v="2022-03-29T00:00:00"/>
    <x v="2"/>
    <x v="27"/>
    <x v="1"/>
    <n v="23379"/>
    <x v="2"/>
    <m/>
    <n v="2"/>
    <n v="0"/>
    <n v="0"/>
    <n v="0"/>
    <n v="0"/>
    <n v="890.87999999999988"/>
    <n v="1052.1199999999999"/>
    <n v="0"/>
    <n v="0"/>
    <n v="1942.9999999999998"/>
  </r>
  <r>
    <d v="2022-03-30T00:00:00"/>
    <x v="2"/>
    <x v="26"/>
    <x v="2"/>
    <n v="23380"/>
    <x v="0"/>
    <m/>
    <n v="0"/>
    <n v="0"/>
    <n v="0"/>
    <n v="0"/>
    <n v="0"/>
    <n v="0"/>
    <n v="0"/>
    <n v="0"/>
    <n v="0"/>
    <n v="0"/>
  </r>
  <r>
    <d v="2022-03-30T00:00:00"/>
    <x v="2"/>
    <x v="16"/>
    <x v="2"/>
    <n v="23381"/>
    <x v="1"/>
    <m/>
    <n v="5"/>
    <n v="0"/>
    <n v="0"/>
    <n v="0"/>
    <n v="858.40000000000009"/>
    <n v="2317.6799999999994"/>
    <n v="1545.12"/>
    <n v="860.7199999999998"/>
    <n v="290"/>
    <n v="5871.9199999999983"/>
  </r>
  <r>
    <d v="2022-03-30T00:00:00"/>
    <x v="2"/>
    <x v="15"/>
    <x v="3"/>
    <n v="23382"/>
    <x v="1"/>
    <m/>
    <n v="5"/>
    <n v="0"/>
    <n v="0"/>
    <n v="0"/>
    <n v="8427.3999999999978"/>
    <n v="12199.719999999992"/>
    <n v="13721.64"/>
    <n v="10170.879999999997"/>
    <n v="17328.079999999998"/>
    <n v="61847.719999999987"/>
  </r>
  <r>
    <d v="2022-03-30T00:00:00"/>
    <x v="2"/>
    <x v="28"/>
    <x v="2"/>
    <n v="23383"/>
    <x v="2"/>
    <m/>
    <n v="1"/>
    <n v="0"/>
    <n v="0"/>
    <n v="0"/>
    <n v="0"/>
    <n v="5185.1999999999925"/>
    <n v="0"/>
    <n v="0"/>
    <n v="0"/>
    <n v="5185.1999999999925"/>
  </r>
  <r>
    <d v="2022-03-30T00:00:00"/>
    <x v="2"/>
    <x v="28"/>
    <x v="2"/>
    <n v="23384"/>
    <x v="0"/>
    <m/>
    <n v="0"/>
    <n v="0"/>
    <n v="0"/>
    <n v="0"/>
    <n v="0"/>
    <n v="0"/>
    <n v="0"/>
    <n v="0"/>
    <n v="0"/>
    <n v="0"/>
  </r>
  <r>
    <d v="2022-03-30T00:00:00"/>
    <x v="2"/>
    <x v="2"/>
    <x v="1"/>
    <n v="23385"/>
    <x v="0"/>
    <m/>
    <n v="0"/>
    <n v="0"/>
    <n v="0"/>
    <n v="0"/>
    <n v="0"/>
    <n v="0"/>
    <n v="0"/>
    <n v="0"/>
    <n v="0"/>
    <n v="0"/>
  </r>
  <r>
    <d v="2022-03-31T00:00:00"/>
    <x v="2"/>
    <x v="10"/>
    <x v="0"/>
    <n v="23386"/>
    <x v="0"/>
    <m/>
    <n v="0"/>
    <n v="0"/>
    <n v="0"/>
    <n v="0"/>
    <n v="0"/>
    <n v="0"/>
    <n v="0"/>
    <n v="0"/>
    <n v="0"/>
    <n v="0"/>
  </r>
  <r>
    <d v="2022-04-01T00:00:00"/>
    <x v="3"/>
    <x v="28"/>
    <x v="2"/>
    <n v="23387"/>
    <x v="1"/>
    <m/>
    <n v="5"/>
    <n v="0"/>
    <n v="0"/>
    <n v="0"/>
    <n v="1770.1599999999994"/>
    <n v="10680.120000000003"/>
    <n v="18340.760000000002"/>
    <n v="12402.720000000007"/>
    <n v="11584.920000000006"/>
    <n v="54778.680000000015"/>
  </r>
  <r>
    <d v="2022-04-01T00:00:00"/>
    <x v="3"/>
    <x v="28"/>
    <x v="2"/>
    <n v="23388"/>
    <x v="0"/>
    <m/>
    <n v="0"/>
    <n v="0"/>
    <n v="0"/>
    <n v="0"/>
    <n v="0"/>
    <n v="0"/>
    <n v="0"/>
    <n v="0"/>
    <n v="0"/>
    <n v="0"/>
  </r>
  <r>
    <d v="2022-04-02T00:00:00"/>
    <x v="3"/>
    <x v="2"/>
    <x v="1"/>
    <n v="23389"/>
    <x v="2"/>
    <m/>
    <n v="1"/>
    <n v="0"/>
    <n v="0"/>
    <n v="0"/>
    <n v="0"/>
    <n v="0"/>
    <n v="1443.04"/>
    <n v="0"/>
    <n v="0"/>
    <n v="1443.04"/>
  </r>
  <r>
    <d v="2022-04-02T00:00:00"/>
    <x v="3"/>
    <x v="4"/>
    <x v="0"/>
    <n v="23390"/>
    <x v="1"/>
    <m/>
    <n v="4"/>
    <n v="0"/>
    <n v="0"/>
    <n v="0"/>
    <n v="0"/>
    <n v="12202.040000000003"/>
    <n v="11595.359999999999"/>
    <n v="18448.640000000003"/>
    <n v="10144.199999999999"/>
    <n v="52390.240000000005"/>
  </r>
  <r>
    <d v="2022-04-02T00:00:00"/>
    <x v="3"/>
    <x v="4"/>
    <x v="0"/>
    <n v="23391"/>
    <x v="1"/>
    <m/>
    <n v="5"/>
    <n v="0"/>
    <n v="0"/>
    <n v="0"/>
    <n v="869.99999999999989"/>
    <n v="3758.3999999999996"/>
    <n v="18444"/>
    <n v="3190"/>
    <n v="2320"/>
    <n v="28582.400000000001"/>
  </r>
  <r>
    <d v="2022-04-04T00:00:00"/>
    <x v="3"/>
    <x v="27"/>
    <x v="1"/>
    <n v="23392"/>
    <x v="1"/>
    <m/>
    <n v="5"/>
    <n v="0"/>
    <n v="0"/>
    <n v="0"/>
    <n v="1407.08"/>
    <n v="1542.8"/>
    <n v="2207.48"/>
    <n v="2094.96"/>
    <n v="4623.76"/>
    <n v="11876.080000000002"/>
  </r>
  <r>
    <d v="2022-04-04T00:00:00"/>
    <x v="3"/>
    <x v="27"/>
    <x v="1"/>
    <n v="23393"/>
    <x v="1"/>
    <m/>
    <n v="5"/>
    <n v="0"/>
    <n v="0"/>
    <n v="0"/>
    <n v="3555.4"/>
    <n v="4982.2000000000016"/>
    <n v="5289.6"/>
    <n v="5660.8"/>
    <n v="6593.4400000000005"/>
    <n v="26081.440000000002"/>
  </r>
  <r>
    <d v="2022-04-05T00:00:00"/>
    <x v="3"/>
    <x v="12"/>
    <x v="0"/>
    <n v="23394"/>
    <x v="2"/>
    <m/>
    <n v="1"/>
    <n v="0"/>
    <n v="0"/>
    <n v="0"/>
    <n v="0"/>
    <n v="846.8"/>
    <n v="0"/>
    <n v="0"/>
    <n v="0"/>
    <n v="846.8"/>
  </r>
  <r>
    <d v="2022-04-05T00:00:00"/>
    <x v="3"/>
    <x v="13"/>
    <x v="2"/>
    <n v="23395"/>
    <x v="1"/>
    <m/>
    <n v="5"/>
    <n v="0"/>
    <n v="0"/>
    <n v="0"/>
    <n v="15361.880000000001"/>
    <n v="27041.920000000006"/>
    <n v="12692.72"/>
    <n v="17186.559999999998"/>
    <n v="22734.839999999997"/>
    <n v="95017.919999999998"/>
  </r>
  <r>
    <d v="2022-04-05T00:00:00"/>
    <x v="3"/>
    <x v="13"/>
    <x v="2"/>
    <n v="23396"/>
    <x v="1"/>
    <m/>
    <n v="5"/>
    <n v="0"/>
    <n v="0"/>
    <n v="0"/>
    <n v="15885.039999999999"/>
    <n v="13162.520000000002"/>
    <n v="16449.96"/>
    <n v="16581.039999999994"/>
    <n v="15093.919999999995"/>
    <n v="77172.479999999996"/>
  </r>
  <r>
    <d v="2022-04-06T00:00:00"/>
    <x v="3"/>
    <x v="7"/>
    <x v="0"/>
    <n v="23397"/>
    <x v="0"/>
    <m/>
    <n v="0"/>
    <n v="0"/>
    <n v="0"/>
    <n v="0"/>
    <n v="0"/>
    <n v="0"/>
    <n v="0"/>
    <n v="0"/>
    <n v="0"/>
    <n v="0"/>
  </r>
  <r>
    <d v="2022-04-06T00:00:00"/>
    <x v="3"/>
    <x v="7"/>
    <x v="0"/>
    <n v="23398"/>
    <x v="0"/>
    <m/>
    <n v="0"/>
    <n v="0"/>
    <n v="0"/>
    <n v="0"/>
    <n v="0"/>
    <n v="0"/>
    <n v="0"/>
    <n v="0"/>
    <n v="0"/>
    <n v="0"/>
  </r>
  <r>
    <d v="2022-04-06T00:00:00"/>
    <x v="3"/>
    <x v="8"/>
    <x v="2"/>
    <n v="23399"/>
    <x v="1"/>
    <m/>
    <n v="5"/>
    <n v="0"/>
    <n v="0"/>
    <n v="0"/>
    <n v="373.52"/>
    <n v="185.6"/>
    <n v="3290.9199999999996"/>
    <n v="6535.4399999999969"/>
    <n v="2485.8799999999997"/>
    <n v="12871.359999999995"/>
  </r>
  <r>
    <d v="2022-04-06T00:00:00"/>
    <x v="3"/>
    <x v="16"/>
    <x v="2"/>
    <n v="23400"/>
    <x v="2"/>
    <m/>
    <n v="2"/>
    <n v="0"/>
    <n v="0"/>
    <n v="0"/>
    <n v="0"/>
    <n v="0"/>
    <n v="0"/>
    <n v="2829.24"/>
    <n v="1519.5999999999997"/>
    <n v="4348.8399999999992"/>
  </r>
  <r>
    <d v="2022-04-07T00:00:00"/>
    <x v="3"/>
    <x v="16"/>
    <x v="2"/>
    <n v="23401"/>
    <x v="1"/>
    <m/>
    <n v="3"/>
    <n v="0"/>
    <n v="0"/>
    <n v="0"/>
    <n v="0"/>
    <n v="244.76"/>
    <n v="95.12"/>
    <n v="716.88"/>
    <n v="0"/>
    <n v="1056.76"/>
  </r>
  <r>
    <d v="2022-04-08T00:00:00"/>
    <x v="3"/>
    <x v="11"/>
    <x v="3"/>
    <n v="23402"/>
    <x v="2"/>
    <m/>
    <n v="2"/>
    <n v="0"/>
    <n v="0"/>
    <n v="0"/>
    <n v="0"/>
    <n v="0"/>
    <n v="2608.84"/>
    <n v="0"/>
    <n v="2060.16"/>
    <n v="4669"/>
  </r>
  <r>
    <d v="2022-04-08T00:00:00"/>
    <x v="3"/>
    <x v="13"/>
    <x v="2"/>
    <n v="23403"/>
    <x v="1"/>
    <m/>
    <n v="5"/>
    <n v="0"/>
    <n v="0"/>
    <n v="0"/>
    <n v="4432.3599999999979"/>
    <n v="5788.399999999996"/>
    <n v="12298.32"/>
    <n v="7136.3200000000024"/>
    <n v="7679.1999999999989"/>
    <n v="37334.6"/>
  </r>
  <r>
    <d v="2022-04-08T00:00:00"/>
    <x v="3"/>
    <x v="24"/>
    <x v="3"/>
    <n v="23404"/>
    <x v="2"/>
    <m/>
    <n v="1"/>
    <n v="0"/>
    <n v="0"/>
    <n v="0"/>
    <n v="0"/>
    <n v="0"/>
    <n v="0"/>
    <n v="0"/>
    <n v="522"/>
    <n v="522"/>
  </r>
  <r>
    <d v="2022-04-08T00:00:00"/>
    <x v="3"/>
    <x v="11"/>
    <x v="3"/>
    <n v="23405"/>
    <x v="0"/>
    <m/>
    <n v="0"/>
    <n v="0"/>
    <n v="0"/>
    <n v="0"/>
    <n v="0"/>
    <n v="0"/>
    <n v="0"/>
    <n v="0"/>
    <n v="0"/>
    <n v="0"/>
  </r>
  <r>
    <d v="2022-04-08T00:00:00"/>
    <x v="3"/>
    <x v="4"/>
    <x v="0"/>
    <n v="23406"/>
    <x v="1"/>
    <m/>
    <n v="5"/>
    <n v="0"/>
    <n v="0"/>
    <n v="0"/>
    <n v="1030.08"/>
    <n v="8639.68"/>
    <n v="9314.7999999999993"/>
    <n v="516.20000000000005"/>
    <n v="3566.9999999999995"/>
    <n v="23067.759999999998"/>
  </r>
  <r>
    <d v="2022-04-08T00:00:00"/>
    <x v="3"/>
    <x v="24"/>
    <x v="3"/>
    <n v="23407"/>
    <x v="2"/>
    <m/>
    <n v="1"/>
    <n v="0"/>
    <n v="0"/>
    <n v="0"/>
    <n v="0"/>
    <n v="0"/>
    <n v="1876.88"/>
    <n v="0"/>
    <n v="0"/>
    <n v="1876.88"/>
  </r>
  <r>
    <d v="2022-04-09T00:00:00"/>
    <x v="3"/>
    <x v="6"/>
    <x v="1"/>
    <n v="23408"/>
    <x v="1"/>
    <m/>
    <n v="5"/>
    <n v="0"/>
    <n v="0"/>
    <n v="0"/>
    <n v="1813.0800000000002"/>
    <n v="271.43999999999994"/>
    <n v="730.8"/>
    <n v="3412.7199999999993"/>
    <n v="982.51999999999987"/>
    <n v="7210.5599999999986"/>
  </r>
  <r>
    <d v="2022-04-09T00:00:00"/>
    <x v="3"/>
    <x v="29"/>
    <x v="0"/>
    <n v="23409"/>
    <x v="0"/>
    <m/>
    <n v="0"/>
    <n v="0"/>
    <n v="0"/>
    <n v="0"/>
    <n v="0"/>
    <n v="0"/>
    <n v="0"/>
    <n v="0"/>
    <n v="0"/>
    <n v="0"/>
  </r>
  <r>
    <d v="2022-04-09T00:00:00"/>
    <x v="3"/>
    <x v="23"/>
    <x v="2"/>
    <n v="23410"/>
    <x v="1"/>
    <m/>
    <n v="5"/>
    <n v="0"/>
    <n v="0"/>
    <n v="0"/>
    <n v="375.84"/>
    <n v="4823.28"/>
    <n v="487.2"/>
    <n v="560.28"/>
    <n v="5926.44"/>
    <n v="12173.039999999999"/>
  </r>
  <r>
    <d v="2022-04-11T00:00:00"/>
    <x v="3"/>
    <x v="8"/>
    <x v="2"/>
    <n v="23411"/>
    <x v="2"/>
    <m/>
    <n v="2"/>
    <n v="0"/>
    <n v="0"/>
    <n v="0"/>
    <n v="5902.0800000000008"/>
    <n v="912.92"/>
    <n v="0"/>
    <n v="0"/>
    <n v="0"/>
    <n v="6815.0000000000009"/>
  </r>
  <r>
    <d v="2022-04-11T00:00:00"/>
    <x v="3"/>
    <x v="2"/>
    <x v="1"/>
    <n v="23412"/>
    <x v="2"/>
    <m/>
    <n v="1"/>
    <n v="0"/>
    <n v="0"/>
    <n v="0"/>
    <n v="0"/>
    <n v="0"/>
    <n v="88.16"/>
    <n v="0"/>
    <n v="0"/>
    <n v="88.16"/>
  </r>
  <r>
    <d v="2022-04-11T00:00:00"/>
    <x v="3"/>
    <x v="6"/>
    <x v="1"/>
    <n v="23413"/>
    <x v="1"/>
    <m/>
    <n v="4"/>
    <n v="0"/>
    <n v="0"/>
    <n v="0"/>
    <n v="0"/>
    <n v="1026.5999999999999"/>
    <n v="320.16000000000003"/>
    <n v="1183.1999999999998"/>
    <n v="342.2"/>
    <n v="2872.16"/>
  </r>
  <r>
    <d v="2022-04-11T00:00:00"/>
    <x v="3"/>
    <x v="24"/>
    <x v="3"/>
    <n v="23414"/>
    <x v="2"/>
    <m/>
    <n v="2"/>
    <n v="0"/>
    <n v="0"/>
    <n v="0"/>
    <n v="0"/>
    <n v="0"/>
    <n v="2391.92"/>
    <n v="0"/>
    <n v="1603.12"/>
    <n v="3995.04"/>
  </r>
  <r>
    <d v="2022-04-12T00:00:00"/>
    <x v="3"/>
    <x v="23"/>
    <x v="2"/>
    <n v="23415"/>
    <x v="2"/>
    <m/>
    <n v="1"/>
    <n v="0"/>
    <n v="0"/>
    <n v="0"/>
    <n v="0"/>
    <n v="0"/>
    <n v="741.24"/>
    <n v="0"/>
    <n v="0"/>
    <n v="741.24"/>
  </r>
  <r>
    <d v="2022-04-12T00:00:00"/>
    <x v="3"/>
    <x v="2"/>
    <x v="1"/>
    <n v="23416"/>
    <x v="0"/>
    <m/>
    <n v="0"/>
    <n v="0"/>
    <n v="0"/>
    <n v="0"/>
    <n v="0"/>
    <n v="0"/>
    <n v="0"/>
    <n v="0"/>
    <n v="0"/>
    <n v="0"/>
  </r>
  <r>
    <d v="2022-04-12T00:00:00"/>
    <x v="3"/>
    <x v="7"/>
    <x v="0"/>
    <n v="23417"/>
    <x v="0"/>
    <m/>
    <n v="0"/>
    <n v="0"/>
    <n v="0"/>
    <n v="0"/>
    <n v="0"/>
    <n v="0"/>
    <n v="0"/>
    <n v="0"/>
    <n v="0"/>
    <n v="0"/>
  </r>
  <r>
    <d v="2022-04-12T00:00:00"/>
    <x v="3"/>
    <x v="2"/>
    <x v="1"/>
    <n v="23418"/>
    <x v="2"/>
    <m/>
    <n v="1"/>
    <n v="0"/>
    <n v="0"/>
    <n v="0"/>
    <n v="0"/>
    <n v="0"/>
    <n v="0"/>
    <n v="0"/>
    <n v="673.96"/>
    <n v="673.96"/>
  </r>
  <r>
    <d v="2022-04-13T00:00:00"/>
    <x v="3"/>
    <x v="15"/>
    <x v="3"/>
    <n v="23419"/>
    <x v="0"/>
    <m/>
    <n v="0"/>
    <n v="0"/>
    <n v="0"/>
    <n v="0"/>
    <n v="0"/>
    <n v="0"/>
    <n v="0"/>
    <n v="0"/>
    <n v="0"/>
    <n v="0"/>
  </r>
  <r>
    <d v="2022-04-13T00:00:00"/>
    <x v="3"/>
    <x v="27"/>
    <x v="1"/>
    <n v="23420"/>
    <x v="2"/>
    <m/>
    <n v="2"/>
    <n v="0"/>
    <n v="0"/>
    <n v="0"/>
    <n v="0"/>
    <n v="0"/>
    <n v="1247"/>
    <n v="0"/>
    <n v="163.56"/>
    <n v="1410.56"/>
  </r>
  <r>
    <d v="2022-04-13T00:00:00"/>
    <x v="3"/>
    <x v="9"/>
    <x v="2"/>
    <n v="23421"/>
    <x v="2"/>
    <m/>
    <n v="1"/>
    <n v="0"/>
    <n v="0"/>
    <n v="0"/>
    <n v="254.03999999999996"/>
    <n v="0"/>
    <n v="0"/>
    <n v="0"/>
    <n v="0"/>
    <n v="254.03999999999996"/>
  </r>
  <r>
    <d v="2022-04-14T00:00:00"/>
    <x v="3"/>
    <x v="15"/>
    <x v="3"/>
    <n v="23422"/>
    <x v="1"/>
    <m/>
    <n v="5"/>
    <n v="0"/>
    <n v="0"/>
    <n v="0"/>
    <n v="7868.2799999999979"/>
    <n v="7336.9999999999991"/>
    <n v="5971.68"/>
    <n v="6419.4399999999987"/>
    <n v="3852.3599999999997"/>
    <n v="31448.76"/>
  </r>
  <r>
    <d v="2022-04-14T00:00:00"/>
    <x v="3"/>
    <x v="9"/>
    <x v="2"/>
    <n v="23423"/>
    <x v="1"/>
    <m/>
    <n v="5"/>
    <n v="0"/>
    <n v="0"/>
    <n v="0"/>
    <n v="328.28"/>
    <n v="987.15999999999985"/>
    <n v="34181.72"/>
    <n v="740.07999999999993"/>
    <n v="60372.2"/>
    <n v="96609.44"/>
  </r>
  <r>
    <d v="2022-04-15T00:00:00"/>
    <x v="3"/>
    <x v="28"/>
    <x v="2"/>
    <n v="23424"/>
    <x v="1"/>
    <m/>
    <n v="5"/>
    <n v="0"/>
    <n v="0"/>
    <n v="0"/>
    <n v="379.31999999999994"/>
    <n v="10343.720000000003"/>
    <n v="16308.44"/>
    <n v="13142.799999999983"/>
    <n v="13297.079999999991"/>
    <n v="53471.359999999971"/>
  </r>
  <r>
    <d v="2022-04-15T00:00:00"/>
    <x v="3"/>
    <x v="28"/>
    <x v="2"/>
    <n v="23425"/>
    <x v="0"/>
    <m/>
    <n v="0"/>
    <n v="0"/>
    <n v="0"/>
    <n v="0"/>
    <n v="0"/>
    <n v="0"/>
    <n v="0"/>
    <n v="0"/>
    <n v="0"/>
    <n v="0"/>
  </r>
  <r>
    <d v="2022-04-18T00:00:00"/>
    <x v="3"/>
    <x v="8"/>
    <x v="2"/>
    <n v="23426"/>
    <x v="0"/>
    <m/>
    <n v="0"/>
    <n v="0"/>
    <n v="0"/>
    <n v="0"/>
    <n v="0"/>
    <n v="0"/>
    <n v="0"/>
    <n v="0"/>
    <n v="0"/>
    <n v="0"/>
  </r>
  <r>
    <d v="2022-04-18T00:00:00"/>
    <x v="3"/>
    <x v="24"/>
    <x v="3"/>
    <n v="23427"/>
    <x v="2"/>
    <m/>
    <n v="2"/>
    <n v="0"/>
    <n v="0"/>
    <n v="0"/>
    <n v="0"/>
    <n v="0"/>
    <n v="2259.6800000000003"/>
    <n v="0"/>
    <n v="677.43999999999994"/>
    <n v="2937.1200000000003"/>
  </r>
  <r>
    <d v="2022-04-19T00:00:00"/>
    <x v="3"/>
    <x v="0"/>
    <x v="0"/>
    <n v="23428"/>
    <x v="1"/>
    <m/>
    <n v="3"/>
    <n v="0"/>
    <n v="0"/>
    <n v="0"/>
    <n v="0"/>
    <n v="0"/>
    <n v="1076.48"/>
    <n v="6500.6399999999994"/>
    <n v="5448.5199999999995"/>
    <n v="13025.64"/>
  </r>
  <r>
    <d v="2022-04-19T00:00:00"/>
    <x v="3"/>
    <x v="0"/>
    <x v="0"/>
    <n v="23429"/>
    <x v="2"/>
    <m/>
    <n v="1"/>
    <n v="0"/>
    <n v="0"/>
    <n v="0"/>
    <n v="0"/>
    <n v="0"/>
    <n v="0"/>
    <n v="290"/>
    <n v="0"/>
    <n v="290"/>
  </r>
  <r>
    <d v="2022-04-19T00:00:00"/>
    <x v="3"/>
    <x v="18"/>
    <x v="0"/>
    <n v="23430"/>
    <x v="0"/>
    <m/>
    <n v="0"/>
    <n v="0"/>
    <n v="0"/>
    <n v="0"/>
    <n v="0"/>
    <n v="0"/>
    <n v="0"/>
    <n v="0"/>
    <n v="0"/>
    <n v="0"/>
  </r>
  <r>
    <d v="2022-04-20T00:00:00"/>
    <x v="3"/>
    <x v="15"/>
    <x v="3"/>
    <n v="23431"/>
    <x v="2"/>
    <m/>
    <n v="1"/>
    <n v="0"/>
    <n v="0"/>
    <n v="0"/>
    <n v="0"/>
    <n v="0"/>
    <n v="0"/>
    <n v="0"/>
    <n v="236.64"/>
    <n v="236.64"/>
  </r>
  <r>
    <d v="2022-04-20T00:00:00"/>
    <x v="3"/>
    <x v="4"/>
    <x v="0"/>
    <n v="23432"/>
    <x v="1"/>
    <m/>
    <n v="5"/>
    <n v="0"/>
    <n v="0"/>
    <n v="0"/>
    <n v="218.07999999999998"/>
    <n v="2532.2799999999997"/>
    <n v="1856"/>
    <n v="5143.4399999999987"/>
    <n v="3053.1199999999994"/>
    <n v="12802.919999999998"/>
  </r>
  <r>
    <d v="2022-04-20T00:00:00"/>
    <x v="3"/>
    <x v="4"/>
    <x v="0"/>
    <n v="23433"/>
    <x v="2"/>
    <m/>
    <n v="1"/>
    <n v="0"/>
    <n v="0"/>
    <n v="0"/>
    <n v="0"/>
    <n v="0"/>
    <n v="0"/>
    <n v="0"/>
    <n v="795.76"/>
    <n v="795.76"/>
  </r>
  <r>
    <d v="2022-04-20T00:00:00"/>
    <x v="3"/>
    <x v="4"/>
    <x v="0"/>
    <n v="23434"/>
    <x v="1"/>
    <m/>
    <n v="4"/>
    <n v="0"/>
    <n v="0"/>
    <n v="0"/>
    <n v="0"/>
    <n v="2309.56"/>
    <n v="5753.6"/>
    <n v="3192.3199999999997"/>
    <n v="4477.5999999999995"/>
    <n v="15733.079999999998"/>
  </r>
  <r>
    <d v="2022-04-20T00:00:00"/>
    <x v="3"/>
    <x v="4"/>
    <x v="0"/>
    <n v="23435"/>
    <x v="0"/>
    <m/>
    <n v="0"/>
    <n v="0"/>
    <n v="0"/>
    <n v="0"/>
    <n v="0"/>
    <n v="0"/>
    <n v="0"/>
    <n v="0"/>
    <n v="0"/>
    <n v="0"/>
  </r>
  <r>
    <d v="2022-04-20T00:00:00"/>
    <x v="3"/>
    <x v="7"/>
    <x v="0"/>
    <n v="23436"/>
    <x v="2"/>
    <m/>
    <n v="1"/>
    <n v="0"/>
    <n v="0"/>
    <n v="0"/>
    <n v="4874.1692000000003"/>
    <n v="0"/>
    <n v="0"/>
    <n v="0"/>
    <n v="0"/>
    <n v="4874.1692000000003"/>
  </r>
  <r>
    <d v="2022-04-20T00:00:00"/>
    <x v="3"/>
    <x v="23"/>
    <x v="2"/>
    <n v="23437"/>
    <x v="1"/>
    <m/>
    <n v="4"/>
    <n v="0"/>
    <n v="0"/>
    <n v="0"/>
    <n v="0"/>
    <n v="4028.6799999999994"/>
    <n v="1669.2399999999998"/>
    <n v="4803.5600000000004"/>
    <n v="1581.08"/>
    <n v="12082.56"/>
  </r>
  <r>
    <d v="2022-04-20T00:00:00"/>
    <x v="3"/>
    <x v="13"/>
    <x v="2"/>
    <n v="23438"/>
    <x v="2"/>
    <m/>
    <n v="1"/>
    <n v="0"/>
    <n v="0"/>
    <n v="0"/>
    <n v="0"/>
    <n v="0"/>
    <n v="0"/>
    <n v="131.07999999999998"/>
    <n v="0"/>
    <n v="131.07999999999998"/>
  </r>
  <r>
    <d v="2022-04-21T00:00:00"/>
    <x v="3"/>
    <x v="5"/>
    <x v="0"/>
    <n v="23439"/>
    <x v="2"/>
    <m/>
    <n v="2"/>
    <n v="0"/>
    <n v="0"/>
    <n v="0"/>
    <n v="0"/>
    <n v="1789.8799999999999"/>
    <n v="1789.88"/>
    <n v="0"/>
    <n v="0"/>
    <n v="3579.76"/>
  </r>
  <r>
    <d v="2022-04-21T00:00:00"/>
    <x v="3"/>
    <x v="5"/>
    <x v="0"/>
    <n v="23440"/>
    <x v="1"/>
    <m/>
    <n v="3"/>
    <n v="0"/>
    <n v="0"/>
    <n v="0"/>
    <n v="0"/>
    <n v="0"/>
    <n v="108851.5"/>
    <n v="12905"/>
    <n v="13224"/>
    <n v="134980.5"/>
  </r>
  <r>
    <d v="2022-04-21T00:00:00"/>
    <x v="3"/>
    <x v="16"/>
    <x v="2"/>
    <n v="23441"/>
    <x v="1"/>
    <m/>
    <n v="4"/>
    <n v="0"/>
    <n v="0"/>
    <n v="0"/>
    <n v="0"/>
    <n v="619.43999999999994"/>
    <n v="697.16"/>
    <n v="927.99999999999989"/>
    <n v="95.11999999999999"/>
    <n v="2339.7199999999998"/>
  </r>
  <r>
    <d v="2022-04-21T00:00:00"/>
    <x v="3"/>
    <x v="1"/>
    <x v="0"/>
    <n v="23442"/>
    <x v="2"/>
    <m/>
    <n v="2"/>
    <n v="0"/>
    <n v="0"/>
    <n v="0"/>
    <n v="0"/>
    <n v="0"/>
    <n v="165.88"/>
    <n v="0"/>
    <n v="406"/>
    <n v="571.88"/>
  </r>
  <r>
    <d v="2022-04-21T00:00:00"/>
    <x v="3"/>
    <x v="12"/>
    <x v="0"/>
    <n v="23443"/>
    <x v="1"/>
    <m/>
    <n v="4"/>
    <n v="0"/>
    <n v="0"/>
    <n v="0"/>
    <n v="0"/>
    <n v="247.07999999999998"/>
    <n v="2237.6400000000003"/>
    <n v="2963.7999999999997"/>
    <n v="967.43999999999994"/>
    <n v="6415.96"/>
  </r>
  <r>
    <d v="2022-04-21T00:00:00"/>
    <x v="3"/>
    <x v="1"/>
    <x v="0"/>
    <n v="23444"/>
    <x v="0"/>
    <m/>
    <n v="0"/>
    <n v="0"/>
    <n v="0"/>
    <n v="0"/>
    <n v="0"/>
    <n v="0"/>
    <n v="0"/>
    <n v="0"/>
    <n v="0"/>
    <n v="0"/>
  </r>
  <r>
    <d v="2022-04-22T00:00:00"/>
    <x v="3"/>
    <x v="4"/>
    <x v="0"/>
    <n v="23445"/>
    <x v="0"/>
    <m/>
    <n v="0"/>
    <n v="0"/>
    <n v="0"/>
    <n v="0"/>
    <n v="0"/>
    <n v="0"/>
    <n v="0"/>
    <n v="0"/>
    <n v="0"/>
    <n v="0"/>
  </r>
  <r>
    <d v="2022-04-25T00:00:00"/>
    <x v="3"/>
    <x v="27"/>
    <x v="1"/>
    <n v="23446"/>
    <x v="1"/>
    <m/>
    <n v="4"/>
    <n v="0"/>
    <n v="0"/>
    <n v="0"/>
    <n v="0"/>
    <n v="970.91999999999985"/>
    <n v="901.32"/>
    <n v="2670.3199999999997"/>
    <n v="267.95999999999998"/>
    <n v="4810.5199999999995"/>
  </r>
  <r>
    <d v="2022-04-25T00:00:00"/>
    <x v="3"/>
    <x v="4"/>
    <x v="0"/>
    <n v="23447"/>
    <x v="1"/>
    <m/>
    <n v="4"/>
    <n v="0"/>
    <n v="0"/>
    <n v="0"/>
    <n v="0"/>
    <n v="4350"/>
    <n v="2335.08"/>
    <n v="1416.3599999999997"/>
    <n v="148.47999999999999"/>
    <n v="8249.92"/>
  </r>
  <r>
    <d v="2022-04-25T00:00:00"/>
    <x v="3"/>
    <x v="4"/>
    <x v="0"/>
    <n v="23448"/>
    <x v="0"/>
    <m/>
    <n v="0"/>
    <n v="0"/>
    <n v="0"/>
    <n v="0"/>
    <n v="0"/>
    <n v="0"/>
    <n v="0"/>
    <n v="0"/>
    <n v="0"/>
    <n v="0"/>
  </r>
  <r>
    <d v="2022-04-26T00:00:00"/>
    <x v="3"/>
    <x v="12"/>
    <x v="0"/>
    <n v="23449"/>
    <x v="1"/>
    <m/>
    <n v="4"/>
    <n v="0"/>
    <n v="0"/>
    <n v="0"/>
    <n v="0"/>
    <n v="864.19999999999993"/>
    <n v="1789.88"/>
    <n v="2165.7199999999998"/>
    <n v="2818.7999999999997"/>
    <n v="7638.5999999999985"/>
  </r>
  <r>
    <d v="2022-04-26T00:00:00"/>
    <x v="3"/>
    <x v="9"/>
    <x v="2"/>
    <n v="23450"/>
    <x v="1"/>
    <m/>
    <n v="3"/>
    <n v="0"/>
    <n v="0"/>
    <n v="0"/>
    <n v="0"/>
    <n v="0"/>
    <n v="2802.5600000000004"/>
    <n v="3108.8"/>
    <n v="6509.9199999999983"/>
    <n v="12421.279999999999"/>
  </r>
  <r>
    <d v="2022-04-26T00:00:00"/>
    <x v="3"/>
    <x v="6"/>
    <x v="1"/>
    <n v="23451"/>
    <x v="1"/>
    <m/>
    <n v="4"/>
    <n v="0"/>
    <n v="0"/>
    <n v="0"/>
    <n v="627.55999999999995"/>
    <n v="0"/>
    <n v="1629.8"/>
    <n v="615.95999999999992"/>
    <n v="582.31999999999994"/>
    <n v="3455.6399999999994"/>
  </r>
  <r>
    <d v="2022-04-26T00:00:00"/>
    <x v="3"/>
    <x v="29"/>
    <x v="0"/>
    <n v="23452"/>
    <x v="0"/>
    <m/>
    <n v="0"/>
    <n v="0"/>
    <n v="0"/>
    <n v="0"/>
    <n v="0"/>
    <n v="0"/>
    <n v="0"/>
    <n v="0"/>
    <n v="0"/>
    <n v="0"/>
  </r>
  <r>
    <d v="2022-04-27T00:00:00"/>
    <x v="3"/>
    <x v="28"/>
    <x v="2"/>
    <n v="23453"/>
    <x v="1"/>
    <m/>
    <n v="4"/>
    <n v="0"/>
    <n v="0"/>
    <n v="0"/>
    <n v="0"/>
    <n v="7388.0399999999963"/>
    <n v="22158.32"/>
    <n v="19305.879999999986"/>
    <n v="24871.56000000007"/>
    <n v="73723.800000000047"/>
  </r>
  <r>
    <d v="2022-04-28T00:00:00"/>
    <x v="3"/>
    <x v="6"/>
    <x v="1"/>
    <n v="23454"/>
    <x v="0"/>
    <m/>
    <n v="0"/>
    <n v="0"/>
    <n v="0"/>
    <n v="0"/>
    <n v="0"/>
    <n v="0"/>
    <n v="0"/>
    <n v="0"/>
    <n v="0"/>
    <n v="0"/>
  </r>
  <r>
    <d v="2022-04-28T00:00:00"/>
    <x v="3"/>
    <x v="18"/>
    <x v="0"/>
    <n v="23455"/>
    <x v="0"/>
    <m/>
    <n v="0"/>
    <n v="0"/>
    <n v="0"/>
    <n v="0"/>
    <n v="0"/>
    <n v="0"/>
    <n v="0"/>
    <n v="0"/>
    <n v="0"/>
    <n v="0"/>
  </r>
  <r>
    <d v="2022-04-28T00:00:00"/>
    <x v="3"/>
    <x v="13"/>
    <x v="2"/>
    <n v="23456"/>
    <x v="1"/>
    <m/>
    <n v="4"/>
    <n v="0"/>
    <n v="0"/>
    <n v="0"/>
    <n v="0"/>
    <n v="2126.2799999999997"/>
    <n v="1476.68"/>
    <n v="2388.4399999999996"/>
    <n v="1765.52"/>
    <n v="7756.92"/>
  </r>
  <r>
    <d v="2022-04-29T00:00:00"/>
    <x v="3"/>
    <x v="23"/>
    <x v="2"/>
    <n v="23457"/>
    <x v="1"/>
    <m/>
    <n v="3"/>
    <n v="0"/>
    <n v="0"/>
    <n v="0"/>
    <n v="0"/>
    <n v="0"/>
    <n v="1105.48"/>
    <n v="3925.4399999999987"/>
    <n v="1245.8399999999999"/>
    <n v="6276.7599999999984"/>
  </r>
  <r>
    <d v="2022-04-29T00:00:00"/>
    <x v="3"/>
    <x v="23"/>
    <x v="2"/>
    <n v="23458"/>
    <x v="1"/>
    <m/>
    <n v="3"/>
    <n v="0"/>
    <n v="0"/>
    <n v="0"/>
    <n v="0"/>
    <n v="0"/>
    <n v="812"/>
    <n v="580"/>
    <n v="1160"/>
    <n v="2552"/>
  </r>
  <r>
    <d v="2022-04-29T00:00:00"/>
    <x v="3"/>
    <x v="9"/>
    <x v="2"/>
    <n v="23459"/>
    <x v="1"/>
    <m/>
    <n v="4"/>
    <n v="0"/>
    <n v="0"/>
    <n v="0"/>
    <n v="0"/>
    <n v="7783.5999999999995"/>
    <n v="8307.92"/>
    <n v="5145.7600000000011"/>
    <n v="6955.36"/>
    <n v="28192.640000000003"/>
  </r>
  <r>
    <d v="2022-04-29T00:00:00"/>
    <x v="3"/>
    <x v="9"/>
    <x v="2"/>
    <n v="23460"/>
    <x v="2"/>
    <m/>
    <n v="2"/>
    <n v="0"/>
    <n v="0"/>
    <n v="0"/>
    <n v="0"/>
    <n v="2187.7599999999998"/>
    <n v="0"/>
    <n v="0"/>
    <n v="136.88"/>
    <n v="2324.64"/>
  </r>
  <r>
    <d v="2022-04-30T00:00:00"/>
    <x v="3"/>
    <x v="16"/>
    <x v="2"/>
    <n v="23461"/>
    <x v="1"/>
    <m/>
    <n v="4"/>
    <n v="0"/>
    <n v="0"/>
    <n v="0"/>
    <n v="0"/>
    <n v="155.44"/>
    <n v="4039.1200000000003"/>
    <n v="3235.2400000000002"/>
    <n v="5753.6000000000013"/>
    <n v="13183.400000000001"/>
  </r>
  <r>
    <d v="2022-04-30T00:00:00"/>
    <x v="3"/>
    <x v="12"/>
    <x v="0"/>
    <n v="23462"/>
    <x v="1"/>
    <m/>
    <n v="4"/>
    <n v="0"/>
    <n v="0"/>
    <n v="0"/>
    <n v="0"/>
    <n v="437.31999999999994"/>
    <n v="2735.2799999999997"/>
    <n v="4904.4799999999987"/>
    <n v="3231.7599999999993"/>
    <n v="11308.839999999997"/>
  </r>
  <r>
    <d v="2022-05-02T00:00:00"/>
    <x v="4"/>
    <x v="11"/>
    <x v="3"/>
    <n v="23463"/>
    <x v="1"/>
    <m/>
    <n v="4"/>
    <n v="0"/>
    <n v="0"/>
    <n v="0"/>
    <n v="0"/>
    <n v="447.76"/>
    <n v="1191.32"/>
    <n v="480.23999999999995"/>
    <n v="3870.9199999999992"/>
    <n v="5990.2399999999989"/>
  </r>
  <r>
    <d v="2022-05-03T00:00:00"/>
    <x v="4"/>
    <x v="0"/>
    <x v="0"/>
    <n v="23464"/>
    <x v="2"/>
    <m/>
    <n v="2"/>
    <n v="0"/>
    <n v="0"/>
    <n v="0"/>
    <n v="0"/>
    <n v="0"/>
    <n v="5088.92"/>
    <n v="0"/>
    <n v="5991.3999999999987"/>
    <n v="11080.32"/>
  </r>
  <r>
    <d v="2022-05-03T00:00:00"/>
    <x v="4"/>
    <x v="3"/>
    <x v="0"/>
    <n v="23465"/>
    <x v="0"/>
    <m/>
    <n v="0"/>
    <n v="0"/>
    <n v="0"/>
    <n v="0"/>
    <n v="0"/>
    <n v="0"/>
    <n v="0"/>
    <n v="0"/>
    <n v="0"/>
    <n v="0"/>
  </r>
  <r>
    <d v="2022-05-04T00:00:00"/>
    <x v="4"/>
    <x v="2"/>
    <x v="1"/>
    <n v="23466"/>
    <x v="2"/>
    <m/>
    <n v="2"/>
    <n v="0"/>
    <n v="0"/>
    <n v="0"/>
    <n v="0"/>
    <n v="0"/>
    <n v="18271.16"/>
    <n v="0"/>
    <n v="13758.760000000004"/>
    <n v="32029.920000000006"/>
  </r>
  <r>
    <d v="2022-05-04T00:00:00"/>
    <x v="4"/>
    <x v="15"/>
    <x v="3"/>
    <n v="23467"/>
    <x v="2"/>
    <m/>
    <n v="2"/>
    <n v="0"/>
    <n v="0"/>
    <n v="0"/>
    <n v="0"/>
    <n v="0"/>
    <n v="1289.92"/>
    <n v="0"/>
    <n v="2784"/>
    <n v="4073.92"/>
  </r>
  <r>
    <d v="2022-05-04T00:00:00"/>
    <x v="4"/>
    <x v="11"/>
    <x v="3"/>
    <n v="23468"/>
    <x v="1"/>
    <m/>
    <n v="4"/>
    <n v="0"/>
    <n v="0"/>
    <n v="0"/>
    <n v="0"/>
    <n v="7797.5200000000059"/>
    <n v="13749.480000000001"/>
    <n v="12624.280000000006"/>
    <n v="11699.760000000009"/>
    <n v="45871.040000000023"/>
  </r>
  <r>
    <d v="2022-05-04T00:00:00"/>
    <x v="4"/>
    <x v="9"/>
    <x v="2"/>
    <n v="23469"/>
    <x v="0"/>
    <m/>
    <n v="0"/>
    <n v="0"/>
    <n v="0"/>
    <n v="0"/>
    <n v="0"/>
    <n v="0"/>
    <n v="0"/>
    <n v="0"/>
    <n v="0"/>
    <n v="0"/>
  </r>
  <r>
    <d v="2022-05-04T00:00:00"/>
    <x v="4"/>
    <x v="23"/>
    <x v="2"/>
    <n v="23470"/>
    <x v="0"/>
    <m/>
    <n v="0"/>
    <n v="0"/>
    <n v="0"/>
    <n v="0"/>
    <n v="0"/>
    <n v="0"/>
    <n v="0"/>
    <n v="0"/>
    <n v="0"/>
    <n v="0"/>
  </r>
  <r>
    <d v="2022-05-04T00:00:00"/>
    <x v="4"/>
    <x v="13"/>
    <x v="2"/>
    <n v="23471"/>
    <x v="1"/>
    <m/>
    <n v="4"/>
    <n v="0"/>
    <n v="0"/>
    <n v="0"/>
    <n v="0"/>
    <n v="5970.5199999999995"/>
    <n v="10188.280000000001"/>
    <n v="12947.92"/>
    <n v="9682.52"/>
    <n v="38789.240000000005"/>
  </r>
  <r>
    <d v="2022-05-05T00:00:00"/>
    <x v="4"/>
    <x v="11"/>
    <x v="3"/>
    <n v="23472"/>
    <x v="1"/>
    <m/>
    <n v="4"/>
    <n v="0"/>
    <n v="0"/>
    <n v="0"/>
    <n v="0"/>
    <n v="174"/>
    <n v="3022.96"/>
    <n v="5682.8399999999983"/>
    <n v="1133.32"/>
    <n v="10013.119999999999"/>
  </r>
  <r>
    <d v="2022-05-05T00:00:00"/>
    <x v="4"/>
    <x v="28"/>
    <x v="2"/>
    <n v="23473"/>
    <x v="1"/>
    <m/>
    <n v="4"/>
    <n v="0"/>
    <n v="0"/>
    <n v="0"/>
    <n v="0"/>
    <n v="1364.1600000000003"/>
    <n v="5943.84"/>
    <n v="7502.8799999999883"/>
    <n v="2241.1200000000008"/>
    <n v="17051.999999999989"/>
  </r>
  <r>
    <d v="2022-05-05T00:00:00"/>
    <x v="4"/>
    <x v="13"/>
    <x v="2"/>
    <n v="23474"/>
    <x v="0"/>
    <m/>
    <n v="0"/>
    <n v="0"/>
    <n v="0"/>
    <n v="0"/>
    <n v="0"/>
    <n v="0"/>
    <n v="0"/>
    <n v="0"/>
    <n v="0"/>
    <n v="0"/>
  </r>
  <r>
    <d v="2022-05-05T00:00:00"/>
    <x v="4"/>
    <x v="13"/>
    <x v="2"/>
    <n v="23475"/>
    <x v="0"/>
    <m/>
    <n v="0"/>
    <n v="0"/>
    <n v="0"/>
    <n v="0"/>
    <n v="0"/>
    <n v="0"/>
    <n v="0"/>
    <n v="0"/>
    <n v="0"/>
    <n v="0"/>
  </r>
  <r>
    <d v="2022-05-06T00:00:00"/>
    <x v="4"/>
    <x v="3"/>
    <x v="0"/>
    <n v="23476"/>
    <x v="0"/>
    <m/>
    <n v="0"/>
    <n v="0"/>
    <n v="0"/>
    <n v="0"/>
    <n v="0"/>
    <n v="0"/>
    <n v="0"/>
    <n v="0"/>
    <n v="0"/>
    <n v="0"/>
  </r>
  <r>
    <d v="2022-05-06T00:00:00"/>
    <x v="4"/>
    <x v="30"/>
    <x v="0"/>
    <n v="23477"/>
    <x v="2"/>
    <m/>
    <n v="2"/>
    <n v="0"/>
    <n v="0"/>
    <n v="0"/>
    <n v="0"/>
    <n v="0"/>
    <n v="65828.84"/>
    <n v="0"/>
    <n v="24132.639999999978"/>
    <n v="89961.479999999981"/>
  </r>
  <r>
    <d v="2022-05-07T00:00:00"/>
    <x v="4"/>
    <x v="5"/>
    <x v="0"/>
    <n v="23478"/>
    <x v="1"/>
    <m/>
    <n v="4"/>
    <n v="0"/>
    <n v="0"/>
    <n v="0"/>
    <n v="0"/>
    <n v="194.88"/>
    <n v="1141.4399999999998"/>
    <n v="488.3599999999999"/>
    <n v="1831.6400000000003"/>
    <n v="3656.3199999999997"/>
  </r>
  <r>
    <d v="2022-05-09T00:00:00"/>
    <x v="4"/>
    <x v="9"/>
    <x v="2"/>
    <n v="23479"/>
    <x v="1"/>
    <m/>
    <n v="4"/>
    <n v="0"/>
    <n v="0"/>
    <n v="0"/>
    <n v="0"/>
    <n v="1707.52"/>
    <n v="9268.4"/>
    <n v="10187.120000000003"/>
    <n v="6878.7999999999993"/>
    <n v="28041.84"/>
  </r>
  <r>
    <d v="2022-05-09T00:00:00"/>
    <x v="4"/>
    <x v="14"/>
    <x v="0"/>
    <n v="23480"/>
    <x v="1"/>
    <m/>
    <n v="4"/>
    <n v="0"/>
    <n v="0"/>
    <n v="0"/>
    <n v="0"/>
    <n v="9741.6799999999985"/>
    <n v="37159.440000000002"/>
    <n v="45071.800000000039"/>
    <n v="48365.040000000161"/>
    <n v="140337.9600000002"/>
  </r>
  <r>
    <d v="2022-05-11T00:00:00"/>
    <x v="4"/>
    <x v="11"/>
    <x v="3"/>
    <n v="23481"/>
    <x v="1"/>
    <m/>
    <n v="4"/>
    <n v="0"/>
    <n v="0"/>
    <n v="0"/>
    <n v="0"/>
    <n v="2460.3599999999997"/>
    <n v="17517.16"/>
    <n v="6427.5599999999986"/>
    <n v="16681.959999999995"/>
    <n v="43087.039999999994"/>
  </r>
  <r>
    <d v="2022-05-11T00:00:00"/>
    <x v="4"/>
    <x v="14"/>
    <x v="0"/>
    <n v="23482"/>
    <x v="1"/>
    <m/>
    <n v="4"/>
    <n v="0"/>
    <n v="0"/>
    <n v="0"/>
    <n v="0"/>
    <n v="4974.0799999999981"/>
    <n v="7876.4"/>
    <n v="5257.119999999999"/>
    <n v="7676.8799999999992"/>
    <n v="25784.479999999996"/>
  </r>
  <r>
    <d v="2022-05-11T00:00:00"/>
    <x v="4"/>
    <x v="6"/>
    <x v="1"/>
    <n v="23483"/>
    <x v="1"/>
    <m/>
    <n v="3"/>
    <n v="0"/>
    <n v="0"/>
    <n v="0"/>
    <n v="0"/>
    <n v="0"/>
    <n v="1294.56"/>
    <n v="5856.84"/>
    <n v="8213.9600000000028"/>
    <n v="15365.360000000002"/>
  </r>
  <r>
    <d v="2022-05-11T00:00:00"/>
    <x v="4"/>
    <x v="18"/>
    <x v="0"/>
    <n v="23484"/>
    <x v="0"/>
    <m/>
    <n v="0"/>
    <n v="0"/>
    <n v="0"/>
    <n v="0"/>
    <n v="0"/>
    <n v="0"/>
    <n v="0"/>
    <n v="0"/>
    <n v="0"/>
    <n v="0"/>
  </r>
  <r>
    <d v="2022-05-11T00:00:00"/>
    <x v="4"/>
    <x v="18"/>
    <x v="0"/>
    <n v="23485"/>
    <x v="0"/>
    <m/>
    <n v="0"/>
    <n v="0"/>
    <n v="0"/>
    <n v="0"/>
    <n v="0"/>
    <n v="0"/>
    <n v="0"/>
    <n v="0"/>
    <n v="0"/>
    <n v="0"/>
  </r>
  <r>
    <d v="2022-05-11T00:00:00"/>
    <x v="4"/>
    <x v="6"/>
    <x v="1"/>
    <n v="23486"/>
    <x v="0"/>
    <m/>
    <n v="0"/>
    <n v="0"/>
    <n v="0"/>
    <n v="0"/>
    <n v="0"/>
    <n v="0"/>
    <n v="0"/>
    <n v="0"/>
    <n v="0"/>
    <n v="0"/>
  </r>
  <r>
    <d v="2022-05-13T00:00:00"/>
    <x v="4"/>
    <x v="8"/>
    <x v="2"/>
    <n v="23487"/>
    <x v="1"/>
    <m/>
    <n v="4"/>
    <n v="0"/>
    <n v="0"/>
    <n v="0"/>
    <n v="0"/>
    <n v="1975.48"/>
    <n v="738.92"/>
    <n v="4781.5200000000004"/>
    <n v="843.31999999999994"/>
    <n v="8339.24"/>
  </r>
  <r>
    <d v="2022-05-14T00:00:00"/>
    <x v="4"/>
    <x v="15"/>
    <x v="3"/>
    <n v="23488"/>
    <x v="2"/>
    <m/>
    <n v="2"/>
    <n v="0"/>
    <n v="0"/>
    <n v="0"/>
    <n v="0"/>
    <n v="0"/>
    <n v="6639.84"/>
    <n v="0"/>
    <n v="1266.7199999999998"/>
    <n v="7906.5599999999995"/>
  </r>
  <r>
    <d v="2022-05-16T00:00:00"/>
    <x v="4"/>
    <x v="3"/>
    <x v="0"/>
    <n v="23489"/>
    <x v="2"/>
    <m/>
    <n v="2"/>
    <n v="0"/>
    <n v="0"/>
    <n v="0"/>
    <n v="0"/>
    <n v="0"/>
    <n v="6499.48"/>
    <n v="0"/>
    <n v="568.4"/>
    <n v="7067.8799999999992"/>
  </r>
  <r>
    <d v="2022-05-16T00:00:00"/>
    <x v="4"/>
    <x v="24"/>
    <x v="3"/>
    <n v="23490"/>
    <x v="2"/>
    <m/>
    <n v="2"/>
    <n v="0"/>
    <n v="0"/>
    <n v="0"/>
    <n v="0"/>
    <n v="0"/>
    <n v="8841.52"/>
    <n v="0"/>
    <n v="2299.12"/>
    <n v="11140.64"/>
  </r>
  <r>
    <d v="2022-05-16T00:00:00"/>
    <x v="4"/>
    <x v="2"/>
    <x v="1"/>
    <n v="23491"/>
    <x v="2"/>
    <m/>
    <n v="2"/>
    <n v="0"/>
    <n v="0"/>
    <n v="0"/>
    <n v="0"/>
    <n v="0"/>
    <n v="3765.3599999999997"/>
    <n v="0"/>
    <n v="3408.08"/>
    <n v="7173.44"/>
  </r>
  <r>
    <d v="2022-05-16T00:00:00"/>
    <x v="4"/>
    <x v="12"/>
    <x v="0"/>
    <n v="23492"/>
    <x v="0"/>
    <m/>
    <n v="0"/>
    <n v="0"/>
    <n v="0"/>
    <n v="0"/>
    <n v="0"/>
    <n v="0"/>
    <n v="0"/>
    <n v="0"/>
    <n v="0"/>
    <n v="0"/>
  </r>
  <r>
    <d v="2022-05-16T00:00:00"/>
    <x v="4"/>
    <x v="14"/>
    <x v="0"/>
    <n v="23493"/>
    <x v="1"/>
    <m/>
    <n v="3"/>
    <n v="0"/>
    <n v="0"/>
    <n v="0"/>
    <n v="0"/>
    <n v="0"/>
    <n v="8816"/>
    <n v="892.04"/>
    <n v="3207.3999999999996"/>
    <n v="12915.44"/>
  </r>
  <r>
    <d v="2022-05-17T00:00:00"/>
    <x v="4"/>
    <x v="13"/>
    <x v="2"/>
    <n v="23494"/>
    <x v="2"/>
    <m/>
    <n v="2"/>
    <n v="0"/>
    <n v="0"/>
    <n v="0"/>
    <n v="0"/>
    <n v="0"/>
    <n v="0"/>
    <n v="16148.359999999997"/>
    <n v="1180.8799999999999"/>
    <n v="17329.239999999998"/>
  </r>
  <r>
    <d v="2022-05-17T00:00:00"/>
    <x v="4"/>
    <x v="27"/>
    <x v="1"/>
    <n v="23495"/>
    <x v="1"/>
    <m/>
    <n v="4"/>
    <n v="0"/>
    <n v="0"/>
    <n v="0"/>
    <n v="0"/>
    <n v="1784.08"/>
    <n v="3177.24"/>
    <n v="3424.32"/>
    <n v="4194.5599999999995"/>
    <n v="12580.199999999999"/>
  </r>
  <r>
    <d v="2022-05-17T00:00:00"/>
    <x v="4"/>
    <x v="2"/>
    <x v="1"/>
    <n v="23496"/>
    <x v="2"/>
    <m/>
    <n v="2"/>
    <n v="0"/>
    <n v="0"/>
    <n v="0"/>
    <n v="0"/>
    <n v="0"/>
    <n v="1351.4"/>
    <n v="0"/>
    <n v="4275.7599999999993"/>
    <n v="5627.16"/>
  </r>
  <r>
    <d v="2022-05-17T00:00:00"/>
    <x v="4"/>
    <x v="0"/>
    <x v="0"/>
    <n v="23497"/>
    <x v="0"/>
    <m/>
    <n v="0"/>
    <n v="0"/>
    <n v="0"/>
    <n v="0"/>
    <n v="0"/>
    <n v="0"/>
    <n v="0"/>
    <n v="0"/>
    <n v="0"/>
    <n v="0"/>
  </r>
  <r>
    <d v="2022-05-17T00:00:00"/>
    <x v="4"/>
    <x v="0"/>
    <x v="0"/>
    <n v="23498"/>
    <x v="0"/>
    <m/>
    <n v="0"/>
    <n v="0"/>
    <n v="0"/>
    <n v="0"/>
    <n v="0"/>
    <n v="0"/>
    <n v="0"/>
    <n v="0"/>
    <n v="0"/>
    <n v="0"/>
  </r>
  <r>
    <d v="2022-05-17T00:00:00"/>
    <x v="4"/>
    <x v="9"/>
    <x v="2"/>
    <n v="23499"/>
    <x v="2"/>
    <m/>
    <n v="2"/>
    <n v="0"/>
    <n v="0"/>
    <n v="0"/>
    <n v="0"/>
    <n v="0"/>
    <n v="1046.32"/>
    <n v="0"/>
    <n v="95.11999999999999"/>
    <n v="1141.4399999999998"/>
  </r>
  <r>
    <d v="2022-05-19T00:00:00"/>
    <x v="4"/>
    <x v="9"/>
    <x v="2"/>
    <n v="23500"/>
    <x v="1"/>
    <m/>
    <n v="3"/>
    <n v="0"/>
    <n v="0"/>
    <n v="0"/>
    <n v="0"/>
    <n v="519.67999999999995"/>
    <n v="1659.96"/>
    <n v="219.23999999999995"/>
    <n v="0"/>
    <n v="2398.8799999999997"/>
  </r>
  <r>
    <d v="2022-05-19T00:00:00"/>
    <x v="4"/>
    <x v="26"/>
    <x v="2"/>
    <n v="23501"/>
    <x v="2"/>
    <m/>
    <n v="1"/>
    <n v="0"/>
    <n v="0"/>
    <n v="0"/>
    <n v="0"/>
    <n v="0"/>
    <n v="6383.48"/>
    <n v="0"/>
    <n v="0"/>
    <n v="6383.48"/>
  </r>
  <r>
    <d v="2022-05-19T00:00:00"/>
    <x v="4"/>
    <x v="2"/>
    <x v="1"/>
    <n v="23502"/>
    <x v="2"/>
    <m/>
    <n v="2"/>
    <n v="0"/>
    <n v="0"/>
    <n v="0"/>
    <n v="0"/>
    <n v="0"/>
    <n v="2078.7200000000003"/>
    <n v="0"/>
    <n v="4964.7999999999993"/>
    <n v="7043.5199999999995"/>
  </r>
  <r>
    <d v="2022-05-19T00:00:00"/>
    <x v="4"/>
    <x v="16"/>
    <x v="2"/>
    <n v="23503"/>
    <x v="1"/>
    <m/>
    <n v="3"/>
    <n v="0"/>
    <n v="0"/>
    <n v="0"/>
    <n v="0"/>
    <n v="0"/>
    <n v="1691.28"/>
    <n v="2924.36"/>
    <n v="3386.04"/>
    <n v="8001.68"/>
  </r>
  <r>
    <d v="2022-05-19T00:00:00"/>
    <x v="4"/>
    <x v="27"/>
    <x v="1"/>
    <n v="23504"/>
    <x v="1"/>
    <m/>
    <n v="3"/>
    <n v="0"/>
    <n v="0"/>
    <n v="0"/>
    <n v="0"/>
    <n v="0"/>
    <n v="4971.7599999999993"/>
    <n v="4997.28"/>
    <n v="910.59999999999991"/>
    <n v="10879.64"/>
  </r>
  <r>
    <d v="2022-05-20T00:00:00"/>
    <x v="4"/>
    <x v="12"/>
    <x v="0"/>
    <n v="23505"/>
    <x v="2"/>
    <m/>
    <n v="1"/>
    <n v="0"/>
    <n v="0"/>
    <n v="0"/>
    <n v="0"/>
    <n v="0"/>
    <n v="1184.3599999999999"/>
    <n v="0"/>
    <n v="0"/>
    <n v="1184.3599999999999"/>
  </r>
  <r>
    <d v="2022-05-20T00:00:00"/>
    <x v="4"/>
    <x v="26"/>
    <x v="2"/>
    <n v="23506"/>
    <x v="1"/>
    <m/>
    <n v="3"/>
    <n v="0"/>
    <n v="0"/>
    <n v="0"/>
    <n v="0"/>
    <n v="0"/>
    <n v="450.08"/>
    <n v="1742.32"/>
    <n v="856.07999999999993"/>
    <n v="3048.48"/>
  </r>
  <r>
    <d v="2022-05-20T00:00:00"/>
    <x v="4"/>
    <x v="9"/>
    <x v="2"/>
    <n v="23507"/>
    <x v="1"/>
    <m/>
    <n v="3"/>
    <n v="0"/>
    <n v="0"/>
    <n v="0"/>
    <n v="0"/>
    <n v="0"/>
    <n v="5101.68"/>
    <n v="3020.6400000000003"/>
    <n v="5616.7199999999984"/>
    <n v="13739.039999999999"/>
  </r>
  <r>
    <d v="2022-05-20T00:00:00"/>
    <x v="4"/>
    <x v="1"/>
    <x v="0"/>
    <n v="23508"/>
    <x v="2"/>
    <m/>
    <n v="1"/>
    <n v="0"/>
    <n v="0"/>
    <n v="0"/>
    <n v="0"/>
    <n v="0"/>
    <n v="1028.92"/>
    <n v="0"/>
    <n v="0"/>
    <n v="1028.92"/>
  </r>
  <r>
    <d v="2022-05-21T00:00:00"/>
    <x v="4"/>
    <x v="6"/>
    <x v="1"/>
    <n v="23509"/>
    <x v="2"/>
    <m/>
    <n v="2"/>
    <n v="0"/>
    <n v="0"/>
    <n v="0"/>
    <n v="0"/>
    <n v="0"/>
    <n v="309.72000000000003"/>
    <n v="0"/>
    <n v="270.27999999999997"/>
    <n v="580"/>
  </r>
  <r>
    <d v="2022-05-21T00:00:00"/>
    <x v="4"/>
    <x v="3"/>
    <x v="0"/>
    <n v="23510"/>
    <x v="0"/>
    <m/>
    <n v="0"/>
    <n v="0"/>
    <n v="0"/>
    <n v="0"/>
    <n v="0"/>
    <n v="0"/>
    <n v="0"/>
    <n v="0"/>
    <n v="0"/>
    <n v="0"/>
  </r>
  <r>
    <d v="2022-05-23T00:00:00"/>
    <x v="4"/>
    <x v="1"/>
    <x v="0"/>
    <n v="23511"/>
    <x v="2"/>
    <m/>
    <n v="1"/>
    <n v="0"/>
    <n v="0"/>
    <n v="0"/>
    <n v="0"/>
    <n v="0"/>
    <n v="986"/>
    <n v="0"/>
    <n v="0"/>
    <n v="986"/>
  </r>
  <r>
    <d v="2022-05-23T00:00:00"/>
    <x v="4"/>
    <x v="28"/>
    <x v="2"/>
    <n v="23512"/>
    <x v="2"/>
    <m/>
    <n v="1"/>
    <n v="0"/>
    <n v="0"/>
    <n v="0"/>
    <n v="0"/>
    <n v="0"/>
    <n v="0"/>
    <n v="0"/>
    <n v="1392"/>
    <n v="1392"/>
  </r>
  <r>
    <d v="2022-05-23T00:00:00"/>
    <x v="4"/>
    <x v="27"/>
    <x v="1"/>
    <n v="23513"/>
    <x v="1"/>
    <m/>
    <n v="3"/>
    <n v="0"/>
    <n v="0"/>
    <n v="0"/>
    <n v="0"/>
    <n v="0"/>
    <n v="377"/>
    <n v="511.55999999999995"/>
    <n v="511.55999999999995"/>
    <n v="1400.12"/>
  </r>
  <r>
    <d v="2022-05-23T00:00:00"/>
    <x v="4"/>
    <x v="18"/>
    <x v="0"/>
    <n v="23514"/>
    <x v="1"/>
    <m/>
    <n v="3"/>
    <n v="0"/>
    <n v="0"/>
    <n v="0"/>
    <n v="0"/>
    <n v="0"/>
    <n v="60.32"/>
    <n v="2846.6400000000008"/>
    <n v="3442.8800000000006"/>
    <n v="6349.840000000002"/>
  </r>
  <r>
    <d v="2022-05-23T00:00:00"/>
    <x v="4"/>
    <x v="15"/>
    <x v="3"/>
    <n v="23515"/>
    <x v="1"/>
    <m/>
    <n v="3"/>
    <n v="0"/>
    <n v="0"/>
    <n v="0"/>
    <n v="0"/>
    <n v="0"/>
    <n v="989.48"/>
    <n v="1270.1999999999998"/>
    <n v="868.84"/>
    <n v="3128.52"/>
  </r>
  <r>
    <d v="2022-05-23T00:00:00"/>
    <x v="4"/>
    <x v="15"/>
    <x v="3"/>
    <n v="23516"/>
    <x v="2"/>
    <m/>
    <n v="1"/>
    <n v="0"/>
    <n v="0"/>
    <n v="0"/>
    <n v="0"/>
    <n v="0"/>
    <n v="2111.1999999999998"/>
    <n v="0"/>
    <n v="0"/>
    <n v="2111.1999999999998"/>
  </r>
  <r>
    <d v="2022-05-23T00:00:00"/>
    <x v="4"/>
    <x v="15"/>
    <x v="3"/>
    <n v="23517"/>
    <x v="1"/>
    <m/>
    <n v="3"/>
    <n v="0"/>
    <n v="0"/>
    <n v="0"/>
    <n v="0"/>
    <n v="0"/>
    <n v="15428"/>
    <n v="1160"/>
    <n v="580"/>
    <n v="17168"/>
  </r>
  <r>
    <d v="2022-05-23T00:00:00"/>
    <x v="4"/>
    <x v="5"/>
    <x v="0"/>
    <n v="23518"/>
    <x v="0"/>
    <m/>
    <n v="0"/>
    <n v="0"/>
    <n v="0"/>
    <n v="0"/>
    <n v="0"/>
    <n v="0"/>
    <n v="0"/>
    <n v="0"/>
    <n v="0"/>
    <n v="0"/>
  </r>
  <r>
    <d v="2022-05-23T00:00:00"/>
    <x v="4"/>
    <x v="14"/>
    <x v="0"/>
    <n v="23519"/>
    <x v="0"/>
    <m/>
    <n v="0"/>
    <n v="0"/>
    <n v="0"/>
    <n v="0"/>
    <n v="0"/>
    <n v="0"/>
    <n v="0"/>
    <n v="0"/>
    <n v="0"/>
    <n v="0"/>
  </r>
  <r>
    <d v="2022-05-24T00:00:00"/>
    <x v="4"/>
    <x v="2"/>
    <x v="1"/>
    <n v="23520"/>
    <x v="0"/>
    <m/>
    <n v="0"/>
    <n v="0"/>
    <n v="0"/>
    <n v="0"/>
    <n v="0"/>
    <n v="0"/>
    <n v="0"/>
    <n v="0"/>
    <n v="0"/>
    <n v="0"/>
  </r>
  <r>
    <d v="2022-05-26T00:00:00"/>
    <x v="4"/>
    <x v="4"/>
    <x v="0"/>
    <n v="23521"/>
    <x v="0"/>
    <m/>
    <n v="0"/>
    <n v="0"/>
    <n v="0"/>
    <n v="0"/>
    <n v="0"/>
    <n v="0"/>
    <n v="0"/>
    <n v="0"/>
    <n v="0"/>
    <n v="0"/>
  </r>
  <r>
    <d v="2022-05-26T00:00:00"/>
    <x v="4"/>
    <x v="14"/>
    <x v="0"/>
    <n v="23522"/>
    <x v="2"/>
    <m/>
    <n v="1"/>
    <n v="0"/>
    <n v="0"/>
    <n v="0"/>
    <n v="0"/>
    <n v="0"/>
    <n v="0"/>
    <n v="0"/>
    <n v="81.199999999999989"/>
    <n v="81.199999999999989"/>
  </r>
  <r>
    <d v="2022-05-26T00:00:00"/>
    <x v="4"/>
    <x v="18"/>
    <x v="0"/>
    <n v="23523"/>
    <x v="1"/>
    <m/>
    <n v="3"/>
    <n v="0"/>
    <n v="0"/>
    <n v="0"/>
    <n v="0"/>
    <n v="0"/>
    <n v="716.88"/>
    <n v="1419.84"/>
    <n v="3442.8799999999997"/>
    <n v="5579.5999999999995"/>
  </r>
  <r>
    <d v="2022-05-26T00:00:00"/>
    <x v="4"/>
    <x v="4"/>
    <x v="0"/>
    <n v="23524"/>
    <x v="0"/>
    <m/>
    <n v="0"/>
    <n v="0"/>
    <n v="0"/>
    <n v="0"/>
    <n v="0"/>
    <n v="0"/>
    <n v="0"/>
    <n v="0"/>
    <n v="0"/>
    <n v="0"/>
  </r>
  <r>
    <d v="2022-05-26T00:00:00"/>
    <x v="4"/>
    <x v="15"/>
    <x v="3"/>
    <n v="23525"/>
    <x v="1"/>
    <m/>
    <n v="3"/>
    <n v="0"/>
    <n v="0"/>
    <n v="0"/>
    <n v="0"/>
    <n v="0"/>
    <n v="5121.3999999999996"/>
    <n v="348"/>
    <n v="348"/>
    <n v="5817.4"/>
  </r>
  <r>
    <d v="2022-05-27T00:00:00"/>
    <x v="4"/>
    <x v="18"/>
    <x v="0"/>
    <n v="23526"/>
    <x v="1"/>
    <m/>
    <n v="3"/>
    <n v="0"/>
    <n v="0"/>
    <n v="0"/>
    <n v="0"/>
    <n v="0"/>
    <n v="2444.12"/>
    <n v="1788.7199999999998"/>
    <n v="1782.92"/>
    <n v="6015.76"/>
  </r>
  <r>
    <d v="2022-05-27T00:00:00"/>
    <x v="4"/>
    <x v="18"/>
    <x v="0"/>
    <n v="23527"/>
    <x v="1"/>
    <m/>
    <n v="3"/>
    <n v="0"/>
    <n v="0"/>
    <n v="0"/>
    <n v="0"/>
    <n v="0"/>
    <n v="7882.2"/>
    <n v="290"/>
    <n v="290"/>
    <n v="8462.2000000000007"/>
  </r>
  <r>
    <d v="2022-05-27T00:00:00"/>
    <x v="4"/>
    <x v="14"/>
    <x v="0"/>
    <n v="23528"/>
    <x v="1"/>
    <m/>
    <n v="3"/>
    <n v="0"/>
    <n v="0"/>
    <n v="0"/>
    <n v="0"/>
    <n v="0"/>
    <n v="7990.08"/>
    <n v="1076.4799999999998"/>
    <n v="1272.52"/>
    <n v="10339.08"/>
  </r>
  <r>
    <d v="2022-05-27T00:00:00"/>
    <x v="4"/>
    <x v="2"/>
    <x v="1"/>
    <n v="23529"/>
    <x v="2"/>
    <m/>
    <n v="2"/>
    <n v="0"/>
    <n v="0"/>
    <n v="0"/>
    <n v="0"/>
    <n v="0"/>
    <n v="16223.76"/>
    <n v="0"/>
    <n v="14257.559999999976"/>
    <n v="30481.319999999978"/>
  </r>
  <r>
    <d v="2022-05-27T00:00:00"/>
    <x v="4"/>
    <x v="2"/>
    <x v="1"/>
    <n v="23530"/>
    <x v="2"/>
    <m/>
    <n v="2"/>
    <n v="0"/>
    <n v="0"/>
    <n v="0"/>
    <n v="0"/>
    <n v="0"/>
    <n v="8959.84"/>
    <n v="0"/>
    <n v="11675.399999999987"/>
    <n v="20635.239999999987"/>
  </r>
  <r>
    <d v="2022-05-27T00:00:00"/>
    <x v="4"/>
    <x v="27"/>
    <x v="1"/>
    <n v="23531"/>
    <x v="2"/>
    <m/>
    <n v="1"/>
    <n v="0"/>
    <n v="0"/>
    <n v="0"/>
    <n v="0"/>
    <n v="0"/>
    <n v="0"/>
    <n v="2320"/>
    <n v="0"/>
    <n v="2320"/>
  </r>
  <r>
    <d v="2022-05-30T00:00:00"/>
    <x v="4"/>
    <x v="15"/>
    <x v="3"/>
    <n v="23532"/>
    <x v="1"/>
    <m/>
    <n v="3"/>
    <n v="0"/>
    <n v="0"/>
    <n v="0"/>
    <n v="0"/>
    <n v="0"/>
    <n v="1298.04"/>
    <n v="1266.72"/>
    <n v="591.59999999999991"/>
    <n v="3156.36"/>
  </r>
  <r>
    <d v="2022-05-30T00:00:00"/>
    <x v="4"/>
    <x v="15"/>
    <x v="3"/>
    <n v="23533"/>
    <x v="2"/>
    <m/>
    <n v="1"/>
    <n v="0"/>
    <n v="0"/>
    <n v="0"/>
    <n v="0"/>
    <n v="0"/>
    <n v="0"/>
    <n v="0"/>
    <n v="92.8"/>
    <n v="92.8"/>
  </r>
  <r>
    <d v="2022-05-30T00:00:00"/>
    <x v="4"/>
    <x v="15"/>
    <x v="3"/>
    <n v="23534"/>
    <x v="0"/>
    <m/>
    <n v="0"/>
    <n v="0"/>
    <n v="0"/>
    <n v="0"/>
    <n v="0"/>
    <n v="0"/>
    <n v="0"/>
    <n v="0"/>
    <n v="0"/>
    <n v="0"/>
  </r>
  <r>
    <d v="2022-05-31T00:00:00"/>
    <x v="4"/>
    <x v="0"/>
    <x v="0"/>
    <n v="23535"/>
    <x v="1"/>
    <m/>
    <n v="3"/>
    <n v="0"/>
    <n v="0"/>
    <n v="0"/>
    <n v="0"/>
    <n v="0"/>
    <n v="2255.04"/>
    <n v="3633.1200000000022"/>
    <n v="2380.3200000000002"/>
    <n v="8268.4800000000014"/>
  </r>
  <r>
    <d v="2022-05-31T00:00:00"/>
    <x v="4"/>
    <x v="18"/>
    <x v="0"/>
    <n v="23536"/>
    <x v="0"/>
    <m/>
    <n v="0"/>
    <n v="0"/>
    <n v="0"/>
    <n v="0"/>
    <n v="0"/>
    <n v="0"/>
    <n v="0"/>
    <n v="0"/>
    <n v="0"/>
    <n v="0"/>
  </r>
  <r>
    <d v="2022-05-31T00:00:00"/>
    <x v="4"/>
    <x v="28"/>
    <x v="2"/>
    <n v="23537"/>
    <x v="2"/>
    <m/>
    <n v="2"/>
    <n v="0"/>
    <n v="0"/>
    <n v="0"/>
    <n v="0"/>
    <n v="0"/>
    <n v="2071.7600000000002"/>
    <n v="0"/>
    <n v="635.68000000000006"/>
    <n v="2707.4400000000005"/>
  </r>
  <r>
    <d v="2022-05-31T00:00:00"/>
    <x v="4"/>
    <x v="2"/>
    <x v="1"/>
    <n v="23538"/>
    <x v="2"/>
    <m/>
    <n v="2"/>
    <n v="0"/>
    <n v="0"/>
    <n v="0"/>
    <n v="0"/>
    <n v="0"/>
    <n v="5493.76"/>
    <n v="0"/>
    <n v="8894.8799999999974"/>
    <n v="14388.639999999998"/>
  </r>
  <r>
    <d v="2022-05-31T00:00:00"/>
    <x v="4"/>
    <x v="15"/>
    <x v="3"/>
    <n v="23539"/>
    <x v="1"/>
    <m/>
    <n v="3"/>
    <n v="0"/>
    <n v="0"/>
    <n v="0"/>
    <n v="0"/>
    <n v="0"/>
    <n v="641.48"/>
    <n v="718.04"/>
    <n v="1012.6800000000001"/>
    <n v="2372.1999999999998"/>
  </r>
  <r>
    <d v="2022-06-01T00:00:00"/>
    <x v="5"/>
    <x v="11"/>
    <x v="3"/>
    <n v="23540"/>
    <x v="2"/>
    <m/>
    <n v="2"/>
    <n v="0"/>
    <n v="0"/>
    <n v="0"/>
    <n v="0"/>
    <n v="0"/>
    <n v="336.4"/>
    <n v="0"/>
    <n v="69.599999999999994"/>
    <n v="406"/>
  </r>
  <r>
    <d v="2022-06-01T00:00:00"/>
    <x v="5"/>
    <x v="0"/>
    <x v="0"/>
    <n v="23541"/>
    <x v="2"/>
    <m/>
    <n v="2"/>
    <n v="0"/>
    <n v="0"/>
    <n v="0"/>
    <n v="0"/>
    <n v="0"/>
    <n v="0"/>
    <n v="301.59999999999997"/>
    <n v="909.43999999999994"/>
    <n v="1211.04"/>
  </r>
  <r>
    <d v="2022-06-01T00:00:00"/>
    <x v="5"/>
    <x v="0"/>
    <x v="0"/>
    <n v="23542"/>
    <x v="0"/>
    <m/>
    <n v="0"/>
    <n v="0"/>
    <n v="0"/>
    <n v="0"/>
    <n v="0"/>
    <n v="0"/>
    <n v="0"/>
    <n v="0"/>
    <n v="0"/>
    <n v="0"/>
  </r>
  <r>
    <d v="2022-06-02T00:00:00"/>
    <x v="5"/>
    <x v="11"/>
    <x v="3"/>
    <n v="23543"/>
    <x v="2"/>
    <m/>
    <n v="2"/>
    <n v="0"/>
    <n v="0"/>
    <n v="0"/>
    <n v="0"/>
    <n v="0"/>
    <n v="0"/>
    <n v="425.71999999999991"/>
    <n v="243.6"/>
    <n v="669.31999999999994"/>
  </r>
  <r>
    <d v="2022-06-02T00:00:00"/>
    <x v="5"/>
    <x v="2"/>
    <x v="1"/>
    <n v="23544"/>
    <x v="2"/>
    <m/>
    <n v="2"/>
    <n v="0"/>
    <n v="0"/>
    <n v="0"/>
    <n v="0"/>
    <n v="0"/>
    <n v="3272.3599999999997"/>
    <n v="0"/>
    <n v="2372.1999999999998"/>
    <n v="5644.5599999999995"/>
  </r>
  <r>
    <d v="2022-06-02T00:00:00"/>
    <x v="5"/>
    <x v="11"/>
    <x v="3"/>
    <n v="23545"/>
    <x v="0"/>
    <m/>
    <n v="0"/>
    <n v="0"/>
    <n v="0"/>
    <n v="0"/>
    <n v="0"/>
    <n v="0"/>
    <n v="0"/>
    <n v="0"/>
    <n v="0"/>
    <n v="0"/>
  </r>
  <r>
    <d v="2022-06-02T00:00:00"/>
    <x v="5"/>
    <x v="4"/>
    <x v="0"/>
    <n v="23546"/>
    <x v="2"/>
    <m/>
    <n v="1"/>
    <n v="0"/>
    <n v="0"/>
    <n v="0"/>
    <n v="0"/>
    <n v="0"/>
    <n v="556.79999999999995"/>
    <n v="0"/>
    <n v="0"/>
    <n v="556.79999999999995"/>
  </r>
  <r>
    <d v="2022-06-02T00:00:00"/>
    <x v="5"/>
    <x v="4"/>
    <x v="0"/>
    <n v="23547"/>
    <x v="0"/>
    <m/>
    <n v="0"/>
    <n v="0"/>
    <n v="0"/>
    <n v="0"/>
    <n v="0"/>
    <n v="0"/>
    <n v="0"/>
    <n v="0"/>
    <n v="0"/>
    <n v="0"/>
  </r>
  <r>
    <d v="2022-06-02T00:00:00"/>
    <x v="5"/>
    <x v="28"/>
    <x v="2"/>
    <n v="23548"/>
    <x v="2"/>
    <m/>
    <n v="2"/>
    <n v="0"/>
    <n v="0"/>
    <n v="0"/>
    <n v="0"/>
    <n v="0"/>
    <n v="1572.96"/>
    <n v="0"/>
    <n v="2220.2399999999998"/>
    <n v="3793.2"/>
  </r>
  <r>
    <d v="2022-06-03T00:00:00"/>
    <x v="5"/>
    <x v="11"/>
    <x v="3"/>
    <n v="23549"/>
    <x v="1"/>
    <m/>
    <n v="3"/>
    <n v="0"/>
    <n v="0"/>
    <n v="0"/>
    <n v="0"/>
    <n v="0"/>
    <n v="19791.919999999998"/>
    <n v="35797.60000000002"/>
    <n v="79685.039999999979"/>
    <n v="135274.56"/>
  </r>
  <r>
    <d v="2022-06-03T00:00:00"/>
    <x v="5"/>
    <x v="23"/>
    <x v="2"/>
    <n v="23550"/>
    <x v="1"/>
    <m/>
    <n v="3"/>
    <n v="0"/>
    <n v="0"/>
    <n v="0"/>
    <n v="0"/>
    <n v="0"/>
    <n v="5976.3200000000006"/>
    <n v="2302.6"/>
    <n v="5505.3599999999988"/>
    <n v="13784.279999999999"/>
  </r>
  <r>
    <d v="2022-06-04T00:00:00"/>
    <x v="5"/>
    <x v="2"/>
    <x v="1"/>
    <n v="23551"/>
    <x v="2"/>
    <m/>
    <n v="2"/>
    <n v="0"/>
    <n v="0"/>
    <n v="0"/>
    <n v="0"/>
    <n v="0"/>
    <n v="104.4"/>
    <n v="0"/>
    <n v="2869.84"/>
    <n v="2974.2400000000002"/>
  </r>
  <r>
    <d v="2022-06-04T00:00:00"/>
    <x v="5"/>
    <x v="11"/>
    <x v="3"/>
    <n v="23552"/>
    <x v="2"/>
    <m/>
    <n v="2"/>
    <n v="0"/>
    <n v="0"/>
    <n v="0"/>
    <n v="0"/>
    <n v="0"/>
    <n v="3207.4"/>
    <n v="1775.9599999999998"/>
    <n v="0"/>
    <n v="4983.3599999999997"/>
  </r>
  <r>
    <d v="2022-06-06T00:00:00"/>
    <x v="5"/>
    <x v="27"/>
    <x v="1"/>
    <n v="23553"/>
    <x v="2"/>
    <m/>
    <n v="2"/>
    <n v="0"/>
    <n v="0"/>
    <n v="0"/>
    <n v="0"/>
    <n v="0"/>
    <n v="0"/>
    <n v="1179.7199999999998"/>
    <n v="2891.8799999999997"/>
    <n v="4071.5999999999995"/>
  </r>
  <r>
    <d v="2022-06-06T00:00:00"/>
    <x v="5"/>
    <x v="3"/>
    <x v="0"/>
    <n v="23554"/>
    <x v="2"/>
    <m/>
    <n v="1"/>
    <n v="0"/>
    <n v="0"/>
    <n v="0"/>
    <n v="0"/>
    <n v="0"/>
    <n v="701.80000000000007"/>
    <n v="0"/>
    <n v="0"/>
    <n v="701.80000000000007"/>
  </r>
  <r>
    <d v="2022-06-06T00:00:00"/>
    <x v="5"/>
    <x v="26"/>
    <x v="2"/>
    <n v="23555"/>
    <x v="2"/>
    <m/>
    <n v="1"/>
    <n v="0"/>
    <n v="0"/>
    <n v="0"/>
    <n v="0"/>
    <n v="0"/>
    <n v="254.04"/>
    <n v="0"/>
    <n v="0"/>
    <n v="254.04"/>
  </r>
  <r>
    <d v="2022-06-06T00:00:00"/>
    <x v="5"/>
    <x v="27"/>
    <x v="1"/>
    <n v="23556"/>
    <x v="1"/>
    <m/>
    <n v="3"/>
    <n v="0"/>
    <n v="0"/>
    <n v="0"/>
    <n v="0"/>
    <n v="0"/>
    <n v="1969.68"/>
    <n v="445.44"/>
    <n v="693.68000000000006"/>
    <n v="3108.8"/>
  </r>
  <r>
    <d v="2022-06-07T00:00:00"/>
    <x v="5"/>
    <x v="8"/>
    <x v="2"/>
    <n v="23557"/>
    <x v="1"/>
    <m/>
    <n v="3"/>
    <n v="0"/>
    <n v="0"/>
    <n v="0"/>
    <n v="0"/>
    <n v="0"/>
    <n v="8120"/>
    <n v="2320"/>
    <n v="348"/>
    <n v="10788"/>
  </r>
  <r>
    <d v="2022-06-07T00:00:00"/>
    <x v="5"/>
    <x v="10"/>
    <x v="0"/>
    <n v="23558"/>
    <x v="1"/>
    <m/>
    <n v="3"/>
    <n v="0"/>
    <n v="0"/>
    <n v="0"/>
    <n v="0"/>
    <n v="0"/>
    <n v="593.92000000000007"/>
    <n v="2230.6799999999998"/>
    <n v="4222.3999999999996"/>
    <n v="7047"/>
  </r>
  <r>
    <d v="2022-06-07T00:00:00"/>
    <x v="5"/>
    <x v="2"/>
    <x v="1"/>
    <n v="23559"/>
    <x v="2"/>
    <m/>
    <n v="2"/>
    <n v="0"/>
    <n v="0"/>
    <n v="0"/>
    <n v="0"/>
    <n v="0"/>
    <n v="2314.1999999999998"/>
    <n v="0"/>
    <n v="3114.6000000000004"/>
    <n v="5428.8"/>
  </r>
  <r>
    <d v="2022-06-08T00:00:00"/>
    <x v="5"/>
    <x v="30"/>
    <x v="0"/>
    <n v="23560"/>
    <x v="0"/>
    <m/>
    <n v="0"/>
    <n v="0"/>
    <n v="0"/>
    <n v="0"/>
    <n v="0"/>
    <n v="0"/>
    <n v="0"/>
    <n v="0"/>
    <n v="0"/>
    <n v="0"/>
  </r>
  <r>
    <d v="2022-06-08T00:00:00"/>
    <x v="5"/>
    <x v="15"/>
    <x v="3"/>
    <n v="23561"/>
    <x v="1"/>
    <m/>
    <n v="3"/>
    <n v="0"/>
    <n v="0"/>
    <n v="0"/>
    <n v="0"/>
    <n v="0"/>
    <n v="140.36000000000001"/>
    <n v="953.52"/>
    <n v="647.28"/>
    <n v="1741.16"/>
  </r>
  <r>
    <d v="2022-06-08T00:00:00"/>
    <x v="5"/>
    <x v="18"/>
    <x v="0"/>
    <n v="23562"/>
    <x v="0"/>
    <m/>
    <n v="0"/>
    <n v="0"/>
    <n v="0"/>
    <n v="0"/>
    <n v="0"/>
    <n v="0"/>
    <n v="0"/>
    <n v="0"/>
    <n v="0"/>
    <n v="0"/>
  </r>
  <r>
    <d v="2022-06-08T00:00:00"/>
    <x v="5"/>
    <x v="11"/>
    <x v="3"/>
    <n v="23563"/>
    <x v="2"/>
    <m/>
    <n v="1"/>
    <n v="0"/>
    <n v="0"/>
    <n v="0"/>
    <n v="0"/>
    <n v="0"/>
    <n v="986"/>
    <n v="0"/>
    <n v="0"/>
    <n v="986"/>
  </r>
  <r>
    <d v="2022-06-08T00:00:00"/>
    <x v="5"/>
    <x v="3"/>
    <x v="0"/>
    <n v="23564"/>
    <x v="0"/>
    <m/>
    <n v="0"/>
    <n v="0"/>
    <n v="0"/>
    <n v="0"/>
    <n v="0"/>
    <n v="0"/>
    <n v="0"/>
    <n v="0"/>
    <n v="0"/>
    <n v="0"/>
  </r>
  <r>
    <d v="2022-06-09T00:00:00"/>
    <x v="5"/>
    <x v="9"/>
    <x v="2"/>
    <n v="23565"/>
    <x v="1"/>
    <m/>
    <n v="3"/>
    <n v="0"/>
    <n v="0"/>
    <n v="0"/>
    <n v="0"/>
    <n v="0"/>
    <n v="380.48"/>
    <n v="244.76"/>
    <n v="365.4"/>
    <n v="990.64"/>
  </r>
  <r>
    <d v="2022-06-09T00:00:00"/>
    <x v="5"/>
    <x v="13"/>
    <x v="2"/>
    <n v="23566"/>
    <x v="0"/>
    <m/>
    <n v="0"/>
    <n v="0"/>
    <n v="0"/>
    <n v="0"/>
    <n v="0"/>
    <n v="0"/>
    <n v="0"/>
    <n v="0"/>
    <n v="0"/>
    <n v="0"/>
  </r>
  <r>
    <d v="2022-06-09T00:00:00"/>
    <x v="5"/>
    <x v="29"/>
    <x v="0"/>
    <n v="23567"/>
    <x v="1"/>
    <m/>
    <n v="3"/>
    <n v="0"/>
    <n v="0"/>
    <n v="0"/>
    <n v="0"/>
    <n v="0"/>
    <n v="2859.4"/>
    <n v="4344.2"/>
    <n v="4381.32"/>
    <n v="11584.92"/>
  </r>
  <r>
    <d v="2022-06-09T00:00:00"/>
    <x v="5"/>
    <x v="2"/>
    <x v="1"/>
    <n v="23568"/>
    <x v="0"/>
    <m/>
    <n v="0"/>
    <n v="0"/>
    <n v="0"/>
    <n v="0"/>
    <n v="0"/>
    <n v="0"/>
    <n v="0"/>
    <n v="0"/>
    <n v="0"/>
    <n v="0"/>
  </r>
  <r>
    <d v="2022-06-09T00:00:00"/>
    <x v="5"/>
    <x v="15"/>
    <x v="3"/>
    <n v="23569"/>
    <x v="0"/>
    <m/>
    <n v="0"/>
    <n v="0"/>
    <n v="0"/>
    <n v="0"/>
    <n v="0"/>
    <n v="0"/>
    <n v="0"/>
    <n v="0"/>
    <n v="0"/>
    <n v="0"/>
  </r>
  <r>
    <d v="2022-06-09T00:00:00"/>
    <x v="5"/>
    <x v="15"/>
    <x v="3"/>
    <n v="23570"/>
    <x v="2"/>
    <m/>
    <n v="1"/>
    <n v="0"/>
    <n v="0"/>
    <n v="0"/>
    <n v="0"/>
    <n v="0"/>
    <n v="199.52"/>
    <n v="0"/>
    <n v="0"/>
    <n v="199.52"/>
  </r>
  <r>
    <d v="2022-06-10T00:00:00"/>
    <x v="5"/>
    <x v="15"/>
    <x v="3"/>
    <n v="23571"/>
    <x v="1"/>
    <m/>
    <n v="3"/>
    <n v="0"/>
    <n v="0"/>
    <n v="0"/>
    <n v="0"/>
    <n v="0"/>
    <n v="812"/>
    <n v="745.88"/>
    <n v="1197.1199999999999"/>
    <n v="2755"/>
  </r>
  <r>
    <d v="2022-06-10T00:00:00"/>
    <x v="5"/>
    <x v="15"/>
    <x v="3"/>
    <n v="23572"/>
    <x v="0"/>
    <m/>
    <n v="0"/>
    <n v="0"/>
    <n v="0"/>
    <n v="0"/>
    <n v="0"/>
    <n v="0"/>
    <n v="0"/>
    <n v="0"/>
    <n v="0"/>
    <n v="0"/>
  </r>
  <r>
    <d v="2022-06-10T00:00:00"/>
    <x v="5"/>
    <x v="24"/>
    <x v="3"/>
    <n v="23573"/>
    <x v="0"/>
    <m/>
    <n v="0"/>
    <n v="0"/>
    <n v="0"/>
    <n v="0"/>
    <n v="0"/>
    <n v="0"/>
    <n v="0"/>
    <n v="0"/>
    <n v="0"/>
    <n v="0"/>
  </r>
  <r>
    <d v="2022-06-10T00:00:00"/>
    <x v="5"/>
    <x v="27"/>
    <x v="1"/>
    <n v="23574"/>
    <x v="1"/>
    <m/>
    <n v="3"/>
    <n v="0"/>
    <n v="0"/>
    <n v="0"/>
    <n v="0"/>
    <n v="0"/>
    <n v="3041.52"/>
    <n v="6210.6400000000012"/>
    <n v="7727.9200000000028"/>
    <n v="16980.080000000005"/>
  </r>
  <r>
    <d v="2022-06-10T00:00:00"/>
    <x v="5"/>
    <x v="30"/>
    <x v="0"/>
    <n v="23575"/>
    <x v="2"/>
    <m/>
    <n v="2"/>
    <n v="0"/>
    <n v="0"/>
    <n v="0"/>
    <n v="0"/>
    <n v="0"/>
    <n v="2441.8000000000002"/>
    <n v="0"/>
    <n v="341.03999999999996"/>
    <n v="2782.84"/>
  </r>
  <r>
    <d v="2022-06-11T00:00:00"/>
    <x v="5"/>
    <x v="6"/>
    <x v="1"/>
    <n v="23576"/>
    <x v="1"/>
    <m/>
    <n v="3"/>
    <n v="0"/>
    <n v="0"/>
    <n v="0"/>
    <n v="0"/>
    <n v="0"/>
    <n v="1571.8"/>
    <n v="4346.5199999999995"/>
    <n v="1992.8799999999997"/>
    <n v="7911.1999999999989"/>
  </r>
  <r>
    <d v="2022-06-11T00:00:00"/>
    <x v="5"/>
    <x v="2"/>
    <x v="1"/>
    <n v="23577"/>
    <x v="2"/>
    <m/>
    <n v="2"/>
    <n v="0"/>
    <n v="0"/>
    <n v="0"/>
    <n v="0"/>
    <n v="0"/>
    <n v="904.8"/>
    <n v="0"/>
    <n v="4985.6799999999985"/>
    <n v="5890.4799999999987"/>
  </r>
  <r>
    <d v="2022-06-11T00:00:00"/>
    <x v="5"/>
    <x v="3"/>
    <x v="0"/>
    <n v="23578"/>
    <x v="2"/>
    <m/>
    <n v="2"/>
    <n v="0"/>
    <n v="0"/>
    <n v="0"/>
    <n v="0"/>
    <n v="0"/>
    <n v="607.84"/>
    <n v="0"/>
    <n v="227.36"/>
    <n v="835.2"/>
  </r>
  <r>
    <d v="2022-06-11T00:00:00"/>
    <x v="5"/>
    <x v="15"/>
    <x v="3"/>
    <n v="23579"/>
    <x v="2"/>
    <m/>
    <n v="2"/>
    <n v="0"/>
    <n v="0"/>
    <n v="0"/>
    <n v="0"/>
    <n v="0"/>
    <n v="0"/>
    <n v="149.63999999999999"/>
    <n v="1494.0800000000002"/>
    <n v="1643.7200000000003"/>
  </r>
  <r>
    <d v="2022-06-13T00:00:00"/>
    <x v="5"/>
    <x v="24"/>
    <x v="3"/>
    <n v="23580"/>
    <x v="2"/>
    <m/>
    <n v="2"/>
    <n v="0"/>
    <n v="0"/>
    <n v="0"/>
    <n v="0"/>
    <n v="0"/>
    <n v="1722.6"/>
    <n v="0"/>
    <n v="4440.4800000000005"/>
    <n v="6163.08"/>
  </r>
  <r>
    <d v="2022-06-13T00:00:00"/>
    <x v="5"/>
    <x v="0"/>
    <x v="0"/>
    <n v="23581"/>
    <x v="1"/>
    <m/>
    <n v="3"/>
    <n v="0"/>
    <n v="0"/>
    <n v="0"/>
    <n v="0"/>
    <n v="0"/>
    <n v="6284.88"/>
    <n v="8728.9999999999982"/>
    <n v="4189.9199999999992"/>
    <n v="19203.799999999996"/>
  </r>
  <r>
    <d v="2022-06-13T00:00:00"/>
    <x v="5"/>
    <x v="0"/>
    <x v="0"/>
    <n v="23582"/>
    <x v="2"/>
    <m/>
    <n v="1"/>
    <n v="0"/>
    <n v="0"/>
    <n v="0"/>
    <n v="0"/>
    <n v="0"/>
    <n v="1856"/>
    <n v="0"/>
    <n v="0"/>
    <n v="1856"/>
  </r>
  <r>
    <d v="2022-06-14T00:00:00"/>
    <x v="5"/>
    <x v="13"/>
    <x v="2"/>
    <n v="23583"/>
    <x v="1"/>
    <m/>
    <n v="3"/>
    <n v="0"/>
    <n v="0"/>
    <n v="0"/>
    <n v="0"/>
    <n v="0"/>
    <n v="677.44"/>
    <n v="3457.9599999999996"/>
    <n v="1800.32"/>
    <n v="5935.7199999999993"/>
  </r>
  <r>
    <d v="2022-06-14T00:00:00"/>
    <x v="5"/>
    <x v="31"/>
    <x v="0"/>
    <n v="23584"/>
    <x v="1"/>
    <m/>
    <n v="3"/>
    <n v="0"/>
    <n v="0"/>
    <n v="0"/>
    <n v="0"/>
    <n v="0"/>
    <n v="513.88"/>
    <n v="2028.8400000000001"/>
    <n v="2990.4800000000005"/>
    <n v="5533.2000000000007"/>
  </r>
  <r>
    <d v="2022-06-14T00:00:00"/>
    <x v="5"/>
    <x v="28"/>
    <x v="2"/>
    <n v="23585"/>
    <x v="2"/>
    <m/>
    <n v="1"/>
    <n v="0"/>
    <n v="0"/>
    <n v="0"/>
    <n v="0"/>
    <n v="0"/>
    <n v="928"/>
    <n v="0"/>
    <n v="0"/>
    <n v="928"/>
  </r>
  <r>
    <d v="2022-06-14T00:00:00"/>
    <x v="5"/>
    <x v="13"/>
    <x v="2"/>
    <n v="23586"/>
    <x v="1"/>
    <m/>
    <n v="3"/>
    <n v="0"/>
    <n v="0"/>
    <n v="0"/>
    <n v="0"/>
    <n v="0"/>
    <n v="537.08000000000004"/>
    <n v="5624.84"/>
    <n v="15182.080000000002"/>
    <n v="21344"/>
  </r>
  <r>
    <d v="2022-06-15T00:00:00"/>
    <x v="5"/>
    <x v="15"/>
    <x v="3"/>
    <n v="23587"/>
    <x v="2"/>
    <m/>
    <n v="2"/>
    <n v="0"/>
    <n v="0"/>
    <n v="0"/>
    <n v="0"/>
    <n v="0"/>
    <n v="958.16"/>
    <n v="0"/>
    <n v="1739.9999999999998"/>
    <n v="2698.16"/>
  </r>
  <r>
    <d v="2022-06-15T00:00:00"/>
    <x v="5"/>
    <x v="0"/>
    <x v="0"/>
    <n v="23589"/>
    <x v="1"/>
    <m/>
    <n v="3"/>
    <n v="0"/>
    <n v="0"/>
    <n v="0"/>
    <n v="0"/>
    <n v="0"/>
    <n v="4646.96"/>
    <n v="3209.7200000000003"/>
    <n v="3049.64"/>
    <n v="10906.32"/>
  </r>
  <r>
    <d v="2022-06-16T00:00:00"/>
    <x v="5"/>
    <x v="3"/>
    <x v="0"/>
    <n v="23590"/>
    <x v="0"/>
    <m/>
    <n v="0"/>
    <n v="0"/>
    <n v="0"/>
    <n v="0"/>
    <n v="0"/>
    <n v="0"/>
    <n v="0"/>
    <n v="0"/>
    <n v="0"/>
    <n v="0"/>
  </r>
  <r>
    <d v="2022-06-16T00:00:00"/>
    <x v="5"/>
    <x v="6"/>
    <x v="1"/>
    <n v="23591"/>
    <x v="1"/>
    <m/>
    <n v="3"/>
    <n v="0"/>
    <n v="0"/>
    <n v="0"/>
    <n v="0"/>
    <n v="0"/>
    <n v="1017.32"/>
    <n v="1837.4399999999998"/>
    <n v="1621.68"/>
    <n v="4476.4399999999996"/>
  </r>
  <r>
    <d v="2022-06-16T00:00:00"/>
    <x v="5"/>
    <x v="13"/>
    <x v="2"/>
    <n v="23592"/>
    <x v="1"/>
    <m/>
    <n v="3"/>
    <n v="0"/>
    <n v="0"/>
    <n v="0"/>
    <n v="0"/>
    <n v="0"/>
    <n v="9419.2000000000007"/>
    <n v="28820.199999999993"/>
    <n v="16415.160000000003"/>
    <n v="54654.559999999998"/>
  </r>
  <r>
    <d v="2022-06-16T00:00:00"/>
    <x v="5"/>
    <x v="4"/>
    <x v="0"/>
    <n v="23593"/>
    <x v="2"/>
    <m/>
    <n v="1"/>
    <n v="0"/>
    <n v="0"/>
    <n v="0"/>
    <n v="0"/>
    <n v="0"/>
    <n v="0"/>
    <n v="18086.719999999979"/>
    <n v="0"/>
    <n v="18086.719999999979"/>
  </r>
  <r>
    <d v="2022-06-16T00:00:00"/>
    <x v="5"/>
    <x v="4"/>
    <x v="0"/>
    <n v="23594"/>
    <x v="1"/>
    <m/>
    <n v="3"/>
    <n v="0"/>
    <n v="0"/>
    <n v="0"/>
    <n v="0"/>
    <n v="0"/>
    <n v="812"/>
    <n v="1508"/>
    <n v="580"/>
    <n v="2900"/>
  </r>
  <r>
    <d v="2022-06-17T00:00:00"/>
    <x v="5"/>
    <x v="0"/>
    <x v="0"/>
    <n v="23595"/>
    <x v="2"/>
    <m/>
    <n v="2"/>
    <n v="0"/>
    <n v="0"/>
    <n v="0"/>
    <n v="0"/>
    <n v="0"/>
    <n v="0"/>
    <n v="3154.04"/>
    <n v="2235.3199999999997"/>
    <n v="5389.36"/>
  </r>
  <r>
    <d v="2022-06-17T00:00:00"/>
    <x v="5"/>
    <x v="6"/>
    <x v="1"/>
    <n v="23596"/>
    <x v="0"/>
    <m/>
    <n v="0"/>
    <n v="0"/>
    <n v="0"/>
    <n v="0"/>
    <n v="0"/>
    <n v="0"/>
    <n v="0"/>
    <n v="0"/>
    <n v="0"/>
    <n v="0"/>
  </r>
  <r>
    <d v="2022-06-18T00:00:00"/>
    <x v="5"/>
    <x v="23"/>
    <x v="2"/>
    <n v="23597"/>
    <x v="2"/>
    <m/>
    <n v="1"/>
    <n v="0"/>
    <n v="0"/>
    <n v="0"/>
    <n v="0"/>
    <n v="0"/>
    <n v="0"/>
    <n v="13527.920000000033"/>
    <n v="0"/>
    <n v="13527.920000000033"/>
  </r>
  <r>
    <d v="2022-06-18T00:00:00"/>
    <x v="5"/>
    <x v="0"/>
    <x v="0"/>
    <n v="23598"/>
    <x v="0"/>
    <m/>
    <n v="0"/>
    <n v="0"/>
    <n v="0"/>
    <n v="0"/>
    <n v="0"/>
    <n v="0"/>
    <n v="0"/>
    <n v="0"/>
    <n v="0"/>
    <n v="0"/>
  </r>
  <r>
    <d v="2022-06-18T00:00:00"/>
    <x v="5"/>
    <x v="0"/>
    <x v="0"/>
    <n v="23599"/>
    <x v="0"/>
    <m/>
    <n v="0"/>
    <n v="0"/>
    <n v="0"/>
    <n v="0"/>
    <n v="0"/>
    <n v="0"/>
    <n v="0"/>
    <n v="0"/>
    <n v="0"/>
    <n v="0"/>
  </r>
  <r>
    <d v="2022-06-18T00:00:00"/>
    <x v="5"/>
    <x v="0"/>
    <x v="0"/>
    <n v="23600"/>
    <x v="2"/>
    <m/>
    <n v="1"/>
    <n v="0"/>
    <n v="0"/>
    <n v="0"/>
    <n v="0"/>
    <n v="0"/>
    <n v="0"/>
    <n v="0"/>
    <n v="243.6"/>
    <n v="243.6"/>
  </r>
  <r>
    <d v="2022-06-18T00:00:00"/>
    <x v="5"/>
    <x v="0"/>
    <x v="0"/>
    <n v="23601"/>
    <x v="0"/>
    <m/>
    <n v="0"/>
    <n v="0"/>
    <n v="0"/>
    <n v="0"/>
    <n v="0"/>
    <n v="0"/>
    <n v="0"/>
    <n v="0"/>
    <n v="0"/>
    <n v="0"/>
  </r>
  <r>
    <d v="2022-06-18T00:00:00"/>
    <x v="5"/>
    <x v="6"/>
    <x v="1"/>
    <n v="23602"/>
    <x v="2"/>
    <m/>
    <n v="2"/>
    <n v="0"/>
    <n v="0"/>
    <n v="0"/>
    <n v="0"/>
    <n v="0"/>
    <n v="0"/>
    <n v="261"/>
    <n v="1178.56"/>
    <n v="1439.56"/>
  </r>
  <r>
    <d v="2022-06-20T00:00:00"/>
    <x v="5"/>
    <x v="18"/>
    <x v="0"/>
    <n v="23603"/>
    <x v="1"/>
    <m/>
    <n v="3"/>
    <n v="0"/>
    <n v="0"/>
    <n v="0"/>
    <n v="0"/>
    <n v="0"/>
    <n v="324.8"/>
    <n v="1842.0800000000011"/>
    <n v="1188.9999999999995"/>
    <n v="3355.8800000000006"/>
  </r>
  <r>
    <d v="2022-06-20T00:00:00"/>
    <x v="5"/>
    <x v="2"/>
    <x v="1"/>
    <n v="23604"/>
    <x v="2"/>
    <m/>
    <n v="2"/>
    <n v="0"/>
    <n v="0"/>
    <n v="0"/>
    <n v="0"/>
    <n v="0"/>
    <n v="363.08"/>
    <n v="0"/>
    <n v="13754.119999999981"/>
    <n v="14117.199999999981"/>
  </r>
  <r>
    <d v="2022-06-20T00:00:00"/>
    <x v="5"/>
    <x v="0"/>
    <x v="0"/>
    <n v="23605"/>
    <x v="1"/>
    <m/>
    <n v="3"/>
    <n v="0"/>
    <n v="0"/>
    <n v="0"/>
    <n v="0"/>
    <n v="0"/>
    <n v="635.67999999999995"/>
    <n v="5094.7199999999957"/>
    <n v="3556.5599999999977"/>
    <n v="9286.9599999999937"/>
  </r>
  <r>
    <d v="2022-06-20T00:00:00"/>
    <x v="5"/>
    <x v="0"/>
    <x v="0"/>
    <n v="23606"/>
    <x v="0"/>
    <m/>
    <n v="0"/>
    <n v="0"/>
    <n v="0"/>
    <n v="0"/>
    <n v="0"/>
    <n v="0"/>
    <n v="0"/>
    <n v="0"/>
    <n v="0"/>
    <n v="0"/>
  </r>
  <r>
    <d v="2022-06-20T00:00:00"/>
    <x v="5"/>
    <x v="12"/>
    <x v="0"/>
    <n v="23607"/>
    <x v="1"/>
    <m/>
    <n v="3"/>
    <n v="0"/>
    <n v="0"/>
    <n v="0"/>
    <n v="0"/>
    <n v="0"/>
    <n v="1567.16"/>
    <n v="11362.200000000006"/>
    <n v="10305.44000000001"/>
    <n v="23234.800000000017"/>
  </r>
  <r>
    <d v="2022-06-21T00:00:00"/>
    <x v="5"/>
    <x v="0"/>
    <x v="0"/>
    <n v="23608"/>
    <x v="2"/>
    <m/>
    <n v="1"/>
    <n v="0"/>
    <n v="0"/>
    <n v="0"/>
    <n v="0"/>
    <n v="0"/>
    <n v="0"/>
    <n v="0"/>
    <n v="270.27999999999997"/>
    <n v="270.27999999999997"/>
  </r>
  <r>
    <d v="2022-06-21T00:00:00"/>
    <x v="5"/>
    <x v="0"/>
    <x v="0"/>
    <n v="23609"/>
    <x v="0"/>
    <m/>
    <n v="0"/>
    <n v="0"/>
    <n v="0"/>
    <n v="0"/>
    <n v="0"/>
    <n v="0"/>
    <n v="0"/>
    <n v="0"/>
    <n v="0"/>
    <n v="0"/>
  </r>
  <r>
    <d v="2022-06-21T00:00:00"/>
    <x v="5"/>
    <x v="8"/>
    <x v="2"/>
    <n v="23610"/>
    <x v="2"/>
    <m/>
    <n v="1"/>
    <n v="0"/>
    <n v="0"/>
    <n v="0"/>
    <n v="0"/>
    <n v="0"/>
    <n v="0"/>
    <n v="0"/>
    <n v="5104"/>
    <n v="5104"/>
  </r>
  <r>
    <d v="2022-06-22T00:00:00"/>
    <x v="5"/>
    <x v="24"/>
    <x v="3"/>
    <n v="23611"/>
    <x v="2"/>
    <m/>
    <n v="1"/>
    <n v="0"/>
    <n v="0"/>
    <n v="0"/>
    <n v="0"/>
    <n v="0"/>
    <n v="0"/>
    <n v="0"/>
    <n v="11133.680000000008"/>
    <n v="11133.680000000008"/>
  </r>
  <r>
    <d v="2022-06-22T00:00:00"/>
    <x v="5"/>
    <x v="29"/>
    <x v="0"/>
    <n v="23612"/>
    <x v="1"/>
    <m/>
    <n v="3"/>
    <n v="0"/>
    <n v="0"/>
    <n v="0"/>
    <n v="0"/>
    <n v="0"/>
    <n v="17216.72"/>
    <n v="12634.72"/>
    <n v="15126.399999999996"/>
    <n v="44977.84"/>
  </r>
  <r>
    <d v="2022-06-22T00:00:00"/>
    <x v="5"/>
    <x v="13"/>
    <x v="2"/>
    <n v="23613"/>
    <x v="0"/>
    <m/>
    <n v="0"/>
    <n v="0"/>
    <n v="0"/>
    <n v="0"/>
    <n v="0"/>
    <n v="0"/>
    <n v="0"/>
    <n v="0"/>
    <n v="0"/>
    <n v="0"/>
  </r>
  <r>
    <d v="2022-06-22T00:00:00"/>
    <x v="5"/>
    <x v="24"/>
    <x v="3"/>
    <n v="23614"/>
    <x v="0"/>
    <m/>
    <n v="0"/>
    <n v="0"/>
    <n v="0"/>
    <n v="0"/>
    <n v="0"/>
    <n v="0"/>
    <n v="0"/>
    <n v="0"/>
    <n v="0"/>
    <n v="0"/>
  </r>
  <r>
    <d v="2022-06-22T00:00:00"/>
    <x v="5"/>
    <x v="8"/>
    <x v="2"/>
    <n v="23615"/>
    <x v="0"/>
    <m/>
    <n v="0"/>
    <n v="0"/>
    <n v="0"/>
    <n v="0"/>
    <n v="0"/>
    <n v="0"/>
    <n v="0"/>
    <n v="0"/>
    <n v="0"/>
    <n v="0"/>
  </r>
  <r>
    <d v="2022-06-22T00:00:00"/>
    <x v="5"/>
    <x v="13"/>
    <x v="2"/>
    <n v="23616"/>
    <x v="2"/>
    <m/>
    <n v="2"/>
    <n v="0"/>
    <n v="0"/>
    <n v="0"/>
    <n v="0"/>
    <n v="0"/>
    <n v="0"/>
    <n v="3377.9199999999996"/>
    <n v="574.19999999999993"/>
    <n v="3952.1199999999994"/>
  </r>
  <r>
    <d v="2022-06-23T00:00:00"/>
    <x v="5"/>
    <x v="29"/>
    <x v="0"/>
    <n v="23617"/>
    <x v="0"/>
    <m/>
    <n v="0"/>
    <n v="0"/>
    <n v="0"/>
    <n v="0"/>
    <n v="0"/>
    <n v="0"/>
    <n v="0"/>
    <n v="0"/>
    <n v="0"/>
    <n v="0"/>
  </r>
  <r>
    <d v="2022-06-23T00:00:00"/>
    <x v="5"/>
    <x v="10"/>
    <x v="0"/>
    <n v="23618"/>
    <x v="2"/>
    <m/>
    <n v="1"/>
    <n v="0"/>
    <n v="0"/>
    <n v="0"/>
    <n v="0"/>
    <n v="0"/>
    <n v="0"/>
    <n v="433.84"/>
    <n v="0"/>
    <n v="433.84"/>
  </r>
  <r>
    <d v="2022-06-23T00:00:00"/>
    <x v="5"/>
    <x v="18"/>
    <x v="0"/>
    <n v="23619"/>
    <x v="2"/>
    <m/>
    <n v="1"/>
    <n v="0"/>
    <n v="0"/>
    <n v="0"/>
    <n v="0"/>
    <n v="0"/>
    <n v="0"/>
    <n v="414.12"/>
    <n v="0"/>
    <n v="414.12"/>
  </r>
  <r>
    <d v="2022-06-23T00:00:00"/>
    <x v="5"/>
    <x v="11"/>
    <x v="3"/>
    <n v="23620"/>
    <x v="2"/>
    <m/>
    <n v="2"/>
    <n v="0"/>
    <n v="0"/>
    <n v="0"/>
    <n v="0"/>
    <n v="0"/>
    <n v="0"/>
    <n v="3422"/>
    <n v="2531.12"/>
    <n v="5953.12"/>
  </r>
  <r>
    <d v="2022-06-23T00:00:00"/>
    <x v="5"/>
    <x v="18"/>
    <x v="0"/>
    <n v="23621"/>
    <x v="2"/>
    <m/>
    <n v="2"/>
    <n v="0"/>
    <n v="0"/>
    <n v="0"/>
    <n v="0"/>
    <n v="0"/>
    <n v="0"/>
    <n v="1177.3999999999999"/>
    <n v="625.2399999999999"/>
    <n v="1802.6399999999999"/>
  </r>
  <r>
    <d v="2022-06-23T00:00:00"/>
    <x v="5"/>
    <x v="10"/>
    <x v="0"/>
    <n v="23622"/>
    <x v="1"/>
    <m/>
    <n v="3"/>
    <n v="0"/>
    <n v="0"/>
    <n v="0"/>
    <n v="0"/>
    <n v="0"/>
    <n v="835.2"/>
    <n v="2774.7200000000003"/>
    <n v="1199.4399999999998"/>
    <n v="4809.3599999999997"/>
  </r>
  <r>
    <d v="2022-06-24T00:00:00"/>
    <x v="5"/>
    <x v="27"/>
    <x v="1"/>
    <n v="23623"/>
    <x v="2"/>
    <m/>
    <n v="2"/>
    <n v="0"/>
    <n v="0"/>
    <n v="0"/>
    <n v="0"/>
    <n v="0"/>
    <n v="0"/>
    <n v="1932.5599999999997"/>
    <n v="1207.56"/>
    <n v="3140.12"/>
  </r>
  <r>
    <d v="2022-06-24T00:00:00"/>
    <x v="5"/>
    <x v="27"/>
    <x v="1"/>
    <n v="23624"/>
    <x v="0"/>
    <m/>
    <n v="0"/>
    <n v="0"/>
    <n v="0"/>
    <n v="0"/>
    <n v="0"/>
    <n v="0"/>
    <n v="0"/>
    <n v="0"/>
    <n v="0"/>
    <n v="0"/>
  </r>
  <r>
    <d v="2022-06-25T00:00:00"/>
    <x v="5"/>
    <x v="9"/>
    <x v="2"/>
    <n v="23625"/>
    <x v="0"/>
    <m/>
    <n v="0"/>
    <n v="0"/>
    <n v="0"/>
    <n v="0"/>
    <n v="0"/>
    <n v="0"/>
    <n v="0"/>
    <n v="0"/>
    <n v="0"/>
    <n v="0"/>
  </r>
  <r>
    <d v="2022-06-25T00:00:00"/>
    <x v="5"/>
    <x v="15"/>
    <x v="3"/>
    <n v="23626"/>
    <x v="2"/>
    <m/>
    <n v="2"/>
    <n v="0"/>
    <n v="0"/>
    <n v="0"/>
    <n v="0"/>
    <n v="0"/>
    <n v="0"/>
    <n v="3267.7199999999993"/>
    <n v="348"/>
    <n v="3615.7199999999993"/>
  </r>
  <r>
    <d v="2022-06-25T00:00:00"/>
    <x v="5"/>
    <x v="15"/>
    <x v="3"/>
    <n v="23627"/>
    <x v="2"/>
    <m/>
    <n v="2"/>
    <n v="0"/>
    <n v="0"/>
    <n v="0"/>
    <n v="0"/>
    <n v="0"/>
    <n v="0"/>
    <n v="1491.7599999999998"/>
    <n v="830.55999999999983"/>
    <n v="2322.3199999999997"/>
  </r>
  <r>
    <d v="2022-06-25T00:00:00"/>
    <x v="5"/>
    <x v="8"/>
    <x v="2"/>
    <n v="23628"/>
    <x v="2"/>
    <m/>
    <n v="1"/>
    <n v="0"/>
    <n v="0"/>
    <n v="0"/>
    <n v="0"/>
    <n v="0"/>
    <n v="0"/>
    <n v="0"/>
    <n v="14171.719999999954"/>
    <n v="14171.719999999954"/>
  </r>
  <r>
    <d v="2022-06-27T00:00:00"/>
    <x v="5"/>
    <x v="12"/>
    <x v="0"/>
    <n v="23629"/>
    <x v="0"/>
    <m/>
    <n v="0"/>
    <n v="0"/>
    <n v="0"/>
    <n v="0"/>
    <n v="0"/>
    <n v="0"/>
    <n v="0"/>
    <n v="0"/>
    <n v="0"/>
    <n v="0"/>
  </r>
  <r>
    <d v="2022-06-27T00:00:00"/>
    <x v="5"/>
    <x v="0"/>
    <x v="0"/>
    <n v="23630"/>
    <x v="2"/>
    <m/>
    <n v="2"/>
    <n v="0"/>
    <n v="0"/>
    <n v="0"/>
    <n v="0"/>
    <n v="0"/>
    <n v="0"/>
    <n v="5935.72"/>
    <n v="2329.2799999999997"/>
    <n v="8265"/>
  </r>
  <r>
    <d v="2022-06-27T00:00:00"/>
    <x v="5"/>
    <x v="2"/>
    <x v="1"/>
    <n v="23631"/>
    <x v="2"/>
    <m/>
    <n v="1"/>
    <n v="0"/>
    <n v="0"/>
    <n v="0"/>
    <n v="0"/>
    <n v="0"/>
    <n v="0"/>
    <n v="0"/>
    <n v="3676.0399999999995"/>
    <n v="3676.0399999999995"/>
  </r>
  <r>
    <d v="2022-06-28T00:00:00"/>
    <x v="5"/>
    <x v="4"/>
    <x v="0"/>
    <n v="23632"/>
    <x v="0"/>
    <m/>
    <n v="0"/>
    <n v="0"/>
    <n v="0"/>
    <n v="0"/>
    <n v="0"/>
    <n v="0"/>
    <n v="0"/>
    <n v="0"/>
    <n v="0"/>
    <n v="0"/>
  </r>
  <r>
    <d v="2022-06-28T00:00:00"/>
    <x v="5"/>
    <x v="4"/>
    <x v="0"/>
    <n v="23633"/>
    <x v="0"/>
    <m/>
    <n v="0"/>
    <n v="0"/>
    <n v="0"/>
    <n v="0"/>
    <n v="0"/>
    <n v="0"/>
    <n v="0"/>
    <n v="0"/>
    <n v="0"/>
    <n v="0"/>
  </r>
  <r>
    <d v="2022-06-29T00:00:00"/>
    <x v="5"/>
    <x v="0"/>
    <x v="0"/>
    <n v="23634"/>
    <x v="2"/>
    <m/>
    <n v="1"/>
    <n v="0"/>
    <n v="0"/>
    <n v="0"/>
    <n v="0"/>
    <n v="0"/>
    <n v="0"/>
    <n v="1.1599999999999999"/>
    <n v="0"/>
    <n v="1.1599999999999999"/>
  </r>
  <r>
    <d v="2022-06-29T00:00:00"/>
    <x v="5"/>
    <x v="32"/>
    <x v="1"/>
    <n v="23635"/>
    <x v="2"/>
    <m/>
    <n v="2"/>
    <n v="0"/>
    <n v="0"/>
    <n v="0"/>
    <n v="0"/>
    <n v="0"/>
    <n v="0"/>
    <n v="2367.5600000000009"/>
    <n v="4278.0800000000008"/>
    <n v="6645.6400000000012"/>
  </r>
  <r>
    <d v="2022-06-29T00:00:00"/>
    <x v="5"/>
    <x v="32"/>
    <x v="1"/>
    <n v="23636"/>
    <x v="2"/>
    <m/>
    <n v="2"/>
    <n v="0"/>
    <n v="0"/>
    <n v="0"/>
    <n v="0"/>
    <n v="0"/>
    <n v="0"/>
    <n v="585.79999999999995"/>
    <n v="331.76"/>
    <n v="917.56"/>
  </r>
  <r>
    <d v="2022-06-29T00:00:00"/>
    <x v="5"/>
    <x v="24"/>
    <x v="3"/>
    <n v="23637"/>
    <x v="2"/>
    <m/>
    <n v="1"/>
    <n v="0"/>
    <n v="0"/>
    <n v="0"/>
    <n v="0"/>
    <n v="0"/>
    <n v="0"/>
    <n v="0"/>
    <n v="12372.56"/>
    <n v="12372.56"/>
  </r>
  <r>
    <d v="2022-06-30T00:00:00"/>
    <x v="5"/>
    <x v="8"/>
    <x v="2"/>
    <n v="23638"/>
    <x v="2"/>
    <m/>
    <n v="2"/>
    <n v="0"/>
    <n v="0"/>
    <n v="0"/>
    <n v="0"/>
    <n v="0"/>
    <n v="0"/>
    <n v="7339.3199999999979"/>
    <n v="8854.2800000000025"/>
    <n v="16193.6"/>
  </r>
  <r>
    <d v="2022-06-30T00:00:00"/>
    <x v="5"/>
    <x v="28"/>
    <x v="2"/>
    <n v="23639"/>
    <x v="2"/>
    <m/>
    <n v="2"/>
    <n v="0"/>
    <n v="0"/>
    <n v="0"/>
    <n v="0"/>
    <n v="0"/>
    <n v="0"/>
    <n v="84.679999999999993"/>
    <n v="597.4"/>
    <n v="682.07999999999993"/>
  </r>
  <r>
    <d v="2022-06-30T00:00:00"/>
    <x v="5"/>
    <x v="26"/>
    <x v="2"/>
    <n v="23640"/>
    <x v="2"/>
    <m/>
    <n v="2"/>
    <n v="0"/>
    <n v="0"/>
    <n v="0"/>
    <n v="0"/>
    <n v="0"/>
    <n v="0"/>
    <n v="991.79999999999984"/>
    <n v="38.279999999999994"/>
    <n v="1030.08"/>
  </r>
  <r>
    <d v="2022-06-30T00:00:00"/>
    <x v="5"/>
    <x v="26"/>
    <x v="2"/>
    <n v="23641"/>
    <x v="2"/>
    <m/>
    <n v="2"/>
    <n v="0"/>
    <n v="0"/>
    <n v="0"/>
    <n v="0"/>
    <n v="0"/>
    <n v="0"/>
    <n v="4795.4399999999978"/>
    <n v="17331.55999999999"/>
    <n v="22126.999999999989"/>
  </r>
  <r>
    <d v="2022-07-01T00:00:00"/>
    <x v="6"/>
    <x v="15"/>
    <x v="3"/>
    <n v="23642"/>
    <x v="2"/>
    <m/>
    <n v="1"/>
    <n v="0"/>
    <n v="0"/>
    <n v="0"/>
    <n v="0"/>
    <n v="0"/>
    <n v="0"/>
    <n v="91.64"/>
    <n v="0"/>
    <n v="91.64"/>
  </r>
  <r>
    <d v="2022-07-01T00:00:00"/>
    <x v="6"/>
    <x v="15"/>
    <x v="3"/>
    <n v="23643"/>
    <x v="2"/>
    <m/>
    <n v="1"/>
    <n v="0"/>
    <n v="0"/>
    <n v="0"/>
    <n v="0"/>
    <n v="0"/>
    <n v="0"/>
    <n v="0"/>
    <n v="197.2"/>
    <n v="197.2"/>
  </r>
  <r>
    <d v="2022-07-01T00:00:00"/>
    <x v="6"/>
    <x v="18"/>
    <x v="0"/>
    <n v="23644"/>
    <x v="0"/>
    <m/>
    <n v="0"/>
    <n v="0"/>
    <n v="0"/>
    <n v="0"/>
    <n v="0"/>
    <n v="0"/>
    <n v="0"/>
    <n v="0"/>
    <n v="0"/>
    <n v="0"/>
  </r>
  <r>
    <d v="2022-07-01T00:00:00"/>
    <x v="6"/>
    <x v="18"/>
    <x v="0"/>
    <n v="23645"/>
    <x v="0"/>
    <m/>
    <n v="0"/>
    <n v="0"/>
    <n v="0"/>
    <n v="0"/>
    <n v="0"/>
    <n v="0"/>
    <n v="0"/>
    <n v="0"/>
    <n v="0"/>
    <n v="0"/>
  </r>
  <r>
    <d v="2022-07-01T00:00:00"/>
    <x v="6"/>
    <x v="13"/>
    <x v="2"/>
    <n v="23646"/>
    <x v="0"/>
    <m/>
    <n v="0"/>
    <n v="0"/>
    <n v="0"/>
    <n v="0"/>
    <n v="0"/>
    <n v="0"/>
    <n v="0"/>
    <n v="0"/>
    <n v="0"/>
    <n v="0"/>
  </r>
  <r>
    <d v="2022-07-01T00:00:00"/>
    <x v="6"/>
    <x v="29"/>
    <x v="0"/>
    <n v="23647"/>
    <x v="0"/>
    <m/>
    <n v="0"/>
    <n v="0"/>
    <n v="0"/>
    <n v="0"/>
    <n v="0"/>
    <n v="0"/>
    <n v="0"/>
    <n v="0"/>
    <n v="0"/>
    <n v="0"/>
  </r>
  <r>
    <d v="2022-07-02T00:00:00"/>
    <x v="6"/>
    <x v="18"/>
    <x v="0"/>
    <n v="23648"/>
    <x v="2"/>
    <m/>
    <n v="1"/>
    <n v="0"/>
    <n v="0"/>
    <n v="0"/>
    <n v="0"/>
    <n v="0"/>
    <n v="0"/>
    <n v="0"/>
    <n v="795.75999999999976"/>
    <n v="795.75999999999976"/>
  </r>
  <r>
    <d v="2022-07-02T00:00:00"/>
    <x v="6"/>
    <x v="12"/>
    <x v="0"/>
    <n v="23649"/>
    <x v="2"/>
    <m/>
    <n v="1"/>
    <n v="0"/>
    <n v="0"/>
    <n v="0"/>
    <n v="0"/>
    <n v="0"/>
    <n v="0"/>
    <n v="0"/>
    <n v="1456.96"/>
    <n v="1456.96"/>
  </r>
  <r>
    <d v="2022-07-02T00:00:00"/>
    <x v="6"/>
    <x v="32"/>
    <x v="1"/>
    <n v="23650"/>
    <x v="2"/>
    <m/>
    <n v="1"/>
    <n v="0"/>
    <n v="0"/>
    <n v="0"/>
    <n v="0"/>
    <n v="0"/>
    <n v="0"/>
    <n v="0"/>
    <n v="1459.2799999999997"/>
    <n v="1459.2799999999997"/>
  </r>
  <r>
    <d v="2022-07-04T00:00:00"/>
    <x v="6"/>
    <x v="4"/>
    <x v="0"/>
    <n v="23651"/>
    <x v="2"/>
    <m/>
    <n v="2"/>
    <n v="0"/>
    <n v="0"/>
    <n v="0"/>
    <n v="0"/>
    <n v="0"/>
    <n v="0"/>
    <n v="735.43999999999994"/>
    <n v="11622.040000000003"/>
    <n v="12357.480000000003"/>
  </r>
  <r>
    <d v="2022-07-04T00:00:00"/>
    <x v="6"/>
    <x v="4"/>
    <x v="0"/>
    <n v="23652"/>
    <x v="2"/>
    <m/>
    <n v="1"/>
    <n v="0"/>
    <n v="0"/>
    <n v="0"/>
    <n v="0"/>
    <n v="0"/>
    <n v="0"/>
    <n v="0"/>
    <n v="2610"/>
    <n v="2610"/>
  </r>
  <r>
    <d v="2022-07-04T00:00:00"/>
    <x v="6"/>
    <x v="6"/>
    <x v="1"/>
    <n v="23653"/>
    <x v="2"/>
    <m/>
    <n v="2"/>
    <n v="0"/>
    <n v="0"/>
    <n v="0"/>
    <n v="0"/>
    <n v="0"/>
    <n v="0"/>
    <n v="1015"/>
    <n v="3678.3599999999992"/>
    <n v="4693.3599999999988"/>
  </r>
  <r>
    <d v="2022-07-04T00:00:00"/>
    <x v="6"/>
    <x v="6"/>
    <x v="1"/>
    <n v="23654"/>
    <x v="2"/>
    <m/>
    <n v="1"/>
    <n v="0"/>
    <n v="0"/>
    <n v="0"/>
    <n v="0"/>
    <n v="0"/>
    <n v="0"/>
    <n v="1564.8399999999997"/>
    <n v="0"/>
    <n v="1564.8399999999997"/>
  </r>
  <r>
    <d v="2022-07-04T00:00:00"/>
    <x v="6"/>
    <x v="0"/>
    <x v="0"/>
    <n v="23655"/>
    <x v="2"/>
    <m/>
    <n v="1"/>
    <n v="0"/>
    <n v="0"/>
    <n v="0"/>
    <n v="0"/>
    <n v="0"/>
    <n v="0"/>
    <n v="0"/>
    <n v="191.4"/>
    <n v="191.4"/>
  </r>
  <r>
    <d v="2022-07-04T00:00:00"/>
    <x v="6"/>
    <x v="0"/>
    <x v="0"/>
    <n v="23656"/>
    <x v="0"/>
    <m/>
    <n v="0"/>
    <n v="0"/>
    <n v="0"/>
    <n v="0"/>
    <n v="0"/>
    <n v="0"/>
    <n v="0"/>
    <n v="0"/>
    <n v="0"/>
    <n v="0"/>
  </r>
  <r>
    <d v="2022-07-05T00:00:00"/>
    <x v="6"/>
    <x v="15"/>
    <x v="3"/>
    <n v="23657"/>
    <x v="2"/>
    <m/>
    <n v="1"/>
    <n v="0"/>
    <n v="0"/>
    <n v="0"/>
    <n v="0"/>
    <n v="0"/>
    <n v="0"/>
    <n v="1366.48"/>
    <n v="0"/>
    <n v="1366.48"/>
  </r>
  <r>
    <d v="2022-07-05T00:00:00"/>
    <x v="6"/>
    <x v="6"/>
    <x v="1"/>
    <n v="23658"/>
    <x v="0"/>
    <m/>
    <n v="0"/>
    <n v="0"/>
    <n v="0"/>
    <n v="0"/>
    <n v="0"/>
    <n v="0"/>
    <n v="0"/>
    <n v="0"/>
    <n v="0"/>
    <n v="0"/>
  </r>
  <r>
    <d v="2022-07-05T00:00:00"/>
    <x v="6"/>
    <x v="24"/>
    <x v="3"/>
    <n v="23659"/>
    <x v="2"/>
    <m/>
    <n v="1"/>
    <n v="0"/>
    <n v="0"/>
    <n v="0"/>
    <n v="0"/>
    <n v="0"/>
    <n v="0"/>
    <n v="0"/>
    <n v="9989.9200000000092"/>
    <n v="9989.9200000000092"/>
  </r>
  <r>
    <d v="2022-07-05T00:00:00"/>
    <x v="6"/>
    <x v="15"/>
    <x v="3"/>
    <n v="23660"/>
    <x v="0"/>
    <m/>
    <n v="0"/>
    <n v="0"/>
    <n v="0"/>
    <n v="0"/>
    <n v="0"/>
    <n v="0"/>
    <n v="0"/>
    <n v="0"/>
    <n v="0"/>
    <n v="0"/>
  </r>
  <r>
    <d v="2022-07-05T00:00:00"/>
    <x v="6"/>
    <x v="27"/>
    <x v="1"/>
    <n v="23661"/>
    <x v="2"/>
    <m/>
    <n v="2"/>
    <n v="0"/>
    <n v="0"/>
    <n v="0"/>
    <n v="0"/>
    <n v="0"/>
    <n v="0"/>
    <n v="5772.1600000000008"/>
    <n v="4144.68"/>
    <n v="9916.84"/>
  </r>
  <r>
    <d v="2022-07-06T00:00:00"/>
    <x v="6"/>
    <x v="29"/>
    <x v="0"/>
    <n v="23662"/>
    <x v="2"/>
    <m/>
    <n v="2"/>
    <n v="0"/>
    <n v="0"/>
    <n v="0"/>
    <n v="0"/>
    <n v="0"/>
    <n v="0"/>
    <n v="12094.160000000005"/>
    <n v="11746.160000000013"/>
    <n v="23840.320000000018"/>
  </r>
  <r>
    <d v="2022-07-06T00:00:00"/>
    <x v="6"/>
    <x v="11"/>
    <x v="3"/>
    <n v="23663"/>
    <x v="2"/>
    <m/>
    <n v="2"/>
    <n v="0"/>
    <n v="0"/>
    <n v="0"/>
    <n v="0"/>
    <n v="0"/>
    <n v="0"/>
    <n v="2139.0399999999995"/>
    <n v="4493.8400000000011"/>
    <n v="6632.880000000001"/>
  </r>
  <r>
    <d v="2022-07-06T00:00:00"/>
    <x v="6"/>
    <x v="17"/>
    <x v="0"/>
    <n v="23664"/>
    <x v="0"/>
    <m/>
    <n v="0"/>
    <n v="0"/>
    <n v="0"/>
    <n v="0"/>
    <n v="0"/>
    <n v="0"/>
    <n v="0"/>
    <n v="0"/>
    <n v="0"/>
    <n v="0"/>
  </r>
  <r>
    <d v="2022-07-06T00:00:00"/>
    <x v="6"/>
    <x v="11"/>
    <x v="3"/>
    <n v="23665"/>
    <x v="0"/>
    <m/>
    <n v="0"/>
    <n v="0"/>
    <n v="0"/>
    <n v="0"/>
    <n v="0"/>
    <n v="0"/>
    <n v="0"/>
    <n v="0"/>
    <n v="0"/>
    <n v="0"/>
  </r>
  <r>
    <d v="2022-07-07T00:00:00"/>
    <x v="6"/>
    <x v="0"/>
    <x v="0"/>
    <n v="23666"/>
    <x v="2"/>
    <m/>
    <n v="1"/>
    <n v="0"/>
    <n v="0"/>
    <n v="0"/>
    <n v="0"/>
    <n v="0"/>
    <n v="0"/>
    <n v="2394.2399999999998"/>
    <n v="0"/>
    <n v="2394.2399999999998"/>
  </r>
  <r>
    <d v="2022-07-07T00:00:00"/>
    <x v="6"/>
    <x v="0"/>
    <x v="0"/>
    <n v="23667"/>
    <x v="2"/>
    <m/>
    <n v="1"/>
    <n v="0"/>
    <n v="0"/>
    <n v="0"/>
    <n v="0"/>
    <n v="0"/>
    <n v="0"/>
    <n v="57.999999999999993"/>
    <n v="0"/>
    <n v="57.999999999999993"/>
  </r>
  <r>
    <d v="2022-07-07T00:00:00"/>
    <x v="6"/>
    <x v="4"/>
    <x v="0"/>
    <n v="23668"/>
    <x v="0"/>
    <m/>
    <n v="0"/>
    <n v="0"/>
    <n v="0"/>
    <n v="0"/>
    <n v="0"/>
    <n v="0"/>
    <n v="0"/>
    <n v="0"/>
    <n v="0"/>
    <n v="0"/>
  </r>
  <r>
    <d v="2022-07-07T00:00:00"/>
    <x v="6"/>
    <x v="4"/>
    <x v="0"/>
    <n v="23669"/>
    <x v="2"/>
    <m/>
    <n v="1"/>
    <n v="0"/>
    <n v="0"/>
    <n v="0"/>
    <n v="0"/>
    <n v="0"/>
    <n v="0"/>
    <n v="0"/>
    <n v="203"/>
    <n v="203"/>
  </r>
  <r>
    <d v="2022-07-07T00:00:00"/>
    <x v="6"/>
    <x v="8"/>
    <x v="2"/>
    <n v="23670"/>
    <x v="2"/>
    <m/>
    <n v="2"/>
    <n v="0"/>
    <n v="0"/>
    <n v="0"/>
    <n v="0"/>
    <n v="0"/>
    <n v="0"/>
    <n v="2289.84"/>
    <n v="3901.0799999999995"/>
    <n v="6190.92"/>
  </r>
  <r>
    <d v="2022-07-07T00:00:00"/>
    <x v="6"/>
    <x v="12"/>
    <x v="0"/>
    <n v="23671"/>
    <x v="2"/>
    <m/>
    <n v="2"/>
    <n v="0"/>
    <n v="0"/>
    <n v="0"/>
    <n v="0"/>
    <n v="0"/>
    <n v="0"/>
    <n v="110.19999999999999"/>
    <n v="440.79999999999995"/>
    <n v="551"/>
  </r>
  <r>
    <d v="2022-07-07T00:00:00"/>
    <x v="6"/>
    <x v="2"/>
    <x v="1"/>
    <n v="23672"/>
    <x v="2"/>
    <m/>
    <n v="1"/>
    <n v="0"/>
    <n v="0"/>
    <n v="0"/>
    <n v="0"/>
    <n v="0"/>
    <n v="0"/>
    <n v="0"/>
    <n v="15538.199999999993"/>
    <n v="15538.199999999993"/>
  </r>
  <r>
    <d v="2022-07-07T00:00:00"/>
    <x v="6"/>
    <x v="29"/>
    <x v="0"/>
    <n v="23673"/>
    <x v="2"/>
    <m/>
    <n v="1"/>
    <n v="0"/>
    <n v="0"/>
    <n v="0"/>
    <n v="0"/>
    <n v="0"/>
    <n v="0"/>
    <n v="0"/>
    <n v="3828"/>
    <n v="3828"/>
  </r>
  <r>
    <d v="2022-07-07T00:00:00"/>
    <x v="6"/>
    <x v="8"/>
    <x v="2"/>
    <n v="23674"/>
    <x v="2"/>
    <m/>
    <n v="2"/>
    <n v="0"/>
    <n v="0"/>
    <n v="0"/>
    <n v="0"/>
    <n v="0"/>
    <n v="0"/>
    <n v="911.75999999999988"/>
    <n v="416.44"/>
    <n v="1328.1999999999998"/>
  </r>
  <r>
    <d v="2022-07-07T00:00:00"/>
    <x v="6"/>
    <x v="8"/>
    <x v="2"/>
    <n v="23675"/>
    <x v="0"/>
    <m/>
    <n v="0"/>
    <n v="0"/>
    <n v="0"/>
    <n v="0"/>
    <n v="0"/>
    <n v="0"/>
    <n v="0"/>
    <n v="0"/>
    <n v="0"/>
    <n v="0"/>
  </r>
  <r>
    <d v="2022-07-08T00:00:00"/>
    <x v="6"/>
    <x v="8"/>
    <x v="2"/>
    <n v="23676"/>
    <x v="0"/>
    <m/>
    <n v="0"/>
    <n v="0"/>
    <n v="0"/>
    <n v="0"/>
    <n v="0"/>
    <n v="0"/>
    <n v="0"/>
    <n v="0"/>
    <n v="0"/>
    <n v="0"/>
  </r>
  <r>
    <d v="2022-07-08T00:00:00"/>
    <x v="6"/>
    <x v="8"/>
    <x v="2"/>
    <n v="23677"/>
    <x v="0"/>
    <m/>
    <n v="0"/>
    <n v="0"/>
    <n v="0"/>
    <n v="0"/>
    <n v="0"/>
    <n v="0"/>
    <n v="0"/>
    <n v="0"/>
    <n v="0"/>
    <n v="0"/>
  </r>
  <r>
    <d v="2022-07-08T00:00:00"/>
    <x v="6"/>
    <x v="8"/>
    <x v="2"/>
    <n v="23678"/>
    <x v="0"/>
    <m/>
    <n v="0"/>
    <n v="0"/>
    <n v="0"/>
    <n v="0"/>
    <n v="0"/>
    <n v="0"/>
    <n v="0"/>
    <n v="0"/>
    <n v="0"/>
    <n v="0"/>
  </r>
  <r>
    <d v="2022-07-08T00:00:00"/>
    <x v="6"/>
    <x v="30"/>
    <x v="0"/>
    <n v="23679"/>
    <x v="2"/>
    <m/>
    <n v="1"/>
    <n v="0"/>
    <n v="0"/>
    <n v="0"/>
    <n v="0"/>
    <n v="0"/>
    <n v="0"/>
    <n v="0"/>
    <n v="189.07999999999998"/>
    <n v="189.07999999999998"/>
  </r>
  <r>
    <d v="2022-07-08T00:00:00"/>
    <x v="6"/>
    <x v="0"/>
    <x v="0"/>
    <n v="23680"/>
    <x v="2"/>
    <m/>
    <n v="1"/>
    <n v="0"/>
    <n v="0"/>
    <n v="0"/>
    <n v="0"/>
    <n v="0"/>
    <n v="0"/>
    <n v="700.64"/>
    <n v="0"/>
    <n v="700.64"/>
  </r>
  <r>
    <d v="2022-07-08T00:00:00"/>
    <x v="6"/>
    <x v="16"/>
    <x v="2"/>
    <n v="23681"/>
    <x v="0"/>
    <m/>
    <n v="0"/>
    <n v="0"/>
    <n v="0"/>
    <n v="0"/>
    <n v="0"/>
    <n v="0"/>
    <n v="0"/>
    <n v="0"/>
    <n v="0"/>
    <n v="0"/>
  </r>
  <r>
    <d v="2022-07-11T00:00:00"/>
    <x v="6"/>
    <x v="15"/>
    <x v="3"/>
    <n v="23682"/>
    <x v="2"/>
    <m/>
    <n v="2"/>
    <n v="0"/>
    <n v="0"/>
    <n v="0"/>
    <n v="0"/>
    <n v="0"/>
    <n v="0"/>
    <n v="366.56"/>
    <n v="800.4"/>
    <n v="1166.96"/>
  </r>
  <r>
    <d v="2022-07-11T00:00:00"/>
    <x v="6"/>
    <x v="32"/>
    <x v="1"/>
    <n v="23683"/>
    <x v="0"/>
    <m/>
    <n v="0"/>
    <n v="0"/>
    <n v="0"/>
    <n v="0"/>
    <n v="0"/>
    <n v="0"/>
    <n v="0"/>
    <n v="0"/>
    <n v="0"/>
    <n v="0"/>
  </r>
  <r>
    <d v="2022-07-13T00:00:00"/>
    <x v="6"/>
    <x v="13"/>
    <x v="2"/>
    <n v="23684"/>
    <x v="0"/>
    <m/>
    <n v="0"/>
    <n v="0"/>
    <n v="0"/>
    <n v="0"/>
    <n v="0"/>
    <n v="0"/>
    <n v="0"/>
    <n v="0"/>
    <n v="0"/>
    <n v="0"/>
  </r>
  <r>
    <d v="2022-07-13T00:00:00"/>
    <x v="6"/>
    <x v="31"/>
    <x v="0"/>
    <n v="23685"/>
    <x v="2"/>
    <m/>
    <n v="1"/>
    <n v="0"/>
    <n v="0"/>
    <n v="0"/>
    <n v="0"/>
    <n v="0"/>
    <n v="0"/>
    <n v="0"/>
    <n v="814.31999999999994"/>
    <n v="814.31999999999994"/>
  </r>
  <r>
    <d v="2022-07-13T00:00:00"/>
    <x v="6"/>
    <x v="8"/>
    <x v="2"/>
    <n v="23686"/>
    <x v="2"/>
    <m/>
    <n v="2"/>
    <n v="0"/>
    <n v="0"/>
    <n v="0"/>
    <n v="0"/>
    <n v="0"/>
    <n v="0"/>
    <n v="6501.7999999999993"/>
    <n v="11762.400000000001"/>
    <n v="18264.2"/>
  </r>
  <r>
    <d v="2022-07-13T00:00:00"/>
    <x v="6"/>
    <x v="15"/>
    <x v="3"/>
    <n v="23687"/>
    <x v="2"/>
    <m/>
    <n v="2"/>
    <n v="0"/>
    <n v="0"/>
    <n v="0"/>
    <n v="0"/>
    <n v="0"/>
    <n v="0"/>
    <n v="2596.0799999999995"/>
    <n v="4517.0400000000009"/>
    <n v="7113.1200000000008"/>
  </r>
  <r>
    <d v="2022-07-13T00:00:00"/>
    <x v="6"/>
    <x v="23"/>
    <x v="2"/>
    <n v="23688"/>
    <x v="0"/>
    <m/>
    <n v="0"/>
    <n v="0"/>
    <n v="0"/>
    <n v="0"/>
    <n v="0"/>
    <n v="0"/>
    <n v="0"/>
    <n v="0"/>
    <n v="0"/>
    <n v="0"/>
  </r>
  <r>
    <d v="2022-07-14T00:00:00"/>
    <x v="6"/>
    <x v="4"/>
    <x v="0"/>
    <n v="23689"/>
    <x v="0"/>
    <m/>
    <n v="0"/>
    <n v="0"/>
    <n v="0"/>
    <n v="0"/>
    <n v="0"/>
    <n v="0"/>
    <n v="0"/>
    <n v="0"/>
    <n v="0"/>
    <n v="0"/>
  </r>
  <r>
    <d v="2022-07-14T00:00:00"/>
    <x v="6"/>
    <x v="16"/>
    <x v="2"/>
    <n v="23690"/>
    <x v="0"/>
    <m/>
    <n v="0"/>
    <n v="0"/>
    <n v="0"/>
    <n v="0"/>
    <n v="0"/>
    <n v="0"/>
    <n v="0"/>
    <n v="0"/>
    <n v="0"/>
    <n v="0"/>
  </r>
  <r>
    <d v="2022-07-14T00:00:00"/>
    <x v="6"/>
    <x v="16"/>
    <x v="2"/>
    <n v="23691"/>
    <x v="0"/>
    <m/>
    <n v="0"/>
    <n v="0"/>
    <n v="0"/>
    <n v="0"/>
    <n v="0"/>
    <n v="0"/>
    <n v="0"/>
    <n v="0"/>
    <n v="0"/>
    <n v="0"/>
  </r>
  <r>
    <d v="2022-07-14T00:00:00"/>
    <x v="6"/>
    <x v="22"/>
    <x v="4"/>
    <n v="23692"/>
    <x v="0"/>
    <m/>
    <n v="0"/>
    <n v="0"/>
    <n v="0"/>
    <n v="0"/>
    <n v="0"/>
    <n v="0"/>
    <n v="0"/>
    <n v="0"/>
    <n v="0"/>
    <n v="0"/>
  </r>
  <r>
    <d v="2022-07-14T00:00:00"/>
    <x v="6"/>
    <x v="12"/>
    <x v="0"/>
    <n v="23693"/>
    <x v="2"/>
    <m/>
    <n v="2"/>
    <n v="0"/>
    <n v="0"/>
    <n v="0"/>
    <n v="0"/>
    <n v="0"/>
    <n v="0"/>
    <n v="4071.599999999999"/>
    <n v="6754.68"/>
    <n v="10826.279999999999"/>
  </r>
  <r>
    <d v="2022-07-15T00:00:00"/>
    <x v="6"/>
    <x v="10"/>
    <x v="0"/>
    <n v="23694"/>
    <x v="2"/>
    <m/>
    <n v="2"/>
    <n v="0"/>
    <n v="0"/>
    <n v="0"/>
    <n v="0"/>
    <n v="0"/>
    <n v="0"/>
    <n v="2547.3599999999997"/>
    <n v="10449.280000000006"/>
    <n v="12996.640000000007"/>
  </r>
  <r>
    <d v="2022-07-15T00:00:00"/>
    <x v="6"/>
    <x v="18"/>
    <x v="0"/>
    <n v="23695"/>
    <x v="2"/>
    <m/>
    <n v="2"/>
    <n v="0"/>
    <n v="0"/>
    <n v="0"/>
    <n v="0"/>
    <n v="0"/>
    <n v="0"/>
    <n v="564.91999999999996"/>
    <n v="3464.9199999999996"/>
    <n v="4029.8399999999997"/>
  </r>
  <r>
    <d v="2022-07-16T00:00:00"/>
    <x v="6"/>
    <x v="27"/>
    <x v="1"/>
    <n v="23696"/>
    <x v="2"/>
    <m/>
    <n v="2"/>
    <n v="0"/>
    <n v="0"/>
    <n v="0"/>
    <n v="0"/>
    <n v="0"/>
    <n v="0"/>
    <n v="338.71999999999997"/>
    <n v="3712"/>
    <n v="4050.72"/>
  </r>
  <r>
    <d v="2022-07-16T00:00:00"/>
    <x v="6"/>
    <x v="24"/>
    <x v="3"/>
    <n v="23697"/>
    <x v="0"/>
    <m/>
    <n v="0"/>
    <n v="0"/>
    <n v="0"/>
    <n v="0"/>
    <n v="0"/>
    <n v="0"/>
    <n v="0"/>
    <n v="0"/>
    <n v="0"/>
    <n v="0"/>
  </r>
  <r>
    <d v="2022-07-18T00:00:00"/>
    <x v="6"/>
    <x v="10"/>
    <x v="0"/>
    <n v="23698"/>
    <x v="2"/>
    <m/>
    <n v="2"/>
    <n v="0"/>
    <n v="0"/>
    <n v="0"/>
    <n v="0"/>
    <n v="0"/>
    <n v="0"/>
    <n v="1439.5599999999997"/>
    <n v="3948.6400000000008"/>
    <n v="5388.2000000000007"/>
  </r>
  <r>
    <d v="2022-07-18T00:00:00"/>
    <x v="6"/>
    <x v="18"/>
    <x v="0"/>
    <n v="23699"/>
    <x v="2"/>
    <m/>
    <n v="1"/>
    <n v="0"/>
    <n v="0"/>
    <n v="0"/>
    <n v="0"/>
    <n v="0"/>
    <n v="0"/>
    <n v="0"/>
    <n v="1682"/>
    <n v="1682"/>
  </r>
  <r>
    <d v="2022-07-18T00:00:00"/>
    <x v="6"/>
    <x v="8"/>
    <x v="2"/>
    <n v="23700"/>
    <x v="0"/>
    <m/>
    <n v="0"/>
    <n v="0"/>
    <n v="0"/>
    <n v="0"/>
    <n v="0"/>
    <n v="0"/>
    <n v="0"/>
    <n v="0"/>
    <n v="0"/>
    <n v="0"/>
  </r>
  <r>
    <d v="2022-07-18T00:00:00"/>
    <x v="6"/>
    <x v="0"/>
    <x v="0"/>
    <n v="23701"/>
    <x v="2"/>
    <m/>
    <n v="1"/>
    <n v="0"/>
    <n v="0"/>
    <n v="0"/>
    <n v="0"/>
    <n v="0"/>
    <n v="0"/>
    <n v="0"/>
    <n v="2912.7599999999998"/>
    <n v="2912.7599999999998"/>
  </r>
  <r>
    <d v="2022-07-18T00:00:00"/>
    <x v="6"/>
    <x v="0"/>
    <x v="0"/>
    <n v="23702"/>
    <x v="0"/>
    <m/>
    <n v="0"/>
    <n v="0"/>
    <n v="0"/>
    <n v="0"/>
    <n v="0"/>
    <n v="0"/>
    <n v="0"/>
    <n v="0"/>
    <n v="0"/>
    <n v="0"/>
  </r>
  <r>
    <d v="2022-07-18T00:00:00"/>
    <x v="6"/>
    <x v="18"/>
    <x v="0"/>
    <n v="23703"/>
    <x v="2"/>
    <m/>
    <n v="2"/>
    <n v="0"/>
    <n v="0"/>
    <n v="0"/>
    <n v="0"/>
    <n v="0"/>
    <n v="0"/>
    <n v="3138.96"/>
    <n v="9402.9599999999991"/>
    <n v="12541.919999999998"/>
  </r>
  <r>
    <d v="2022-07-19T00:00:00"/>
    <x v="6"/>
    <x v="24"/>
    <x v="3"/>
    <n v="23704"/>
    <x v="2"/>
    <m/>
    <n v="1"/>
    <n v="0"/>
    <n v="0"/>
    <n v="0"/>
    <n v="0"/>
    <n v="0"/>
    <n v="0"/>
    <n v="0"/>
    <n v="8289.36"/>
    <n v="8289.36"/>
  </r>
  <r>
    <d v="2022-07-19T00:00:00"/>
    <x v="6"/>
    <x v="11"/>
    <x v="3"/>
    <n v="23705"/>
    <x v="2"/>
    <m/>
    <n v="1"/>
    <n v="0"/>
    <n v="0"/>
    <n v="0"/>
    <n v="0"/>
    <n v="0"/>
    <n v="0"/>
    <n v="883.91999999999985"/>
    <n v="0"/>
    <n v="883.91999999999985"/>
  </r>
  <r>
    <d v="2022-07-19T00:00:00"/>
    <x v="6"/>
    <x v="0"/>
    <x v="0"/>
    <n v="23706"/>
    <x v="0"/>
    <m/>
    <n v="0"/>
    <n v="0"/>
    <n v="0"/>
    <n v="0"/>
    <n v="0"/>
    <n v="0"/>
    <n v="0"/>
    <n v="0"/>
    <n v="0"/>
    <n v="0"/>
  </r>
  <r>
    <d v="2022-07-19T00:00:00"/>
    <x v="6"/>
    <x v="0"/>
    <x v="0"/>
    <n v="23707"/>
    <x v="0"/>
    <m/>
    <n v="0"/>
    <n v="0"/>
    <n v="0"/>
    <n v="0"/>
    <n v="0"/>
    <n v="0"/>
    <n v="0"/>
    <n v="0"/>
    <n v="0"/>
    <n v="0"/>
  </r>
  <r>
    <d v="2022-07-19T00:00:00"/>
    <x v="6"/>
    <x v="15"/>
    <x v="3"/>
    <n v="23708"/>
    <x v="2"/>
    <m/>
    <n v="2"/>
    <n v="0"/>
    <n v="0"/>
    <n v="0"/>
    <n v="0"/>
    <n v="0"/>
    <n v="0"/>
    <n v="348"/>
    <n v="793.44"/>
    <n v="1141.44"/>
  </r>
  <r>
    <d v="2022-07-20T00:00:00"/>
    <x v="6"/>
    <x v="2"/>
    <x v="1"/>
    <n v="23709"/>
    <x v="2"/>
    <m/>
    <n v="1"/>
    <n v="0"/>
    <n v="0"/>
    <n v="0"/>
    <n v="0"/>
    <n v="0"/>
    <n v="0"/>
    <n v="0"/>
    <n v="1320.0799999999997"/>
    <n v="1320.0799999999997"/>
  </r>
  <r>
    <d v="2022-07-20T00:00:00"/>
    <x v="6"/>
    <x v="12"/>
    <x v="0"/>
    <n v="23710"/>
    <x v="2"/>
    <m/>
    <n v="2"/>
    <n v="0"/>
    <n v="0"/>
    <n v="0"/>
    <n v="0"/>
    <n v="0"/>
    <n v="0"/>
    <n v="226.2"/>
    <n v="582.31999999999994"/>
    <n v="808.52"/>
  </r>
  <r>
    <d v="2022-07-20T00:00:00"/>
    <x v="6"/>
    <x v="18"/>
    <x v="0"/>
    <n v="23711"/>
    <x v="2"/>
    <m/>
    <n v="1"/>
    <n v="0"/>
    <n v="0"/>
    <n v="0"/>
    <n v="0"/>
    <n v="0"/>
    <n v="0"/>
    <n v="56.839999999999996"/>
    <n v="0"/>
    <n v="56.839999999999996"/>
  </r>
  <r>
    <d v="2022-07-21T00:00:00"/>
    <x v="6"/>
    <x v="15"/>
    <x v="3"/>
    <n v="23712"/>
    <x v="0"/>
    <m/>
    <n v="0"/>
    <n v="0"/>
    <n v="0"/>
    <n v="0"/>
    <n v="0"/>
    <n v="0"/>
    <n v="0"/>
    <n v="0"/>
    <n v="0"/>
    <n v="0"/>
  </r>
  <r>
    <d v="2022-07-21T00:00:00"/>
    <x v="6"/>
    <x v="12"/>
    <x v="0"/>
    <n v="23713"/>
    <x v="2"/>
    <m/>
    <n v="1"/>
    <n v="0"/>
    <n v="0"/>
    <n v="0"/>
    <n v="0"/>
    <n v="0"/>
    <n v="0"/>
    <n v="2417.44"/>
    <n v="0"/>
    <n v="2417.44"/>
  </r>
  <r>
    <d v="2022-07-21T00:00:00"/>
    <x v="6"/>
    <x v="27"/>
    <x v="1"/>
    <n v="23714"/>
    <x v="2"/>
    <m/>
    <n v="1"/>
    <n v="0"/>
    <n v="0"/>
    <n v="0"/>
    <n v="0"/>
    <n v="0"/>
    <n v="0"/>
    <n v="0"/>
    <n v="11612.760000000004"/>
    <n v="11612.760000000004"/>
  </r>
  <r>
    <d v="2022-07-21T00:00:00"/>
    <x v="6"/>
    <x v="4"/>
    <x v="0"/>
    <n v="23715"/>
    <x v="0"/>
    <m/>
    <n v="0"/>
    <n v="0"/>
    <n v="0"/>
    <n v="0"/>
    <n v="0"/>
    <n v="0"/>
    <n v="0"/>
    <n v="0"/>
    <n v="0"/>
    <n v="0"/>
  </r>
  <r>
    <d v="2022-07-21T00:00:00"/>
    <x v="6"/>
    <x v="13"/>
    <x v="2"/>
    <n v="23716"/>
    <x v="0"/>
    <m/>
    <n v="0"/>
    <n v="0"/>
    <n v="0"/>
    <n v="0"/>
    <n v="0"/>
    <n v="0"/>
    <n v="0"/>
    <n v="0"/>
    <n v="0"/>
    <n v="0"/>
  </r>
  <r>
    <d v="2022-07-22T00:00:00"/>
    <x v="6"/>
    <x v="4"/>
    <x v="0"/>
    <n v="23717"/>
    <x v="0"/>
    <m/>
    <n v="0"/>
    <n v="0"/>
    <n v="0"/>
    <n v="0"/>
    <n v="0"/>
    <n v="0"/>
    <n v="0"/>
    <n v="0"/>
    <n v="0"/>
    <n v="0"/>
  </r>
  <r>
    <d v="2022-07-22T00:00:00"/>
    <x v="6"/>
    <x v="15"/>
    <x v="3"/>
    <n v="23718"/>
    <x v="2"/>
    <m/>
    <n v="1"/>
    <n v="0"/>
    <n v="0"/>
    <n v="0"/>
    <n v="0"/>
    <n v="0"/>
    <n v="0"/>
    <n v="0"/>
    <n v="56.839999999999996"/>
    <n v="56.839999999999996"/>
  </r>
  <r>
    <d v="2022-07-22T00:00:00"/>
    <x v="6"/>
    <x v="15"/>
    <x v="3"/>
    <n v="23719"/>
    <x v="0"/>
    <m/>
    <n v="0"/>
    <n v="0"/>
    <n v="0"/>
    <n v="0"/>
    <n v="0"/>
    <n v="0"/>
    <n v="0"/>
    <n v="0"/>
    <n v="0"/>
    <n v="0"/>
  </r>
  <r>
    <d v="2022-07-22T00:00:00"/>
    <x v="6"/>
    <x v="11"/>
    <x v="3"/>
    <n v="23720"/>
    <x v="2"/>
    <m/>
    <n v="2"/>
    <n v="0"/>
    <n v="0"/>
    <n v="0"/>
    <n v="0"/>
    <n v="0"/>
    <n v="0"/>
    <n v="648.43999999999994"/>
    <n v="9056.119999999999"/>
    <n v="9704.56"/>
  </r>
  <r>
    <d v="2022-07-23T00:00:00"/>
    <x v="6"/>
    <x v="31"/>
    <x v="0"/>
    <n v="23721"/>
    <x v="2"/>
    <m/>
    <n v="1"/>
    <n v="0"/>
    <n v="0"/>
    <n v="0"/>
    <n v="0"/>
    <n v="0"/>
    <n v="0"/>
    <n v="0"/>
    <n v="6608.5199999999995"/>
    <n v="6608.5199999999995"/>
  </r>
  <r>
    <d v="2022-07-25T00:00:00"/>
    <x v="6"/>
    <x v="15"/>
    <x v="3"/>
    <n v="23722"/>
    <x v="2"/>
    <m/>
    <n v="1"/>
    <n v="0"/>
    <n v="0"/>
    <n v="0"/>
    <n v="0"/>
    <n v="0"/>
    <n v="0"/>
    <n v="0"/>
    <n v="589.28"/>
    <n v="589.28"/>
  </r>
  <r>
    <d v="2022-07-25T00:00:00"/>
    <x v="6"/>
    <x v="0"/>
    <x v="0"/>
    <n v="23723"/>
    <x v="2"/>
    <m/>
    <n v="1"/>
    <n v="0"/>
    <n v="0"/>
    <n v="0"/>
    <n v="0"/>
    <n v="0"/>
    <n v="0"/>
    <n v="0"/>
    <n v="487.19999999999993"/>
    <n v="487.19999999999993"/>
  </r>
  <r>
    <d v="2022-07-25T00:00:00"/>
    <x v="6"/>
    <x v="0"/>
    <x v="0"/>
    <n v="23724"/>
    <x v="0"/>
    <m/>
    <n v="0"/>
    <n v="0"/>
    <n v="0"/>
    <n v="0"/>
    <n v="0"/>
    <n v="0"/>
    <n v="0"/>
    <n v="0"/>
    <n v="0"/>
    <n v="0"/>
  </r>
  <r>
    <d v="2022-07-26T00:00:00"/>
    <x v="6"/>
    <x v="24"/>
    <x v="3"/>
    <n v="23725"/>
    <x v="2"/>
    <m/>
    <n v="1"/>
    <n v="0"/>
    <n v="0"/>
    <n v="0"/>
    <n v="0"/>
    <n v="0"/>
    <n v="0"/>
    <n v="0"/>
    <n v="6047.079999999999"/>
    <n v="6047.079999999999"/>
  </r>
  <r>
    <d v="2022-07-26T00:00:00"/>
    <x v="6"/>
    <x v="26"/>
    <x v="2"/>
    <n v="23726"/>
    <x v="2"/>
    <m/>
    <n v="1"/>
    <n v="0"/>
    <n v="0"/>
    <n v="0"/>
    <n v="0"/>
    <n v="0"/>
    <n v="0"/>
    <n v="0"/>
    <n v="6129.44"/>
    <n v="6129.44"/>
  </r>
  <r>
    <d v="2022-07-26T00:00:00"/>
    <x v="6"/>
    <x v="6"/>
    <x v="1"/>
    <n v="23727"/>
    <x v="0"/>
    <m/>
    <n v="0"/>
    <n v="0"/>
    <n v="0"/>
    <n v="0"/>
    <n v="0"/>
    <n v="0"/>
    <n v="0"/>
    <n v="0"/>
    <n v="0"/>
    <n v="0"/>
  </r>
  <r>
    <d v="2022-07-28T00:00:00"/>
    <x v="6"/>
    <x v="31"/>
    <x v="0"/>
    <n v="23728"/>
    <x v="2"/>
    <m/>
    <n v="1"/>
    <n v="0"/>
    <n v="0"/>
    <n v="0"/>
    <n v="0"/>
    <n v="0"/>
    <n v="0"/>
    <n v="0"/>
    <n v="3409.24"/>
    <n v="3409.24"/>
  </r>
  <r>
    <d v="2022-07-29T00:00:00"/>
    <x v="6"/>
    <x v="15"/>
    <x v="3"/>
    <n v="23729"/>
    <x v="2"/>
    <m/>
    <n v="1"/>
    <n v="0"/>
    <n v="0"/>
    <n v="0"/>
    <n v="0"/>
    <n v="0"/>
    <n v="0"/>
    <n v="0"/>
    <n v="990.6400000000001"/>
    <n v="990.6400000000001"/>
  </r>
  <r>
    <d v="2022-07-29T00:00:00"/>
    <x v="6"/>
    <x v="31"/>
    <x v="0"/>
    <n v="23730"/>
    <x v="0"/>
    <m/>
    <n v="0"/>
    <n v="0"/>
    <n v="0"/>
    <n v="0"/>
    <n v="0"/>
    <n v="0"/>
    <n v="0"/>
    <n v="0"/>
    <n v="0"/>
    <n v="0"/>
  </r>
  <r>
    <d v="2022-07-29T00:00:00"/>
    <x v="6"/>
    <x v="32"/>
    <x v="1"/>
    <n v="23731"/>
    <x v="2"/>
    <m/>
    <n v="1"/>
    <n v="0"/>
    <n v="0"/>
    <n v="0"/>
    <n v="0"/>
    <n v="0"/>
    <n v="0"/>
    <n v="0"/>
    <n v="885.07999999999993"/>
    <n v="885.07999999999993"/>
  </r>
  <r>
    <d v="2022-07-30T00:00:00"/>
    <x v="6"/>
    <x v="9"/>
    <x v="2"/>
    <n v="23732"/>
    <x v="2"/>
    <m/>
    <n v="1"/>
    <n v="0"/>
    <n v="0"/>
    <n v="0"/>
    <n v="0"/>
    <n v="0"/>
    <n v="0"/>
    <n v="0"/>
    <n v="28.999999999999996"/>
    <n v="28.999999999999996"/>
  </r>
  <r>
    <d v="2022-07-30T00:00:00"/>
    <x v="6"/>
    <x v="26"/>
    <x v="2"/>
    <n v="23733"/>
    <x v="0"/>
    <m/>
    <n v="0"/>
    <n v="0"/>
    <n v="0"/>
    <n v="0"/>
    <n v="0"/>
    <n v="0"/>
    <n v="0"/>
    <n v="0"/>
    <n v="0"/>
    <n v="0"/>
  </r>
  <r>
    <d v="2022-08-01T00:00:00"/>
    <x v="7"/>
    <x v="6"/>
    <x v="1"/>
    <n v="23734"/>
    <x v="0"/>
    <m/>
    <n v="0"/>
    <n v="0"/>
    <n v="0"/>
    <n v="0"/>
    <n v="0"/>
    <n v="0"/>
    <n v="0"/>
    <n v="0"/>
    <n v="0"/>
    <n v="0"/>
  </r>
  <r>
    <d v="2022-08-01T00:00:00"/>
    <x v="7"/>
    <x v="10"/>
    <x v="0"/>
    <n v="23735"/>
    <x v="2"/>
    <m/>
    <n v="1"/>
    <n v="0"/>
    <n v="0"/>
    <n v="0"/>
    <n v="0"/>
    <n v="0"/>
    <n v="0"/>
    <n v="0"/>
    <n v="231.99999999999997"/>
    <n v="231.99999999999997"/>
  </r>
  <r>
    <d v="2022-08-02T00:00:00"/>
    <x v="7"/>
    <x v="33"/>
    <x v="2"/>
    <n v="23736"/>
    <x v="0"/>
    <m/>
    <n v="0"/>
    <n v="0"/>
    <n v="0"/>
    <n v="0"/>
    <n v="0"/>
    <n v="0"/>
    <n v="0"/>
    <n v="0"/>
    <n v="0"/>
    <n v="0"/>
  </r>
  <r>
    <d v="2022-08-02T00:00:00"/>
    <x v="7"/>
    <x v="23"/>
    <x v="2"/>
    <n v="23737"/>
    <x v="2"/>
    <m/>
    <n v="1"/>
    <n v="0"/>
    <n v="0"/>
    <n v="0"/>
    <n v="0"/>
    <n v="0"/>
    <n v="0"/>
    <n v="0"/>
    <n v="883.92000000000007"/>
    <n v="883.92000000000007"/>
  </r>
  <r>
    <d v="2022-08-02T00:00:00"/>
    <x v="7"/>
    <x v="26"/>
    <x v="2"/>
    <n v="23738"/>
    <x v="0"/>
    <m/>
    <n v="0"/>
    <n v="0"/>
    <n v="0"/>
    <n v="0"/>
    <n v="0"/>
    <n v="0"/>
    <n v="0"/>
    <n v="0"/>
    <n v="0"/>
    <n v="0"/>
  </r>
  <r>
    <d v="2022-08-12T00:00:00"/>
    <x v="7"/>
    <x v="32"/>
    <x v="1"/>
    <n v="23739"/>
    <x v="2"/>
    <m/>
    <n v="1"/>
    <n v="0"/>
    <n v="0"/>
    <n v="0"/>
    <n v="0"/>
    <n v="0"/>
    <n v="0"/>
    <n v="0"/>
    <n v="4379"/>
    <n v="4379"/>
  </r>
  <r>
    <d v="2022-08-12T00:00:00"/>
    <x v="7"/>
    <x v="16"/>
    <x v="2"/>
    <n v="23740"/>
    <x v="0"/>
    <m/>
    <n v="0"/>
    <n v="0"/>
    <n v="0"/>
    <n v="0"/>
    <n v="0"/>
    <n v="0"/>
    <n v="0"/>
    <n v="0"/>
    <n v="0"/>
    <n v="0"/>
  </r>
  <r>
    <d v="2022-08-12T00:00:00"/>
    <x v="7"/>
    <x v="11"/>
    <x v="3"/>
    <n v="23741"/>
    <x v="0"/>
    <m/>
    <n v="0"/>
    <n v="0"/>
    <n v="0"/>
    <n v="0"/>
    <n v="0"/>
    <n v="0"/>
    <n v="0"/>
    <n v="0"/>
    <n v="0"/>
    <n v="0"/>
  </r>
  <r>
    <d v="2022-08-12T00:00:00"/>
    <x v="7"/>
    <x v="12"/>
    <x v="0"/>
    <n v="23742"/>
    <x v="0"/>
    <m/>
    <n v="0"/>
    <n v="0"/>
    <n v="0"/>
    <n v="0"/>
    <n v="0"/>
    <n v="0"/>
    <n v="0"/>
    <n v="0"/>
    <n v="0"/>
    <n v="0"/>
  </r>
  <r>
    <d v="2022-08-12T00:00:00"/>
    <x v="7"/>
    <x v="27"/>
    <x v="1"/>
    <n v="23743"/>
    <x v="0"/>
    <m/>
    <n v="0"/>
    <n v="0"/>
    <n v="0"/>
    <n v="0"/>
    <n v="0"/>
    <n v="0"/>
    <n v="0"/>
    <n v="0"/>
    <n v="0"/>
    <n v="0"/>
  </r>
  <r>
    <d v="2022-08-12T00:00:00"/>
    <x v="7"/>
    <x v="16"/>
    <x v="2"/>
    <n v="23744"/>
    <x v="0"/>
    <m/>
    <n v="0"/>
    <n v="0"/>
    <n v="0"/>
    <n v="0"/>
    <n v="0"/>
    <n v="0"/>
    <n v="0"/>
    <n v="0"/>
    <n v="0"/>
    <n v="0"/>
  </r>
  <r>
    <d v="2022-08-12T00:00:00"/>
    <x v="7"/>
    <x v="6"/>
    <x v="1"/>
    <n v="23745"/>
    <x v="2"/>
    <m/>
    <n v="1"/>
    <n v="0"/>
    <n v="0"/>
    <n v="0"/>
    <n v="0"/>
    <n v="0"/>
    <n v="0"/>
    <n v="0"/>
    <n v="2263.16"/>
    <n v="2263.16"/>
  </r>
  <r>
    <d v="2022-08-12T00:00:00"/>
    <x v="7"/>
    <x v="15"/>
    <x v="3"/>
    <n v="23746"/>
    <x v="0"/>
    <m/>
    <n v="0"/>
    <n v="0"/>
    <n v="0"/>
    <n v="0"/>
    <n v="0"/>
    <n v="0"/>
    <n v="0"/>
    <n v="0"/>
    <n v="0"/>
    <n v="0"/>
  </r>
  <r>
    <d v="2022-08-12T00:00:00"/>
    <x v="7"/>
    <x v="11"/>
    <x v="3"/>
    <n v="23747"/>
    <x v="0"/>
    <m/>
    <n v="0"/>
    <n v="0"/>
    <n v="0"/>
    <n v="0"/>
    <n v="0"/>
    <n v="0"/>
    <n v="0"/>
    <n v="0"/>
    <n v="0"/>
    <n v="0"/>
  </r>
  <r>
    <d v="2022-08-15T00:00:00"/>
    <x v="7"/>
    <x v="11"/>
    <x v="3"/>
    <n v="23748"/>
    <x v="0"/>
    <m/>
    <n v="0"/>
    <n v="0"/>
    <n v="0"/>
    <n v="0"/>
    <n v="0"/>
    <n v="0"/>
    <n v="0"/>
    <n v="0"/>
    <n v="0"/>
    <n v="0"/>
  </r>
  <r>
    <d v="2022-08-15T00:00:00"/>
    <x v="7"/>
    <x v="34"/>
    <x v="2"/>
    <n v="23749"/>
    <x v="0"/>
    <m/>
    <n v="0"/>
    <n v="0"/>
    <n v="0"/>
    <n v="0"/>
    <n v="0"/>
    <n v="0"/>
    <n v="0"/>
    <n v="0"/>
    <n v="0"/>
    <n v="0"/>
  </r>
  <r>
    <d v="2022-08-15T00:00:00"/>
    <x v="7"/>
    <x v="34"/>
    <x v="2"/>
    <n v="23750"/>
    <x v="0"/>
    <m/>
    <n v="0"/>
    <n v="0"/>
    <n v="0"/>
    <n v="0"/>
    <n v="0"/>
    <n v="0"/>
    <n v="0"/>
    <n v="0"/>
    <n v="0"/>
    <n v="0"/>
  </r>
  <r>
    <d v="2022-08-15T00:00:00"/>
    <x v="7"/>
    <x v="6"/>
    <x v="1"/>
    <n v="23751"/>
    <x v="2"/>
    <m/>
    <n v="1"/>
    <n v="0"/>
    <n v="0"/>
    <n v="0"/>
    <n v="0"/>
    <n v="0"/>
    <n v="0"/>
    <n v="0"/>
    <n v="425.71999999999997"/>
    <n v="425.71999999999997"/>
  </r>
  <r>
    <d v="2022-08-15T00:00:00"/>
    <x v="7"/>
    <x v="6"/>
    <x v="1"/>
    <n v="23752"/>
    <x v="0"/>
    <m/>
    <n v="0"/>
    <n v="0"/>
    <n v="0"/>
    <n v="0"/>
    <n v="0"/>
    <n v="0"/>
    <n v="0"/>
    <n v="0"/>
    <n v="0"/>
    <n v="0"/>
  </r>
  <r>
    <d v="2022-08-16T00:00:00"/>
    <x v="7"/>
    <x v="35"/>
    <x v="2"/>
    <n v="23753"/>
    <x v="0"/>
    <m/>
    <n v="0"/>
    <n v="0"/>
    <n v="0"/>
    <n v="0"/>
    <n v="0"/>
    <n v="0"/>
    <n v="0"/>
    <n v="0"/>
    <n v="0"/>
    <n v="0"/>
  </r>
  <r>
    <d v="2022-08-16T00:00:00"/>
    <x v="7"/>
    <x v="24"/>
    <x v="3"/>
    <n v="23754"/>
    <x v="0"/>
    <m/>
    <n v="0"/>
    <n v="0"/>
    <n v="0"/>
    <n v="0"/>
    <n v="0"/>
    <n v="0"/>
    <n v="0"/>
    <n v="0"/>
    <n v="0"/>
    <n v="0"/>
  </r>
  <r>
    <d v="2022-08-16T00:00:00"/>
    <x v="7"/>
    <x v="24"/>
    <x v="3"/>
    <n v="23755"/>
    <x v="2"/>
    <m/>
    <n v="1"/>
    <n v="0"/>
    <n v="0"/>
    <n v="0"/>
    <n v="0"/>
    <n v="0"/>
    <n v="0"/>
    <n v="0"/>
    <n v="2988.16"/>
    <n v="2988.16"/>
  </r>
  <r>
    <d v="2022-08-16T00:00:00"/>
    <x v="7"/>
    <x v="27"/>
    <x v="1"/>
    <n v="23756"/>
    <x v="2"/>
    <m/>
    <n v="1"/>
    <n v="0"/>
    <n v="0"/>
    <n v="0"/>
    <n v="0"/>
    <n v="0"/>
    <n v="0"/>
    <n v="0"/>
    <n v="936.11999999999989"/>
    <n v="936.11999999999989"/>
  </r>
  <r>
    <d v="2022-08-16T00:00:00"/>
    <x v="7"/>
    <x v="2"/>
    <x v="1"/>
    <n v="23757"/>
    <x v="2"/>
    <m/>
    <n v="1"/>
    <n v="0"/>
    <n v="0"/>
    <n v="0"/>
    <n v="0"/>
    <n v="0"/>
    <n v="0"/>
    <n v="0"/>
    <n v="1872.2399999999998"/>
    <n v="1872.2399999999998"/>
  </r>
  <r>
    <d v="2022-08-17T00:00:00"/>
    <x v="7"/>
    <x v="23"/>
    <x v="2"/>
    <n v="23758"/>
    <x v="2"/>
    <m/>
    <n v="1"/>
    <n v="0"/>
    <n v="0"/>
    <n v="0"/>
    <n v="0"/>
    <n v="0"/>
    <n v="0"/>
    <n v="0"/>
    <n v="585.79999999999995"/>
    <n v="585.79999999999995"/>
  </r>
  <r>
    <d v="2022-08-17T00:00:00"/>
    <x v="7"/>
    <x v="12"/>
    <x v="0"/>
    <n v="23759"/>
    <x v="0"/>
    <m/>
    <n v="0"/>
    <n v="0"/>
    <n v="0"/>
    <n v="0"/>
    <n v="0"/>
    <n v="0"/>
    <n v="0"/>
    <n v="0"/>
    <n v="0"/>
    <n v="0"/>
  </r>
  <r>
    <d v="2022-08-17T00:00:00"/>
    <x v="7"/>
    <x v="2"/>
    <x v="1"/>
    <n v="23760"/>
    <x v="0"/>
    <m/>
    <n v="0"/>
    <n v="0"/>
    <n v="0"/>
    <n v="0"/>
    <n v="0"/>
    <n v="0"/>
    <n v="0"/>
    <n v="0"/>
    <n v="0"/>
    <n v="0"/>
  </r>
  <r>
    <d v="2022-08-17T00:00:00"/>
    <x v="7"/>
    <x v="17"/>
    <x v="0"/>
    <n v="23761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62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63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64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65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66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67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68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69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70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71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72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73"/>
    <x v="0"/>
    <m/>
    <n v="0"/>
    <n v="0"/>
    <n v="0"/>
    <n v="0"/>
    <n v="0"/>
    <n v="0"/>
    <n v="0"/>
    <n v="0"/>
    <n v="0"/>
    <n v="0"/>
  </r>
  <r>
    <d v="2022-08-18T00:00:00"/>
    <x v="7"/>
    <x v="29"/>
    <x v="0"/>
    <n v="23774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775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776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777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778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779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780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781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782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881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783"/>
    <x v="0"/>
    <m/>
    <n v="0"/>
    <n v="0"/>
    <n v="0"/>
    <n v="0"/>
    <n v="0"/>
    <n v="0"/>
    <n v="0"/>
    <n v="0"/>
    <n v="0"/>
    <n v="0"/>
  </r>
  <r>
    <d v="2022-08-19T00:00:00"/>
    <x v="7"/>
    <x v="4"/>
    <x v="0"/>
    <n v="23784"/>
    <x v="0"/>
    <m/>
    <n v="0"/>
    <n v="0"/>
    <n v="0"/>
    <n v="0"/>
    <n v="0"/>
    <n v="0"/>
    <n v="0"/>
    <n v="0"/>
    <n v="0"/>
    <n v="0"/>
  </r>
  <r>
    <d v="2022-08-20T00:00:00"/>
    <x v="7"/>
    <x v="6"/>
    <x v="1"/>
    <n v="23785"/>
    <x v="2"/>
    <m/>
    <n v="1"/>
    <n v="0"/>
    <n v="0"/>
    <n v="0"/>
    <n v="0"/>
    <n v="0"/>
    <n v="0"/>
    <n v="0"/>
    <n v="7365.9999999999991"/>
    <n v="7365.9999999999991"/>
  </r>
  <r>
    <d v="2022-08-22T00:00:00"/>
    <x v="7"/>
    <x v="4"/>
    <x v="0"/>
    <n v="23786"/>
    <x v="0"/>
    <m/>
    <n v="0"/>
    <n v="0"/>
    <n v="0"/>
    <n v="0"/>
    <n v="0"/>
    <n v="0"/>
    <n v="0"/>
    <n v="0"/>
    <n v="0"/>
    <n v="0"/>
  </r>
  <r>
    <d v="2022-08-22T00:00:00"/>
    <x v="7"/>
    <x v="4"/>
    <x v="0"/>
    <n v="23787"/>
    <x v="0"/>
    <m/>
    <n v="0"/>
    <n v="0"/>
    <n v="0"/>
    <n v="0"/>
    <n v="0"/>
    <n v="0"/>
    <n v="0"/>
    <n v="0"/>
    <n v="0"/>
    <n v="0"/>
  </r>
  <r>
    <d v="2022-08-22T00:00:00"/>
    <x v="7"/>
    <x v="34"/>
    <x v="2"/>
    <n v="23788"/>
    <x v="0"/>
    <m/>
    <n v="0"/>
    <n v="0"/>
    <n v="0"/>
    <n v="0"/>
    <n v="0"/>
    <n v="0"/>
    <n v="0"/>
    <n v="0"/>
    <n v="0"/>
    <n v="0"/>
  </r>
  <r>
    <d v="2022-08-22T00:00:00"/>
    <x v="7"/>
    <x v="12"/>
    <x v="0"/>
    <n v="23789"/>
    <x v="0"/>
    <m/>
    <n v="0"/>
    <n v="0"/>
    <n v="0"/>
    <n v="0"/>
    <n v="0"/>
    <n v="0"/>
    <n v="0"/>
    <n v="0"/>
    <n v="0"/>
    <n v="0"/>
  </r>
  <r>
    <d v="2022-08-22T00:00:00"/>
    <x v="7"/>
    <x v="11"/>
    <x v="3"/>
    <n v="23790"/>
    <x v="2"/>
    <m/>
    <n v="1"/>
    <n v="0"/>
    <n v="0"/>
    <n v="0"/>
    <n v="0"/>
    <n v="0"/>
    <n v="0"/>
    <n v="0"/>
    <n v="807.36"/>
    <n v="807.36"/>
  </r>
  <r>
    <d v="2022-08-22T00:00:00"/>
    <x v="7"/>
    <x v="32"/>
    <x v="1"/>
    <n v="23791"/>
    <x v="2"/>
    <m/>
    <n v="1"/>
    <n v="0"/>
    <n v="0"/>
    <n v="0"/>
    <n v="0"/>
    <n v="0"/>
    <n v="0"/>
    <n v="0"/>
    <n v="307.39999999999998"/>
    <n v="307.39999999999998"/>
  </r>
  <r>
    <d v="2022-08-22T00:00:00"/>
    <x v="7"/>
    <x v="9"/>
    <x v="2"/>
    <n v="23792"/>
    <x v="0"/>
    <m/>
    <n v="0"/>
    <n v="0"/>
    <n v="0"/>
    <n v="0"/>
    <n v="0"/>
    <n v="0"/>
    <n v="0"/>
    <n v="0"/>
    <n v="0"/>
    <n v="0"/>
  </r>
  <r>
    <d v="2022-08-23T00:00:00"/>
    <x v="7"/>
    <x v="15"/>
    <x v="3"/>
    <n v="23794"/>
    <x v="0"/>
    <m/>
    <n v="0"/>
    <n v="0"/>
    <n v="0"/>
    <n v="0"/>
    <n v="0"/>
    <n v="0"/>
    <n v="0"/>
    <n v="0"/>
    <n v="0"/>
    <n v="0"/>
  </r>
  <r>
    <d v="2022-08-23T00:00:00"/>
    <x v="7"/>
    <x v="15"/>
    <x v="3"/>
    <n v="23795"/>
    <x v="2"/>
    <m/>
    <n v="1"/>
    <n v="0"/>
    <n v="0"/>
    <n v="0"/>
    <n v="0"/>
    <n v="0"/>
    <n v="0"/>
    <n v="0"/>
    <n v="1875.72"/>
    <n v="1875.72"/>
  </r>
  <r>
    <d v="2022-08-24T00:00:00"/>
    <x v="7"/>
    <x v="31"/>
    <x v="0"/>
    <n v="23796"/>
    <x v="0"/>
    <m/>
    <n v="0"/>
    <n v="0"/>
    <n v="0"/>
    <n v="0"/>
    <n v="0"/>
    <n v="0"/>
    <n v="0"/>
    <n v="0"/>
    <n v="0"/>
    <n v="0"/>
  </r>
  <r>
    <d v="2022-08-25T00:00:00"/>
    <x v="7"/>
    <x v="15"/>
    <x v="3"/>
    <n v="23797"/>
    <x v="0"/>
    <m/>
    <n v="0"/>
    <n v="0"/>
    <n v="0"/>
    <n v="0"/>
    <n v="0"/>
    <n v="0"/>
    <n v="0"/>
    <n v="0"/>
    <n v="0"/>
    <n v="0"/>
  </r>
  <r>
    <d v="2022-08-25T00:00:00"/>
    <x v="7"/>
    <x v="34"/>
    <x v="2"/>
    <n v="23798"/>
    <x v="0"/>
    <m/>
    <n v="0"/>
    <n v="0"/>
    <n v="0"/>
    <n v="0"/>
    <n v="0"/>
    <n v="0"/>
    <n v="0"/>
    <n v="0"/>
    <n v="0"/>
    <n v="0"/>
  </r>
  <r>
    <d v="2022-08-26T00:00:00"/>
    <x v="7"/>
    <x v="11"/>
    <x v="3"/>
    <n v="23799"/>
    <x v="0"/>
    <m/>
    <n v="0"/>
    <n v="0"/>
    <n v="0"/>
    <n v="0"/>
    <n v="0"/>
    <n v="0"/>
    <n v="0"/>
    <n v="0"/>
    <n v="0"/>
    <n v="0"/>
  </r>
  <r>
    <d v="2022-08-26T00:00:00"/>
    <x v="7"/>
    <x v="24"/>
    <x v="3"/>
    <n v="23800"/>
    <x v="0"/>
    <m/>
    <n v="0"/>
    <n v="0"/>
    <n v="0"/>
    <n v="0"/>
    <n v="0"/>
    <n v="0"/>
    <n v="0"/>
    <n v="0"/>
    <n v="0"/>
    <n v="0"/>
  </r>
  <r>
    <d v="2022-08-26T00:00:00"/>
    <x v="7"/>
    <x v="6"/>
    <x v="1"/>
    <n v="23801"/>
    <x v="0"/>
    <m/>
    <n v="0"/>
    <n v="0"/>
    <n v="0"/>
    <n v="0"/>
    <n v="0"/>
    <n v="0"/>
    <n v="0"/>
    <n v="0"/>
    <n v="0"/>
    <n v="0"/>
  </r>
  <r>
    <d v="2022-08-26T00:00:00"/>
    <x v="7"/>
    <x v="6"/>
    <x v="1"/>
    <n v="23802"/>
    <x v="0"/>
    <m/>
    <n v="0"/>
    <n v="0"/>
    <n v="0"/>
    <n v="0"/>
    <n v="0"/>
    <n v="0"/>
    <n v="0"/>
    <n v="0"/>
    <n v="0"/>
    <n v="0"/>
  </r>
  <r>
    <d v="2022-08-26T00:00:00"/>
    <x v="7"/>
    <x v="27"/>
    <x v="1"/>
    <n v="23803"/>
    <x v="0"/>
    <m/>
    <n v="0"/>
    <n v="0"/>
    <n v="0"/>
    <n v="0"/>
    <n v="0"/>
    <n v="0"/>
    <n v="0"/>
    <n v="0"/>
    <n v="0"/>
    <n v="0"/>
  </r>
  <r>
    <d v="2022-08-26T00:00:00"/>
    <x v="7"/>
    <x v="23"/>
    <x v="2"/>
    <n v="23804"/>
    <x v="0"/>
    <m/>
    <n v="0"/>
    <n v="0"/>
    <n v="0"/>
    <n v="0"/>
    <n v="0"/>
    <n v="0"/>
    <n v="0"/>
    <n v="0"/>
    <n v="0"/>
    <n v="0"/>
  </r>
  <r>
    <d v="2022-08-26T00:00:00"/>
    <x v="7"/>
    <x v="4"/>
    <x v="0"/>
    <n v="23805"/>
    <x v="0"/>
    <m/>
    <n v="0"/>
    <n v="0"/>
    <n v="0"/>
    <n v="0"/>
    <n v="0"/>
    <n v="0"/>
    <n v="0"/>
    <n v="0"/>
    <n v="0"/>
    <n v="0"/>
  </r>
  <r>
    <d v="2022-08-26T00:00:00"/>
    <x v="7"/>
    <x v="18"/>
    <x v="0"/>
    <n v="23806"/>
    <x v="0"/>
    <m/>
    <n v="0"/>
    <n v="0"/>
    <n v="0"/>
    <n v="0"/>
    <n v="0"/>
    <n v="0"/>
    <n v="0"/>
    <n v="0"/>
    <n v="0"/>
    <n v="0"/>
  </r>
  <r>
    <d v="2022-08-29T00:00:00"/>
    <x v="7"/>
    <x v="24"/>
    <x v="3"/>
    <n v="23807"/>
    <x v="0"/>
    <m/>
    <n v="0"/>
    <n v="0"/>
    <n v="0"/>
    <n v="0"/>
    <n v="0"/>
    <n v="0"/>
    <n v="0"/>
    <n v="0"/>
    <n v="0"/>
    <n v="0"/>
  </r>
  <r>
    <d v="2022-08-30T00:00:00"/>
    <x v="7"/>
    <x v="35"/>
    <x v="2"/>
    <n v="23808"/>
    <x v="0"/>
    <m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F47D8-6984-46C2-84CA-39EE7921BF9B}" name="Región" cacheId="2" applyNumberFormats="0" applyBorderFormats="0" applyFontFormats="0" applyPatternFormats="0" applyAlignmentFormats="0" applyWidthHeightFormats="1" dataCaption="Valores" grandTotalCaption="Suma" updatedVersion="8" minRefreshableVersion="3" rowGrandTotals="0" itemPrintTitles="1" createdVersion="8" indent="0" outline="1" outlineData="1" multipleFieldFilters="0" rowHeaderCaption="Región" colHeaderCaption="Altas">
  <location ref="R3:V8" firstHeaderRow="1" firstDataRow="2" firstDataCol="1" rowPageCount="1" colPageCount="1"/>
  <pivotFields count="17">
    <pivotField numFmtId="164" showAll="0"/>
    <pivotField showAll="0">
      <items count="10">
        <item x="0"/>
        <item x="1"/>
        <item x="2"/>
        <item x="3"/>
        <item x="4"/>
        <item x="5"/>
        <item x="6"/>
        <item x="7"/>
        <item m="1" x="8"/>
        <item t="default"/>
      </items>
    </pivotField>
    <pivotField axis="axisPage" showAll="0">
      <items count="44">
        <item x="11"/>
        <item x="21"/>
        <item x="26"/>
        <item h="1" x="17"/>
        <item x="29"/>
        <item h="1" x="20"/>
        <item x="30"/>
        <item x="13"/>
        <item x="31"/>
        <item x="18"/>
        <item x="9"/>
        <item x="7"/>
        <item x="6"/>
        <item x="28"/>
        <item x="8"/>
        <item x="14"/>
        <item x="16"/>
        <item x="10"/>
        <item m="1" x="42"/>
        <item x="2"/>
        <item m="1" x="39"/>
        <item h="1" x="22"/>
        <item x="19"/>
        <item x="23"/>
        <item x="24"/>
        <item h="1" m="1" x="41"/>
        <item x="15"/>
        <item x="32"/>
        <item m="1" x="37"/>
        <item x="1"/>
        <item x="4"/>
        <item x="3"/>
        <item x="5"/>
        <item m="1" x="36"/>
        <item m="1" x="40"/>
        <item x="12"/>
        <item m="1" x="38"/>
        <item x="0"/>
        <item h="1" x="25"/>
        <item x="27"/>
        <item x="33"/>
        <item x="34"/>
        <item x="35"/>
        <item t="default"/>
      </items>
    </pivotField>
    <pivotField axis="axisRow" showAll="0">
      <items count="9">
        <item x="2"/>
        <item x="0"/>
        <item x="1"/>
        <item x="3"/>
        <item h="1" m="1" x="6"/>
        <item h="1" m="1" x="7"/>
        <item h="1" m="1" x="5"/>
        <item h="1" x="4"/>
        <item t="default"/>
      </items>
    </pivotField>
    <pivotField showAll="0"/>
    <pivotField axis="axisCol" dataField="1" showAll="0">
      <items count="5">
        <item n="sin facturar" x="0"/>
        <item x="2"/>
        <item x="1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2" hier="0"/>
  </pageFields>
  <dataFields count="1">
    <dataField name=" " fld="5" subtotal="count" baseField="0" baseItem="0"/>
  </dataFields>
  <formats count="7">
    <format dxfId="69">
      <pivotArea outline="0" fieldPosition="0"/>
    </format>
    <format dxfId="68">
      <pivotArea outline="0" fieldPosition="0"/>
    </format>
    <format dxfId="67">
      <pivotArea grandCol="1" outline="0" fieldPosition="0"/>
    </format>
    <format dxfId="66">
      <pivotArea dataOnly="0" labelOnly="1" grandCol="1" outline="0" fieldPosition="0"/>
    </format>
    <format dxfId="65">
      <pivotArea type="topRight" dataOnly="0" labelOnly="1" outline="0" offset="C1" fieldPosition="0"/>
    </format>
    <format dxfId="64">
      <pivotArea outline="0" fieldPosition="0"/>
    </format>
    <format dxfId="63">
      <pivotArea dataOnly="0" labelOnly="1" fieldPosition="0">
        <references count="1">
          <reference field="3" count="0"/>
        </references>
      </pivotArea>
    </format>
  </formats>
  <pivotTableStyleInfo name="PivotStyleMedium26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E6617-C2ED-49EA-830E-CA3FD4777A55}" name="Altas x Ejecutivo" cacheId="2" applyNumberFormats="0" applyBorderFormats="0" applyFontFormats="0" applyPatternFormats="0" applyAlignmentFormats="0" applyWidthHeightFormats="1" dataCaption="Valores" grandTotalCaption="Total altas" updatedVersion="8" minRefreshableVersion="3" useAutoFormatting="1" rowGrandTotals="0" itemPrintTitles="1" createdVersion="8" indent="0" outline="1" outlineData="1" multipleFieldFilters="0" rowHeaderCaption="Ejecutivo" colHeaderCaption="Categoría">
  <location ref="H2:L35" firstHeaderRow="1" firstDataRow="2" firstDataCol="1"/>
  <pivotFields count="17">
    <pivotField numFmtId="164" showAll="0"/>
    <pivotField showAll="0">
      <items count="10">
        <item x="0"/>
        <item x="1"/>
        <item x="2"/>
        <item x="3"/>
        <item x="4"/>
        <item x="5"/>
        <item x="6"/>
        <item x="7"/>
        <item m="1" x="8"/>
        <item t="default"/>
      </items>
    </pivotField>
    <pivotField axis="axisRow" showAll="0" sortType="descending">
      <items count="44">
        <item x="11"/>
        <item x="21"/>
        <item x="26"/>
        <item h="1" x="17"/>
        <item x="29"/>
        <item h="1" x="20"/>
        <item x="30"/>
        <item x="13"/>
        <item x="31"/>
        <item x="18"/>
        <item x="9"/>
        <item x="7"/>
        <item x="6"/>
        <item x="28"/>
        <item x="8"/>
        <item x="14"/>
        <item x="16"/>
        <item x="10"/>
        <item m="1" x="42"/>
        <item x="2"/>
        <item m="1" x="39"/>
        <item h="1" x="22"/>
        <item x="19"/>
        <item x="23"/>
        <item x="24"/>
        <item h="1" m="1" x="41"/>
        <item x="15"/>
        <item x="32"/>
        <item m="1" x="37"/>
        <item x="1"/>
        <item x="4"/>
        <item x="3"/>
        <item x="5"/>
        <item h="1" m="1" x="36"/>
        <item m="1" x="40"/>
        <item x="12"/>
        <item h="1" m="1" x="38"/>
        <item x="0"/>
        <item h="1" x="25"/>
        <item x="27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dataField="1" showAll="0">
      <items count="5">
        <item x="0"/>
        <item x="2"/>
        <item x="1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</pivotFields>
  <rowFields count="1">
    <field x="2"/>
  </rowFields>
  <rowItems count="32">
    <i>
      <x v="30"/>
    </i>
    <i>
      <x v="26"/>
    </i>
    <i>
      <x v="19"/>
    </i>
    <i>
      <x/>
    </i>
    <i>
      <x v="37"/>
    </i>
    <i>
      <x v="12"/>
    </i>
    <i>
      <x v="7"/>
    </i>
    <i>
      <x v="35"/>
    </i>
    <i>
      <x v="10"/>
    </i>
    <i>
      <x v="14"/>
    </i>
    <i>
      <x v="24"/>
    </i>
    <i>
      <x v="9"/>
    </i>
    <i>
      <x v="32"/>
    </i>
    <i>
      <x v="39"/>
    </i>
    <i>
      <x v="31"/>
    </i>
    <i>
      <x v="4"/>
    </i>
    <i>
      <x v="29"/>
    </i>
    <i>
      <x v="23"/>
    </i>
    <i>
      <x v="16"/>
    </i>
    <i>
      <x v="13"/>
    </i>
    <i>
      <x v="15"/>
    </i>
    <i>
      <x v="2"/>
    </i>
    <i>
      <x v="17"/>
    </i>
    <i>
      <x v="11"/>
    </i>
    <i>
      <x v="27"/>
    </i>
    <i>
      <x v="8"/>
    </i>
    <i>
      <x v="22"/>
    </i>
    <i>
      <x v="41"/>
    </i>
    <i>
      <x v="6"/>
    </i>
    <i>
      <x v="1"/>
    </i>
    <i>
      <x v="42"/>
    </i>
    <i>
      <x v="40"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uenta de Categoría" fld="5" subtotal="count" baseField="0" baseItem="0"/>
  </dataFields>
  <formats count="8">
    <format dxfId="77">
      <pivotArea collapsedLevelsAreSubtotals="1" fieldPosition="0">
        <references count="1">
          <reference field="2" count="25">
            <x v="0"/>
            <x v="1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2"/>
            <x v="23"/>
            <x v="24"/>
            <x v="28"/>
            <x v="29"/>
            <x v="31"/>
            <x v="32"/>
          </reference>
        </references>
      </pivotArea>
    </format>
    <format dxfId="76">
      <pivotArea collapsedLevelsAreSubtotals="1" fieldPosition="0">
        <references count="1">
          <reference field="2" count="25">
            <x v="0"/>
            <x v="1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2"/>
            <x v="23"/>
            <x v="24"/>
            <x v="28"/>
            <x v="29"/>
            <x v="31"/>
            <x v="32"/>
          </reference>
        </references>
      </pivotArea>
    </format>
    <format dxfId="75">
      <pivotArea collapsedLevelsAreSubtotals="1" fieldPosition="0">
        <references count="1">
          <reference field="2" count="3">
            <x v="19"/>
            <x v="26"/>
            <x v="30"/>
          </reference>
        </references>
      </pivotArea>
    </format>
    <format dxfId="74">
      <pivotArea collapsedLevelsAreSubtotals="1" fieldPosition="0">
        <references count="1">
          <reference field="2" count="3">
            <x v="19"/>
            <x v="26"/>
            <x v="30"/>
          </reference>
        </references>
      </pivotArea>
    </format>
    <format dxfId="73">
      <pivotArea dataOnly="0" labelOnly="1" fieldPosition="0">
        <references count="1">
          <reference field="2" count="20">
            <x v="0"/>
            <x v="1"/>
            <x v="7"/>
            <x v="9"/>
            <x v="10"/>
            <x v="11"/>
            <x v="12"/>
            <x v="14"/>
            <x v="15"/>
            <x v="16"/>
            <x v="17"/>
            <x v="19"/>
            <x v="20"/>
            <x v="22"/>
            <x v="26"/>
            <x v="28"/>
            <x v="29"/>
            <x v="30"/>
            <x v="31"/>
            <x v="32"/>
          </reference>
        </references>
      </pivotArea>
    </format>
    <format dxfId="72">
      <pivotArea collapsedLevelsAreSubtotals="1" fieldPosition="0">
        <references count="2">
          <reference field="2" count="1">
            <x v="27"/>
          </reference>
          <reference field="5" count="1" selected="0">
            <x v="0"/>
          </reference>
        </references>
      </pivotArea>
    </format>
    <format dxfId="71">
      <pivotArea outline="0" collapsedLevelsAreSubtotals="1" fieldPosition="0"/>
    </format>
    <format dxfId="70">
      <pivotArea outline="0" collapsedLevelsAreSubtotals="1" fieldPosition="0"/>
    </format>
  </formats>
  <pivotTableStyleInfo name="PivotStyleMedium26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14B3B-6E3F-405C-8C1A-0B5081112DA9}" name="Tabla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G102:AO104" firstHeaderRow="1" firstDataRow="2" firstDataCol="1"/>
  <pivotFields count="26">
    <pivotField showAll="0"/>
    <pivotField axis="axisCol" showAll="0">
      <items count="10">
        <item x="0"/>
        <item x="1"/>
        <item x="2"/>
        <item x="3"/>
        <item x="4"/>
        <item x="5"/>
        <item h="1" x="8"/>
        <item x="6"/>
        <item h="1"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colItems>
  <dataFields count="1">
    <dataField name="Cuenta de Núm. De cliente" fld="4" subtotal="count" baseField="0" baseItem="0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A4EAC-C543-4C56-81D3-7D1AABDCB61B}" name="TablaDinámica11" cacheId="0" applyNumberFormats="0" applyBorderFormats="0" applyFontFormats="0" applyPatternFormats="0" applyAlignmentFormats="0" applyWidthHeightFormats="1" dataCaption="Valores" missingCaption="0" updatedVersion="8" minRefreshableVersion="3" itemPrintTitles="1" createdVersion="8" indent="0" outline="1" outlineData="1" multipleFieldFilters="0" rowHeaderCaption="Categoría" colHeaderCaption="Pago">
  <location ref="AG34:AN39" firstHeaderRow="1" firstDataRow="2" firstDataCol="1" rowPageCount="2" colPageCount="1"/>
  <pivotFields count="29">
    <pivotField numFmtId="164" showAll="0"/>
    <pivotField axis="axisCol" showAll="0">
      <items count="9">
        <item x="0"/>
        <item x="1"/>
        <item x="2"/>
        <item x="3"/>
        <item x="4"/>
        <item x="5"/>
        <item m="1" x="7"/>
        <item x="6"/>
        <item t="default"/>
      </items>
    </pivotField>
    <pivotField axis="axisPage" showAll="0">
      <items count="36">
        <item x="25"/>
        <item h="1" m="1" x="34"/>
        <item x="28"/>
        <item x="19"/>
        <item x="13"/>
        <item x="17"/>
        <item x="6"/>
        <item x="27"/>
        <item x="21"/>
        <item x="18"/>
        <item x="23"/>
        <item x="24"/>
        <item x="15"/>
        <item x="1"/>
        <item x="4"/>
        <item x="5"/>
        <item x="8"/>
        <item x="11"/>
        <item x="22"/>
        <item x="2"/>
        <item m="1" x="33"/>
        <item m="1" x="32"/>
        <item x="9"/>
        <item x="16"/>
        <item x="26"/>
        <item x="10"/>
        <item x="7"/>
        <item x="14"/>
        <item x="29"/>
        <item x="3"/>
        <item x="20"/>
        <item x="30"/>
        <item x="31"/>
        <item x="0"/>
        <item x="12"/>
        <item t="default"/>
      </items>
    </pivotField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showAll="0"/>
    <pivotField showAll="0"/>
    <pivotField showAll="0"/>
    <pivotField numFmtId="165"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22" item="1" hier="0"/>
    <pageField fld="2" hier="0"/>
  </pageFields>
  <dataFields count="1">
    <dataField name="Cuenta de Núm. De cliente" fld="4" subtotal="count" baseField="5" baseItem="2" numFmtId="3"/>
  </dataFields>
  <formats count="3">
    <format dxfId="41">
      <pivotArea outline="0" fieldPosition="0">
        <references count="1">
          <reference field="5" count="2" selected="0">
            <x v="1"/>
            <x v="2"/>
          </reference>
        </references>
      </pivotArea>
    </format>
    <format dxfId="40">
      <pivotArea grandCol="1" outline="0" fieldPosition="0"/>
    </format>
    <format dxfId="39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DD1EC-D6E1-4097-AB83-1B5F203184B2}" name="TablaDinámica5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G89:AO91" firstHeaderRow="1" firstDataRow="2" firstDataCol="1"/>
  <pivotFields count="17">
    <pivotField showAll="0"/>
    <pivotField axis="axisCol" showAll="0">
      <items count="10">
        <item x="0"/>
        <item x="1"/>
        <item x="2"/>
        <item x="3"/>
        <item x="4"/>
        <item x="5"/>
        <item h="1" m="1" x="8"/>
        <item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8" showAll="0"/>
  </pivotFields>
  <rowItems count="1">
    <i/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colItems>
  <dataFields count="1">
    <dataField name="Suma de Suma de ventas" fld="16" baseField="0" baseItem="0"/>
  </dataFields>
  <formats count="1">
    <format dxfId="42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E589E-6634-45E7-BE18-FFE758C65D29}" name="TablaDinámica14" cacheId="0" applyNumberFormats="0" applyBorderFormats="0" applyFontFormats="0" applyPatternFormats="0" applyAlignmentFormats="0" applyWidthHeightFormats="1" dataCaption="Valores" missingCaption="0" updatedVersion="8" minRefreshableVersion="3" itemPrintTitles="1" createdVersion="8" indent="0" outline="1" outlineData="1" multipleFieldFilters="0" rowHeaderCaption="Categoría" colHeaderCaption="Pago">
  <location ref="AG44:AN48" firstHeaderRow="1" firstDataRow="2" firstDataCol="1" rowPageCount="2" colPageCount="1"/>
  <pivotFields count="29">
    <pivotField numFmtId="164" showAll="0"/>
    <pivotField axis="axisCol" showAll="0">
      <items count="9">
        <item x="0"/>
        <item x="1"/>
        <item x="2"/>
        <item x="3"/>
        <item x="4"/>
        <item x="5"/>
        <item m="1" x="7"/>
        <item x="6"/>
        <item t="default"/>
      </items>
    </pivotField>
    <pivotField axis="axisPage" showAll="0">
      <items count="36">
        <item x="25"/>
        <item h="1" m="1" x="34"/>
        <item x="28"/>
        <item x="19"/>
        <item x="13"/>
        <item x="17"/>
        <item x="6"/>
        <item x="27"/>
        <item x="21"/>
        <item x="18"/>
        <item x="23"/>
        <item x="24"/>
        <item x="15"/>
        <item x="1"/>
        <item x="4"/>
        <item x="5"/>
        <item x="8"/>
        <item x="11"/>
        <item x="22"/>
        <item x="2"/>
        <item m="1" x="33"/>
        <item m="1" x="32"/>
        <item x="9"/>
        <item x="16"/>
        <item x="26"/>
        <item x="10"/>
        <item x="7"/>
        <item x="14"/>
        <item x="29"/>
        <item x="3"/>
        <item x="20"/>
        <item x="30"/>
        <item x="31"/>
        <item x="0"/>
        <item x="12"/>
        <item t="default"/>
      </items>
    </pivotField>
    <pivotField showAll="0"/>
    <pivotField showAll="0"/>
    <pivotField axis="axisRow" showAll="0">
      <items count="4">
        <item h="1"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showAll="0"/>
    <pivotField showAll="0"/>
    <pivotField showAll="0"/>
    <pivotField numFmtId="165"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22" item="1" hier="0"/>
    <pageField fld="2" hier="0"/>
  </pageFields>
  <formats count="3">
    <format dxfId="45">
      <pivotArea outline="0" collapsedLevelsAreSubtotals="1" fieldPosition="0">
        <references count="1">
          <reference field="5" count="2" selected="0">
            <x v="1"/>
            <x v="2"/>
          </reference>
        </references>
      </pivotArea>
    </format>
    <format dxfId="44">
      <pivotArea grandCol="1" outline="0" collapsedLevelsAreSubtotals="1" fieldPosition="0"/>
    </format>
    <format dxfId="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693FF-A420-402F-AC16-10C84396EAB1}" name="TablaDinámica4" cacheId="2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rowHeaderCaption="Ejecutivo" colHeaderCaption="Categoría">
  <location ref="AT1:AX35" firstHeaderRow="1" firstDataRow="2" firstDataCol="1"/>
  <pivotFields count="17">
    <pivotField numFmtId="164" showAll="0"/>
    <pivotField showAll="0"/>
    <pivotField axis="axisRow" showAll="0">
      <items count="44">
        <item x="26"/>
        <item h="1" x="17"/>
        <item x="29"/>
        <item x="20"/>
        <item x="13"/>
        <item x="18"/>
        <item x="6"/>
        <item x="28"/>
        <item h="1" x="22"/>
        <item x="19"/>
        <item x="24"/>
        <item h="1" m="1" x="41"/>
        <item x="15"/>
        <item x="1"/>
        <item x="4"/>
        <item x="5"/>
        <item x="8"/>
        <item x="11"/>
        <item x="23"/>
        <item x="2"/>
        <item m="1" x="39"/>
        <item m="1" x="37"/>
        <item x="9"/>
        <item x="16"/>
        <item m="1" x="42"/>
        <item x="10"/>
        <item x="7"/>
        <item x="14"/>
        <item x="30"/>
        <item x="3"/>
        <item x="21"/>
        <item x="31"/>
        <item x="32"/>
        <item m="1" x="36"/>
        <item m="1" x="40"/>
        <item x="12"/>
        <item m="1" x="38"/>
        <item x="0"/>
        <item h="1" x="25"/>
        <item x="27"/>
        <item x="33"/>
        <item x="34"/>
        <item x="35"/>
        <item t="default"/>
      </items>
    </pivotField>
    <pivotField showAll="0"/>
    <pivotField showAll="0"/>
    <pivotField axis="axisCol" showAll="0">
      <items count="5">
        <item x="0"/>
        <item x="2"/>
        <item x="1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8" showAll="0"/>
  </pivotFields>
  <rowFields count="1">
    <field x="2"/>
  </rowFields>
  <rowItems count="33">
    <i>
      <x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5"/>
    </i>
    <i>
      <x v="37"/>
    </i>
    <i>
      <x v="39"/>
    </i>
    <i>
      <x v="40"/>
    </i>
    <i>
      <x v="41"/>
    </i>
    <i>
      <x v="42"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a de Suma de ventas" fld="16" baseField="0" baseItem="0"/>
  </dataFields>
  <formats count="10">
    <format dxfId="55">
      <pivotArea outline="0" fieldPosition="0"/>
    </format>
    <format dxfId="54">
      <pivotArea outline="0" fieldPosition="0"/>
    </format>
    <format dxfId="53">
      <pivotArea outline="0" fieldPosition="0">
        <references count="1">
          <reference field="5" count="2" selected="0">
            <x v="1"/>
            <x v="2"/>
          </reference>
        </references>
      </pivotArea>
    </format>
    <format dxfId="52">
      <pivotArea outline="0" fieldPosition="0">
        <references count="1">
          <reference field="5" count="2" selected="0">
            <x v="1"/>
            <x v="2"/>
          </reference>
        </references>
      </pivotArea>
    </format>
    <format dxfId="51">
      <pivotArea grandCol="1" outline="0" fieldPosition="0"/>
    </format>
    <format dxfId="50">
      <pivotArea grandCol="1" outline="0" fieldPosition="0"/>
    </format>
    <format dxfId="49">
      <pivotArea fieldPosition="0">
        <references count="1">
          <reference field="2" count="5">
            <x v="14"/>
            <x v="15"/>
            <x v="16"/>
            <x v="19"/>
            <x v="29"/>
          </reference>
        </references>
      </pivotArea>
    </format>
    <format dxfId="48">
      <pivotArea dataOnly="0" labelOnly="1" fieldPosition="0">
        <references count="1">
          <reference field="2" count="5">
            <x v="14"/>
            <x v="15"/>
            <x v="16"/>
            <x v="19"/>
            <x v="29"/>
          </reference>
        </references>
      </pivotArea>
    </format>
    <format dxfId="47">
      <pivotArea fieldPosition="0">
        <references count="1">
          <reference field="2" count="5">
            <x v="14"/>
            <x v="15"/>
            <x v="16"/>
            <x v="19"/>
            <x v="29"/>
          </reference>
        </references>
      </pivotArea>
    </format>
    <format dxfId="46">
      <pivotArea dataOnly="0" labelOnly="1" fieldPosition="0">
        <references count="1">
          <reference field="2" count="5">
            <x v="14"/>
            <x v="15"/>
            <x v="16"/>
            <x v="19"/>
            <x v="29"/>
          </reference>
        </references>
      </pivotArea>
    </format>
  </formats>
  <pivotTableStyleInfo name="PivotStyleMedium26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32D3E-C472-4022-889B-4525BBB10BA4}" name="TablaDinámica2" cacheId="0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>
  <location ref="AG73:AJ75" firstHeaderRow="1" firstDataRow="2" firstDataCol="1" rowPageCount="2" colPageCount="1"/>
  <pivotFields count="29">
    <pivotField showAll="0"/>
    <pivotField showAll="0"/>
    <pivotField axis="axisPage" showAll="0">
      <items count="36">
        <item x="11"/>
        <item x="20"/>
        <item x="25"/>
        <item h="1" m="1" x="34"/>
        <item x="28"/>
        <item h="1" x="19"/>
        <item x="29"/>
        <item x="13"/>
        <item x="30"/>
        <item x="17"/>
        <item x="9"/>
        <item x="7"/>
        <item x="6"/>
        <item x="27"/>
        <item x="8"/>
        <item x="14"/>
        <item x="16"/>
        <item x="10"/>
        <item x="26"/>
        <item h="1" x="2"/>
        <item m="1" x="33"/>
        <item h="1" x="21"/>
        <item x="18"/>
        <item x="22"/>
        <item x="23"/>
        <item h="1" x="24"/>
        <item x="15"/>
        <item x="31"/>
        <item m="1" x="32"/>
        <item x="1"/>
        <item x="4"/>
        <item x="3"/>
        <item x="5"/>
        <item h="1" x="0"/>
        <item h="1" x="12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showAll="0"/>
    <pivotField showAll="0"/>
    <pivotField showAll="0"/>
    <pivotField numFmtId="165" showAll="0"/>
    <pivotField showAll="0"/>
    <pivotField axis="axisPage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5"/>
  </colFields>
  <colItems count="3">
    <i>
      <x/>
    </i>
    <i>
      <x v="1"/>
    </i>
    <i>
      <x v="2"/>
    </i>
  </colItems>
  <pageFields count="2">
    <pageField fld="22" item="1" hier="0"/>
    <pageField fld="2" hier="0"/>
  </pageFields>
  <dataFields count="1">
    <dataField name="Suma de Saldo Junio" fld="28" baseField="0" baseItem="0"/>
  </dataFields>
  <formats count="1">
    <format dxfId="56">
      <pivotArea outline="0" fieldPosition="0">
        <references count="1">
          <reference field="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1F8BB-DFDF-4986-8C1B-D6653015CC89}" name="TablaDinámica10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es" colHeaderCaption="Categoría">
  <location ref="AG19:AK29" firstHeaderRow="1" firstDataRow="2" firstDataCol="1" rowPageCount="1" colPageCount="1"/>
  <pivotFields count="17">
    <pivotField numFmtId="164" showAll="0"/>
    <pivotField axis="axisRow" showAll="0">
      <items count="10">
        <item x="0"/>
        <item x="1"/>
        <item x="2"/>
        <item x="3"/>
        <item x="4"/>
        <item x="5"/>
        <item x="6"/>
        <item m="1" x="8"/>
        <item x="7"/>
        <item t="default"/>
      </items>
    </pivotField>
    <pivotField axis="axisPage" showAll="0">
      <items count="44">
        <item x="26"/>
        <item x="17"/>
        <item x="29"/>
        <item x="20"/>
        <item x="13"/>
        <item x="18"/>
        <item x="6"/>
        <item x="28"/>
        <item x="22"/>
        <item x="19"/>
        <item x="24"/>
        <item h="1" m="1" x="41"/>
        <item x="15"/>
        <item x="1"/>
        <item x="4"/>
        <item x="5"/>
        <item x="8"/>
        <item x="11"/>
        <item x="23"/>
        <item x="2"/>
        <item m="1" x="39"/>
        <item m="1" x="37"/>
        <item x="9"/>
        <item x="16"/>
        <item m="1" x="42"/>
        <item x="10"/>
        <item x="7"/>
        <item x="14"/>
        <item x="30"/>
        <item x="3"/>
        <item x="21"/>
        <item x="31"/>
        <item x="32"/>
        <item h="1" m="1" x="36"/>
        <item m="1" x="40"/>
        <item x="12"/>
        <item m="1" x="38"/>
        <item x="0"/>
        <item x="25"/>
        <item x="27"/>
        <item x="33"/>
        <item x="34"/>
        <item x="35"/>
        <item t="default"/>
      </items>
    </pivotField>
    <pivotField showAll="0"/>
    <pivotField showAll="0"/>
    <pivotField axis="axisCol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8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2" hier="0"/>
  </pageFields>
  <dataFields count="1">
    <dataField name="Suma de venta" fld="16" baseField="0" baseItem="0"/>
  </dataFields>
  <formats count="1">
    <format dxfId="57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B3F4A-E51D-44C5-A76E-804FDDFD228D}" name="TablaDinámica1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ategoría" colHeaderCaption="Pago">
  <location ref="AG63:AN67" firstHeaderRow="1" firstDataRow="2" firstDataCol="1" rowPageCount="2" colPageCount="1"/>
  <pivotFields count="29">
    <pivotField numFmtId="164" showAll="0"/>
    <pivotField axis="axisCol" showAll="0">
      <items count="9">
        <item x="0"/>
        <item x="1"/>
        <item x="2"/>
        <item x="3"/>
        <item x="4"/>
        <item x="5"/>
        <item m="1" x="7"/>
        <item x="6"/>
        <item t="default"/>
      </items>
    </pivotField>
    <pivotField axis="axisPage" showAll="0">
      <items count="36">
        <item x="25"/>
        <item h="1" m="1" x="34"/>
        <item x="28"/>
        <item h="1" x="19"/>
        <item x="13"/>
        <item x="17"/>
        <item x="6"/>
        <item x="27"/>
        <item h="1" x="21"/>
        <item x="18"/>
        <item x="23"/>
        <item h="1" x="24"/>
        <item x="15"/>
        <item x="1"/>
        <item x="4"/>
        <item x="5"/>
        <item x="8"/>
        <item x="11"/>
        <item x="22"/>
        <item x="2"/>
        <item m="1" x="33"/>
        <item m="1" x="32"/>
        <item x="9"/>
        <item x="16"/>
        <item x="26"/>
        <item x="10"/>
        <item x="7"/>
        <item x="14"/>
        <item x="29"/>
        <item x="3"/>
        <item x="20"/>
        <item x="30"/>
        <item x="31"/>
        <item h="1" x="0"/>
        <item h="1" x="12"/>
        <item t="default"/>
      </items>
    </pivotField>
    <pivotField showAll="0"/>
    <pivotField showAll="0"/>
    <pivotField axis="axisRow" showAll="0">
      <items count="4">
        <item h="1"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showAll="0"/>
    <pivotField showAll="0"/>
    <pivotField showAll="0"/>
    <pivotField numFmtId="165"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22" item="0" hier="0"/>
    <pageField fld="2" hier="0"/>
  </pageFields>
  <formats count="3">
    <format dxfId="60">
      <pivotArea outline="0" fieldPosition="0">
        <references count="1">
          <reference field="5" count="2" selected="0">
            <x v="1"/>
            <x v="2"/>
          </reference>
        </references>
      </pivotArea>
    </format>
    <format dxfId="59">
      <pivotArea grandCol="1" outline="0" fieldPosition="0"/>
    </format>
    <format dxfId="58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4AFC7-CA3A-48D5-9E28-3CDF70846A05}" name="ALtas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es" colHeaderCaption="Categoría">
  <location ref="AG4:AK14" firstHeaderRow="1" firstDataRow="2" firstDataCol="1" rowPageCount="1" colPageCount="1"/>
  <pivotFields count="17">
    <pivotField numFmtId="164" showAll="0"/>
    <pivotField axis="axisRow" showAll="0">
      <items count="10">
        <item x="0"/>
        <item x="1"/>
        <item x="2"/>
        <item x="3"/>
        <item x="4"/>
        <item x="5"/>
        <item x="6"/>
        <item m="1" x="8"/>
        <item x="7"/>
        <item t="default"/>
      </items>
    </pivotField>
    <pivotField axis="axisPage" showAll="0">
      <items count="44">
        <item x="26"/>
        <item x="17"/>
        <item x="29"/>
        <item x="20"/>
        <item x="13"/>
        <item x="18"/>
        <item x="6"/>
        <item x="28"/>
        <item x="22"/>
        <item x="19"/>
        <item x="24"/>
        <item h="1" m="1" x="41"/>
        <item x="15"/>
        <item x="1"/>
        <item x="4"/>
        <item x="5"/>
        <item x="8"/>
        <item x="11"/>
        <item x="23"/>
        <item x="2"/>
        <item m="1" x="39"/>
        <item m="1" x="37"/>
        <item x="9"/>
        <item x="16"/>
        <item m="1" x="42"/>
        <item x="10"/>
        <item x="7"/>
        <item x="14"/>
        <item x="30"/>
        <item x="3"/>
        <item x="21"/>
        <item x="31"/>
        <item x="32"/>
        <item h="1" m="1" x="36"/>
        <item m="1" x="40"/>
        <item x="12"/>
        <item m="1" x="38"/>
        <item x="0"/>
        <item x="25"/>
        <item x="27"/>
        <item x="33"/>
        <item x="34"/>
        <item x="35"/>
        <item t="default"/>
      </items>
    </pivotField>
    <pivotField showAll="0"/>
    <pivotField showAll="0"/>
    <pivotField axis="axisCol" dataField="1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2" hier="0"/>
  </pageFields>
  <dataFields count="1">
    <dataField name="Altas" fld="5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395EE-146B-489B-AE5A-EC6BC81A5613}" name="TablaDinámica1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ategoría" colHeaderCaption="Pago">
  <location ref="AG54:AN58" firstHeaderRow="1" firstDataRow="2" firstDataCol="1" rowPageCount="2" colPageCount="1"/>
  <pivotFields count="29">
    <pivotField numFmtId="164" showAll="0"/>
    <pivotField axis="axisCol" showAll="0">
      <items count="9">
        <item x="0"/>
        <item x="1"/>
        <item x="2"/>
        <item x="3"/>
        <item x="4"/>
        <item x="5"/>
        <item m="1" x="7"/>
        <item x="6"/>
        <item t="default"/>
      </items>
    </pivotField>
    <pivotField axis="axisPage" showAll="0">
      <items count="36">
        <item x="25"/>
        <item h="1" m="1" x="34"/>
        <item x="28"/>
        <item h="1" x="19"/>
        <item x="13"/>
        <item x="17"/>
        <item x="6"/>
        <item x="27"/>
        <item h="1" x="21"/>
        <item x="18"/>
        <item x="23"/>
        <item h="1" x="24"/>
        <item x="15"/>
        <item x="1"/>
        <item x="4"/>
        <item x="5"/>
        <item x="8"/>
        <item x="11"/>
        <item x="22"/>
        <item x="2"/>
        <item m="1" x="33"/>
        <item m="1" x="32"/>
        <item x="9"/>
        <item x="16"/>
        <item x="26"/>
        <item x="10"/>
        <item x="7"/>
        <item x="14"/>
        <item x="29"/>
        <item x="3"/>
        <item x="20"/>
        <item x="30"/>
        <item x="31"/>
        <item h="1" x="0"/>
        <item h="1" x="12"/>
        <item t="default"/>
      </items>
    </pivotField>
    <pivotField showAll="0"/>
    <pivotField showAll="0"/>
    <pivotField axis="axisRow" showAll="0">
      <items count="4">
        <item h="1"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showAll="0"/>
    <pivotField showAll="0"/>
    <pivotField showAll="0"/>
    <pivotField numFmtId="165"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22" item="0" hier="0"/>
    <pageField fld="2" hier="0"/>
  </pageFields>
  <formats count="2">
    <format dxfId="62">
      <pivotArea outline="0" fieldPosition="0">
        <references count="1">
          <reference field="5" count="2" selected="0">
            <x v="1"/>
            <x v="2"/>
          </reference>
        </references>
      </pivotArea>
    </format>
    <format dxfId="61">
      <pivotArea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DAB08-A587-4F42-8909-44E62AEFE7F5}" name="Altas" displayName="Altas" ref="A1:Q728" totalsRowCount="1" headerRowDxfId="37" dataDxfId="36" headerRowCellStyle="Moneda 2" dataCellStyle="Moneda 2">
  <autoFilter ref="A1:Q727" xr:uid="{D941991D-E035-49F9-A370-56733545A92E}"/>
  <tableColumns count="17">
    <tableColumn id="1" xr3:uid="{00000000-0010-0000-0100-000001000000}" name="Fecha de alta" dataDxfId="35" totalsRowDxfId="34" dataCellStyle="Normal 2"/>
    <tableColumn id="2" xr3:uid="{00000000-0010-0000-0100-000002000000}" name="Mes" dataDxfId="33" totalsRowDxfId="32">
      <calculatedColumnFormula>PROPER(TEXT(A2,"mmmm"))</calculatedColumnFormula>
    </tableColumn>
    <tableColumn id="3" xr3:uid="{00000000-0010-0000-0100-000003000000}" name="Ejecutivo" totalsRowDxfId="31" dataCellStyle="Normal 2"/>
    <tableColumn id="4" xr3:uid="{00000000-0010-0000-0100-000004000000}" name="Región" dataDxfId="30" totalsRowDxfId="29" dataCellStyle="Normal 2">
      <calculatedColumnFormula>VLOOKUP(Datos!$C2,$AQ$2:$AR$41,2,0)</calculatedColumnFormula>
    </tableColumn>
    <tableColumn id="5" xr3:uid="{00000000-0010-0000-0100-000005000000}" name="Núm. De cliente" totalsRowDxfId="28" dataCellStyle="Normal 2"/>
    <tableColumn id="14" xr3:uid="{00000000-0010-0000-0100-00000E000000}" name="Categoría" dataDxfId="27" totalsRowDxfId="26" dataCellStyle="Normal 2"/>
    <tableColumn id="15" xr3:uid="{00000000-0010-0000-0100-00000F000000}" name="Estatus" totalsRowDxfId="25" dataCellStyle="Normal 2"/>
    <tableColumn id="16" xr3:uid="{00000000-0010-0000-0100-000010000000}" name="Meses facturados" dataDxfId="24" totalsRowDxfId="23" dataCellStyle="Normal 2">
      <calculatedColumnFormula>COUNTIF(I2:P2,"&gt;0")</calculatedColumnFormula>
    </tableColumn>
    <tableColumn id="6" xr3:uid="{00000000-0010-0000-0100-000006000000}" name="Enero" dataDxfId="22" totalsRowDxfId="21" dataCellStyle="Moneda 2"/>
    <tableColumn id="7" xr3:uid="{00000000-0010-0000-0100-000007000000}" name="Febrero" dataDxfId="20" totalsRowDxfId="19" dataCellStyle="Moneda 2"/>
    <tableColumn id="8" xr3:uid="{00000000-0010-0000-0100-000008000000}" name="Marzo" dataDxfId="18" totalsRowDxfId="17" dataCellStyle="Moneda 2"/>
    <tableColumn id="9" xr3:uid="{00000000-0010-0000-0100-000009000000}" name="Abril" dataDxfId="16" totalsRowDxfId="15" dataCellStyle="Moneda 2"/>
    <tableColumn id="10" xr3:uid="{00000000-0010-0000-0100-00000A000000}" name="Mayo" dataDxfId="14" totalsRowDxfId="13" dataCellStyle="Moneda 2"/>
    <tableColumn id="11" xr3:uid="{00000000-0010-0000-0100-00000B000000}" name="Junio" dataDxfId="12" totalsRowDxfId="11" dataCellStyle="Moneda 2"/>
    <tableColumn id="12" xr3:uid="{00000000-0010-0000-0100-00000C000000}" name="Julio" dataDxfId="10" totalsRowDxfId="9" dataCellStyle="Moneda 2"/>
    <tableColumn id="17" xr3:uid="{00000000-0010-0000-0100-000011000000}" name="Agosto" totalsRowFunction="sum" dataDxfId="8" totalsRowDxfId="7" dataCellStyle="Moneda 2"/>
    <tableColumn id="13" xr3:uid="{00000000-0010-0000-0100-00000D000000}" name="Suma de ventas" totalsRowFunction="custom" dataDxfId="6" totalsRowDxfId="5" dataCellStyle="Moneda 2">
      <calculatedColumnFormula>SUBTOTAL(109,I2:P2)</calculatedColumnFormula>
      <totalsRowFormula>SUM(Q1:Q727)</totalsRowFormula>
    </tableColumn>
  </tableColumns>
  <tableStyleInfo name="TableStyleLight4" showFirstColumn="1" showLastColumn="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12" Type="http://schemas.openxmlformats.org/officeDocument/2006/relationships/table" Target="../tables/table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7.xml"/><Relationship Id="rId10" Type="http://schemas.openxmlformats.org/officeDocument/2006/relationships/pivotTable" Target="../pivotTables/pivotTable12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2F70-C60F-456E-BFE6-AECF93E1C1A5}">
  <sheetPr codeName="Hoja4"/>
  <dimension ref="A1"/>
  <sheetViews>
    <sheetView showGridLines="0" showRowColHeaders="0" tabSelected="1" workbookViewId="0"/>
  </sheetViews>
  <sheetFormatPr baseColWidth="10" defaultRowHeight="12" x14ac:dyDescent="0.2"/>
  <sheetData/>
  <sheetProtection algorithmName="SHA-512" hashValue="7Mj4UsaxdKZ6xzWuss5VN/ieyFPRT0p6d1ozwaDO0vmZk+jkNluUdv5mGUyzVKssx2gspjY8gHZ62P3Xr0GDgw==" saltValue="+cgh2ZU9U+gZxCdrqmML1g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1DEE-8963-4BA8-902E-65B670EB7C53}">
  <sheetPr codeName="Hoja1"/>
  <dimension ref="A1:AB51"/>
  <sheetViews>
    <sheetView showRowColHeaders="0" showZeros="0" zoomScale="87" zoomScaleNormal="87" workbookViewId="0">
      <selection activeCell="I22" sqref="I22"/>
    </sheetView>
  </sheetViews>
  <sheetFormatPr baseColWidth="10" defaultRowHeight="12" x14ac:dyDescent="0.2"/>
  <cols>
    <col min="1" max="1" width="1.6640625" customWidth="1"/>
    <col min="2" max="2" width="13.33203125" bestFit="1" customWidth="1"/>
    <col min="3" max="3" width="11" customWidth="1"/>
    <col min="4" max="4" width="17.33203125" bestFit="1" customWidth="1"/>
    <col min="5" max="5" width="20.33203125" bestFit="1" customWidth="1"/>
    <col min="6" max="6" width="20.1640625" bestFit="1" customWidth="1"/>
    <col min="7" max="7" width="2.33203125" customWidth="1"/>
    <col min="8" max="8" width="17" bestFit="1" customWidth="1"/>
    <col min="9" max="9" width="18.5" bestFit="1" customWidth="1"/>
    <col min="10" max="10" width="18.1640625" bestFit="1" customWidth="1"/>
    <col min="11" max="11" width="17.33203125" bestFit="1" customWidth="1"/>
    <col min="12" max="12" width="17.1640625" bestFit="1" customWidth="1"/>
    <col min="13" max="13" width="16.6640625" bestFit="1" customWidth="1"/>
    <col min="14" max="14" width="15.6640625" bestFit="1" customWidth="1"/>
    <col min="15" max="15" width="14.5" bestFit="1" customWidth="1"/>
    <col min="16" max="16" width="19.6640625" bestFit="1" customWidth="1"/>
    <col min="17" max="17" width="3.1640625" customWidth="1"/>
    <col min="18" max="18" width="16.83203125" bestFit="1" customWidth="1"/>
    <col min="19" max="19" width="18.5" bestFit="1" customWidth="1"/>
    <col min="20" max="20" width="18.1640625" bestFit="1" customWidth="1"/>
    <col min="21" max="21" width="17.33203125" bestFit="1" customWidth="1"/>
    <col min="22" max="22" width="17.1640625" bestFit="1" customWidth="1"/>
    <col min="23" max="23" width="16.6640625" bestFit="1" customWidth="1"/>
    <col min="24" max="24" width="15.6640625" bestFit="1" customWidth="1"/>
    <col min="25" max="25" width="14.5" bestFit="1" customWidth="1"/>
    <col min="26" max="26" width="19.6640625" bestFit="1" customWidth="1"/>
  </cols>
  <sheetData>
    <row r="1" spans="1:28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60" x14ac:dyDescent="0.2">
      <c r="A2" s="16"/>
      <c r="B2" s="11" t="s">
        <v>19</v>
      </c>
      <c r="C2" s="17" t="s">
        <v>21</v>
      </c>
      <c r="D2" s="17" t="s">
        <v>51</v>
      </c>
      <c r="E2" s="17" t="s">
        <v>52</v>
      </c>
      <c r="F2" s="11" t="s">
        <v>20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15.75" x14ac:dyDescent="0.2">
      <c r="A3" s="16"/>
      <c r="B3" s="111" t="s">
        <v>1</v>
      </c>
      <c r="C3" s="30">
        <f>Datos!AH6</f>
        <v>55</v>
      </c>
      <c r="D3" s="30">
        <f>Datos!AJ6</f>
        <v>35</v>
      </c>
      <c r="E3" s="30">
        <f>Datos!AI6</f>
        <v>42</v>
      </c>
      <c r="F3" s="30">
        <f t="shared" ref="F3:F14" si="0">SUM(C3:E3)</f>
        <v>132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15.75" x14ac:dyDescent="0.2">
      <c r="A4" s="16"/>
      <c r="B4" s="111"/>
      <c r="C4" s="30" t="s">
        <v>77</v>
      </c>
      <c r="D4" s="12">
        <f>Datos!AJ21</f>
        <v>239243.04000000007</v>
      </c>
      <c r="E4" s="12">
        <f>Datos!AI21</f>
        <v>4216487.4800000051</v>
      </c>
      <c r="F4" s="12">
        <f t="shared" si="0"/>
        <v>4455730.5200000051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ht="15.75" x14ac:dyDescent="0.2">
      <c r="A5" s="16"/>
      <c r="B5" s="112" t="s">
        <v>2</v>
      </c>
      <c r="C5" s="31">
        <f>Datos!AH7</f>
        <v>28</v>
      </c>
      <c r="D5" s="31">
        <f>Datos!AJ7</f>
        <v>23</v>
      </c>
      <c r="E5" s="31">
        <f>Datos!AI7</f>
        <v>28</v>
      </c>
      <c r="F5" s="31">
        <f t="shared" si="0"/>
        <v>79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15.75" x14ac:dyDescent="0.2">
      <c r="A6" s="16"/>
      <c r="B6" s="112"/>
      <c r="C6" s="31" t="s">
        <v>77</v>
      </c>
      <c r="D6" s="13">
        <f>Datos!AJ22</f>
        <v>139022.52000000002</v>
      </c>
      <c r="E6" s="13">
        <f>Datos!AI22</f>
        <v>923884.3199999996</v>
      </c>
      <c r="F6" s="13">
        <f t="shared" si="0"/>
        <v>1062906.8399999996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ht="15.75" x14ac:dyDescent="0.2">
      <c r="A7" s="16"/>
      <c r="B7" s="111" t="s">
        <v>3</v>
      </c>
      <c r="C7" s="30">
        <f>Datos!AH8</f>
        <v>33</v>
      </c>
      <c r="D7" s="30">
        <f>Datos!AJ8</f>
        <v>24</v>
      </c>
      <c r="E7" s="30">
        <f>Datos!AI8</f>
        <v>37</v>
      </c>
      <c r="F7" s="30">
        <f t="shared" si="0"/>
        <v>94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5.75" x14ac:dyDescent="0.2">
      <c r="A8" s="16"/>
      <c r="B8" s="111"/>
      <c r="C8" s="30" t="s">
        <v>77</v>
      </c>
      <c r="D8" s="12">
        <f>Datos!AJ23</f>
        <v>98967.72</v>
      </c>
      <c r="E8" s="12">
        <f>Datos!AI23</f>
        <v>964667.6</v>
      </c>
      <c r="F8" s="12">
        <f t="shared" si="0"/>
        <v>1063635.32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ht="15.75" x14ac:dyDescent="0.2">
      <c r="A9" s="16"/>
      <c r="B9" s="112" t="s">
        <v>4</v>
      </c>
      <c r="C9" s="31">
        <f>Datos!AH9</f>
        <v>18</v>
      </c>
      <c r="D9" s="31">
        <f>Datos!AJ9</f>
        <v>22</v>
      </c>
      <c r="E9" s="31">
        <f>Datos!AI9</f>
        <v>36</v>
      </c>
      <c r="F9" s="31">
        <f t="shared" si="0"/>
        <v>76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ht="15.75" x14ac:dyDescent="0.2">
      <c r="A10" s="16"/>
      <c r="B10" s="112"/>
      <c r="C10" s="31" t="s">
        <v>77</v>
      </c>
      <c r="D10" s="13">
        <f>Datos!AJ24</f>
        <v>43425.609200000006</v>
      </c>
      <c r="E10" s="13">
        <f>Datos!AI24</f>
        <v>1000965.7400000001</v>
      </c>
      <c r="F10" s="13">
        <f t="shared" si="0"/>
        <v>1044391.3492000001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ht="15.75" x14ac:dyDescent="0.2">
      <c r="A11" s="16"/>
      <c r="B11" s="111" t="s">
        <v>5</v>
      </c>
      <c r="C11" s="30">
        <f>Datos!AH10</f>
        <v>20</v>
      </c>
      <c r="D11" s="30">
        <f>Datos!AJ10</f>
        <v>26</v>
      </c>
      <c r="E11" s="30">
        <f>Datos!AI10</f>
        <v>31</v>
      </c>
      <c r="F11" s="30">
        <f t="shared" si="0"/>
        <v>77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ht="15.75" x14ac:dyDescent="0.2">
      <c r="A12" s="16"/>
      <c r="B12" s="111"/>
      <c r="C12" s="30" t="s">
        <v>77</v>
      </c>
      <c r="D12" s="12">
        <f>Datos!AJ25</f>
        <v>285948.11999999994</v>
      </c>
      <c r="E12" s="12">
        <f>Datos!AI25</f>
        <v>523948.80000000016</v>
      </c>
      <c r="F12" s="12">
        <f t="shared" si="0"/>
        <v>809896.92000000016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ht="15.75" x14ac:dyDescent="0.2">
      <c r="A13" s="16"/>
      <c r="B13" s="112" t="s">
        <v>6</v>
      </c>
      <c r="C13" s="31">
        <f>Datos!AH11</f>
        <v>27</v>
      </c>
      <c r="D13" s="31">
        <f>Datos!AJ11</f>
        <v>50</v>
      </c>
      <c r="E13" s="30">
        <f>Datos!AI11</f>
        <v>24</v>
      </c>
      <c r="F13" s="31">
        <f t="shared" si="0"/>
        <v>101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15.75" x14ac:dyDescent="0.2">
      <c r="A14" s="16"/>
      <c r="B14" s="112"/>
      <c r="C14" s="31" t="s">
        <v>77</v>
      </c>
      <c r="D14" s="13">
        <f>Datos!AJ26</f>
        <v>231706.51999999996</v>
      </c>
      <c r="E14" s="12">
        <f>Datos!AI26</f>
        <v>422584.52</v>
      </c>
      <c r="F14" s="13">
        <f t="shared" si="0"/>
        <v>654291.04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ht="15.75" x14ac:dyDescent="0.2">
      <c r="A15" s="16"/>
      <c r="B15" s="111" t="s">
        <v>87</v>
      </c>
      <c r="C15" s="30">
        <f>Datos!AH12</f>
        <v>36</v>
      </c>
      <c r="D15" s="30">
        <f>Datos!AJ12</f>
        <v>56</v>
      </c>
      <c r="E15" s="47">
        <f>Datos!AI12</f>
        <v>0</v>
      </c>
      <c r="F15" s="30">
        <f>SUM(C15:E15)</f>
        <v>92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5.75" x14ac:dyDescent="0.2">
      <c r="A16" s="16"/>
      <c r="B16" s="111"/>
      <c r="C16" s="30" t="s">
        <v>77</v>
      </c>
      <c r="D16" s="12">
        <f>Datos!AJ27</f>
        <v>251399.84000000005</v>
      </c>
      <c r="E16" s="48">
        <f>Datos!AI27</f>
        <v>0</v>
      </c>
      <c r="F16" s="12">
        <f>SUM(C16:E16)</f>
        <v>251399.84000000005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22" t="s">
        <v>46</v>
      </c>
      <c r="S16" s="22" t="s">
        <v>1</v>
      </c>
      <c r="T16" s="22" t="s">
        <v>2</v>
      </c>
      <c r="U16" s="22" t="s">
        <v>3</v>
      </c>
      <c r="V16" s="22" t="s">
        <v>4</v>
      </c>
      <c r="W16" s="22" t="s">
        <v>5</v>
      </c>
      <c r="X16" s="22" t="s">
        <v>6</v>
      </c>
      <c r="Y16" s="22" t="s">
        <v>87</v>
      </c>
      <c r="Z16" s="22" t="s">
        <v>12</v>
      </c>
      <c r="AA16" s="16"/>
      <c r="AB16" s="16"/>
    </row>
    <row r="17" spans="1:28" ht="15.75" x14ac:dyDescent="0.2">
      <c r="A17" s="16"/>
      <c r="B17" s="111" t="s">
        <v>95</v>
      </c>
      <c r="C17" s="30">
        <f>Datos!AH13</f>
        <v>62</v>
      </c>
      <c r="D17" s="30">
        <f>Datos!AJ13</f>
        <v>13</v>
      </c>
      <c r="E17" s="47">
        <f>Datos!AI13</f>
        <v>0</v>
      </c>
      <c r="F17" s="30">
        <f>SUM(C17:E17)</f>
        <v>75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22"/>
      <c r="S17" s="22"/>
      <c r="T17" s="22"/>
      <c r="U17" s="22"/>
      <c r="V17" s="22"/>
      <c r="W17" s="22"/>
      <c r="X17" s="22"/>
      <c r="Y17" s="22"/>
      <c r="Z17" s="22"/>
      <c r="AA17" s="16"/>
      <c r="AB17" s="16"/>
    </row>
    <row r="18" spans="1:28" ht="15.75" x14ac:dyDescent="0.2">
      <c r="A18" s="16"/>
      <c r="B18" s="111"/>
      <c r="C18" s="30" t="s">
        <v>77</v>
      </c>
      <c r="D18" s="12">
        <f>Datos!AJ28</f>
        <v>24922.6</v>
      </c>
      <c r="E18" s="48">
        <f>Datos!AI28</f>
        <v>0</v>
      </c>
      <c r="F18" s="12">
        <f>SUM(C18:E18)</f>
        <v>24922.6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22"/>
      <c r="S18" s="22"/>
      <c r="T18" s="22"/>
      <c r="U18" s="22"/>
      <c r="V18" s="22"/>
      <c r="W18" s="22"/>
      <c r="X18" s="22"/>
      <c r="Y18" s="22"/>
      <c r="Z18" s="22"/>
      <c r="AA18" s="16"/>
      <c r="AB18" s="16"/>
    </row>
    <row r="19" spans="1:28" ht="15.75" x14ac:dyDescent="0.2">
      <c r="A19" s="16"/>
      <c r="B19" s="14" t="s">
        <v>44</v>
      </c>
      <c r="C19" s="32">
        <f>SUM(C3,C5,C7,C9,C11,C13,C15,C17)</f>
        <v>279</v>
      </c>
      <c r="D19" s="15">
        <f>SUM(D3,D5,D7,D9,D11,D13,D15,D17)</f>
        <v>249</v>
      </c>
      <c r="E19" s="32">
        <f>SUM(E3,E5,E7,E9,E11,E13,E15,E17)</f>
        <v>198</v>
      </c>
      <c r="F19" s="15">
        <f>SUM(F3,F5,F7,F9,F11,F13,F15,F17)</f>
        <v>726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23" t="s">
        <v>23</v>
      </c>
      <c r="S19" s="24" t="str">
        <f>IFERROR(Datos!AH36&amp;" - "&amp;TEXT(Datos!AH36/(Datos!AH37+Datos!AH36),"0.0%"),"")</f>
        <v>13 - 19.7%</v>
      </c>
      <c r="T19" s="24" t="str">
        <f>IFERROR(Datos!AI36&amp;" - "&amp;TEXT(Datos!AI36/(Datos!AI37+Datos!AI36),"0.0%"),"")</f>
        <v>14 - 34.1%</v>
      </c>
      <c r="U19" s="24" t="str">
        <f>IFERROR(Datos!AJ36&amp;" - "&amp;TEXT(Datos!AJ36/(Datos!AJ37+Datos!AJ36),"0.0%"),"")</f>
        <v>21 - 38.9%</v>
      </c>
      <c r="V19" s="24" t="str">
        <f>IFERROR(Datos!AK36&amp;" - "&amp;TEXT(Datos!AK36/(Datos!AK37+Datos!AK36),"0.0%"),"")</f>
        <v>14 - 35.9%</v>
      </c>
      <c r="W19" s="24" t="str">
        <f>IFERROR(Datos!AL36&amp;" - "&amp;TEXT(Datos!AL36/(Datos!AL37+Datos!AL36),"0.0%"),"")</f>
        <v>11 - 52.4%</v>
      </c>
      <c r="X19" s="50" t="str">
        <f>IFERROR(Datos!AM36&amp;" - "&amp;TEXT(Datos!AM36/(Datos!AM37+Datos!AM36),"0.0%"),"")</f>
        <v>14 - 100.0%</v>
      </c>
      <c r="Y19" s="50"/>
      <c r="Z19" s="24">
        <f>Datos!AN36</f>
        <v>87</v>
      </c>
      <c r="AA19" s="16"/>
      <c r="AB19" s="16"/>
    </row>
    <row r="20" spans="1:28" ht="15.75" x14ac:dyDescent="0.2">
      <c r="A20" s="16"/>
      <c r="B20" s="14" t="s">
        <v>56</v>
      </c>
      <c r="C20" s="55">
        <f>C19/F19</f>
        <v>0.38429752066115702</v>
      </c>
      <c r="D20" s="56">
        <f>D19/F19</f>
        <v>0.34297520661157027</v>
      </c>
      <c r="E20" s="55">
        <f>E19/F19</f>
        <v>0.27272727272727271</v>
      </c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23" t="s">
        <v>22</v>
      </c>
      <c r="S20" s="24" t="str">
        <f>IFERROR(Datos!AH37&amp;" - "&amp;TEXT(Datos!AH37/(Datos!AH37+Datos!AH36),"0.0%"),"")</f>
        <v>53 - 80.3%</v>
      </c>
      <c r="T20" s="24" t="str">
        <f>IFERROR(Datos!AI37&amp;" - "&amp;TEXT(Datos!AI37/(Datos!AI37+Datos!AI36),"0.0%"),"")</f>
        <v>27 - 65.9%</v>
      </c>
      <c r="U20" s="24" t="str">
        <f>IFERROR(Datos!AJ37&amp;" - "&amp;TEXT(Datos!AJ37/(Datos!AJ37+Datos!AJ36),"0.0%"),"")</f>
        <v>33 - 61.1%</v>
      </c>
      <c r="V20" s="24" t="str">
        <f>IFERROR(Datos!AK37&amp;" - "&amp;TEXT(Datos!AK37/(Datos!AK37+Datos!AK36),"0.0%"),"")</f>
        <v>25 - 64.1%</v>
      </c>
      <c r="W20" s="24" t="str">
        <f>IFERROR(Datos!AL37&amp;" - "&amp;TEXT(Datos!AL37/(Datos!AL37+Datos!AL36),"0.0%"),"")</f>
        <v>10 - 47.6%</v>
      </c>
      <c r="X20" s="24" t="str">
        <f>IFERROR(Datos!AM37&amp;" - "&amp;TEXT(Datos!AM37/(Datos!AM37+Datos!AM36),"0.0%"),"")</f>
        <v>0 - 0.0%</v>
      </c>
      <c r="Y20" s="24"/>
      <c r="Z20" s="24">
        <f>Datos!AN37</f>
        <v>148</v>
      </c>
      <c r="AA20" s="16"/>
      <c r="AB20" s="16"/>
    </row>
    <row r="21" spans="1:28" ht="15.75" x14ac:dyDescent="0.2">
      <c r="A21" s="16"/>
      <c r="B21" s="18" t="s">
        <v>45</v>
      </c>
      <c r="C21" s="19">
        <f>SUM(C4,C6,C8,C10,C12,C14,C16,C18)</f>
        <v>0</v>
      </c>
      <c r="D21" s="20">
        <f>SUM(D4,D6,D8,D10,D12,D14,D16,D18)</f>
        <v>1314635.9692000002</v>
      </c>
      <c r="E21" s="20">
        <f>SUM(E4,E6,E8,E10,E12,E14,E16,E18)</f>
        <v>8052538.4600000046</v>
      </c>
      <c r="F21" s="20">
        <f>SUM(F4,F6,F8,F10,F12,F14,F16,F18)</f>
        <v>9367174.4292000066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25" t="s">
        <v>12</v>
      </c>
      <c r="S21" s="26">
        <f>IFERROR(Datos!AH38,"0.0%")</f>
        <v>13</v>
      </c>
      <c r="T21" s="26">
        <f>IFERROR(Datos!AI38,"0.0%")</f>
        <v>13</v>
      </c>
      <c r="U21" s="26">
        <f>IFERROR(Datos!AJ38,"0.0%")</f>
        <v>8</v>
      </c>
      <c r="V21" s="26">
        <f>IFERROR(Datos!AK38,"0.0%")</f>
        <v>17</v>
      </c>
      <c r="W21" s="26">
        <f>IFERROR(Datos!AL38,"0.0%")</f>
        <v>29</v>
      </c>
      <c r="X21" s="26">
        <f>IFERROR(Datos!AM38,"0.0%")</f>
        <v>49</v>
      </c>
      <c r="Y21" s="26">
        <f>IFERROR(Datos!AN38,"0.0%")</f>
        <v>129</v>
      </c>
      <c r="Z21" s="26">
        <f>Datos!AN38</f>
        <v>129</v>
      </c>
      <c r="AA21" s="16"/>
      <c r="AB21" s="16"/>
    </row>
    <row r="22" spans="1:28" ht="15.75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27"/>
      <c r="S22" s="27"/>
      <c r="T22" s="27"/>
      <c r="U22" s="27"/>
      <c r="V22" s="27"/>
      <c r="W22" s="27"/>
      <c r="X22" s="27"/>
      <c r="Y22" s="27"/>
      <c r="Z22" s="27"/>
      <c r="AA22" s="16"/>
      <c r="AB22" s="16"/>
    </row>
    <row r="23" spans="1:28" ht="15.75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22" t="s">
        <v>46</v>
      </c>
      <c r="S23" s="35" t="s">
        <v>1</v>
      </c>
      <c r="T23" s="35" t="s">
        <v>2</v>
      </c>
      <c r="U23" s="35" t="s">
        <v>3</v>
      </c>
      <c r="V23" s="35" t="s">
        <v>4</v>
      </c>
      <c r="W23" s="35" t="s">
        <v>5</v>
      </c>
      <c r="X23" s="35" t="s">
        <v>6</v>
      </c>
      <c r="Y23" s="22" t="s">
        <v>87</v>
      </c>
      <c r="Z23" s="35" t="s">
        <v>12</v>
      </c>
      <c r="AA23" s="16"/>
      <c r="AB23" s="16"/>
    </row>
    <row r="24" spans="1:28" ht="15.75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23" t="s">
        <v>23</v>
      </c>
      <c r="S24" s="33">
        <f>Datos!AH46</f>
        <v>0</v>
      </c>
      <c r="T24" s="33">
        <f>Datos!AI46</f>
        <v>0</v>
      </c>
      <c r="U24" s="33">
        <f>Datos!AJ46</f>
        <v>0</v>
      </c>
      <c r="V24" s="33">
        <f>Datos!AK46</f>
        <v>0</v>
      </c>
      <c r="W24" s="49">
        <f>Datos!AL46</f>
        <v>0</v>
      </c>
      <c r="X24" s="49">
        <f>Datos!AM46</f>
        <v>0</v>
      </c>
      <c r="Y24" s="49"/>
      <c r="Z24" s="33">
        <f>SUM(S24:X24)</f>
        <v>0</v>
      </c>
      <c r="AA24" s="16"/>
      <c r="AB24" s="16"/>
    </row>
    <row r="25" spans="1:28" ht="15.75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23" t="s">
        <v>22</v>
      </c>
      <c r="S25" s="33">
        <f>Datos!AH47</f>
        <v>0</v>
      </c>
      <c r="T25" s="33">
        <f>Datos!AI47</f>
        <v>0</v>
      </c>
      <c r="U25" s="33">
        <f>Datos!AJ47</f>
        <v>0</v>
      </c>
      <c r="V25" s="33">
        <f>Datos!AK47</f>
        <v>0</v>
      </c>
      <c r="W25" s="33">
        <f>Datos!AL47</f>
        <v>0</v>
      </c>
      <c r="X25" s="33">
        <f>Datos!AM47</f>
        <v>0</v>
      </c>
      <c r="Y25" s="33"/>
      <c r="Z25" s="33">
        <f>SUM(S25:X25)</f>
        <v>0</v>
      </c>
      <c r="AA25" s="16"/>
      <c r="AB25" s="16"/>
    </row>
    <row r="26" spans="1:28" ht="15.75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25" t="s">
        <v>12</v>
      </c>
      <c r="S26" s="36">
        <f t="shared" ref="S26:X26" si="1">SUM(S24:S25)</f>
        <v>0</v>
      </c>
      <c r="T26" s="36">
        <f t="shared" si="1"/>
        <v>0</v>
      </c>
      <c r="U26" s="36">
        <f t="shared" si="1"/>
        <v>0</v>
      </c>
      <c r="V26" s="36">
        <f t="shared" si="1"/>
        <v>0</v>
      </c>
      <c r="W26" s="36">
        <f t="shared" si="1"/>
        <v>0</v>
      </c>
      <c r="X26" s="36">
        <f t="shared" si="1"/>
        <v>0</v>
      </c>
      <c r="Y26" s="36"/>
      <c r="Z26" s="36">
        <f>SUM(S26:X26)</f>
        <v>0</v>
      </c>
      <c r="AA26" s="16"/>
      <c r="AB26" s="16"/>
    </row>
    <row r="27" spans="1:28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5.75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28" t="s">
        <v>27</v>
      </c>
      <c r="S28" s="28" t="s">
        <v>1</v>
      </c>
      <c r="T28" s="28" t="s">
        <v>2</v>
      </c>
      <c r="U28" s="28" t="s">
        <v>3</v>
      </c>
      <c r="V28" s="28" t="s">
        <v>4</v>
      </c>
      <c r="W28" s="28" t="s">
        <v>5</v>
      </c>
      <c r="X28" s="28" t="s">
        <v>6</v>
      </c>
      <c r="Y28" s="28" t="s">
        <v>87</v>
      </c>
      <c r="Z28" s="28" t="s">
        <v>12</v>
      </c>
      <c r="AA28" s="16"/>
      <c r="AB28" s="16"/>
    </row>
    <row r="29" spans="1:28" ht="15.75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23" t="s">
        <v>22</v>
      </c>
      <c r="S29" s="38" t="str">
        <f>IF(Datos!AH56=0,"",IFERROR(Datos!AH56&amp;" - "&amp;TEXT(Datos!AH56/(Datos!AH56+Datos!AH36),"0.0%"),""))</f>
        <v/>
      </c>
      <c r="T29" s="38" t="str">
        <f>IF(Datos!AI56=0,"",IFERROR(Datos!AI56&amp;" - "&amp;TEXT(Datos!AI56/(Datos!AI56+Datos!AI36),"0.0%"),""))</f>
        <v/>
      </c>
      <c r="U29" s="38" t="str">
        <f>IF(Datos!AJ56=0,"",IFERROR(Datos!AJ56&amp;" - "&amp;TEXT(Datos!AJ56/(Datos!AJ56+Datos!AJ36),"0.0%"),""))</f>
        <v/>
      </c>
      <c r="V29" s="38" t="str">
        <f>IF(Datos!AK56=0,"",IFERROR(Datos!AK56&amp;" - "&amp;TEXT(Datos!AK56/(Datos!AK56+Datos!AK36),"0.0%"),""))</f>
        <v/>
      </c>
      <c r="W29" s="38" t="str">
        <f>IF(Datos!AL56=0,"",IFERROR(Datos!AL56&amp;" - "&amp;TEXT(Datos!AL56/(Datos!AL56+Datos!AL36),"0.0%"),""))</f>
        <v/>
      </c>
      <c r="X29" s="38" t="str">
        <f>IF(Datos!AM56=0,"",IFERROR(Datos!AM56&amp;" - "&amp;TEXT(Datos!AM56/(Datos!AM56+Datos!AM36),"0.0%"),""))</f>
        <v/>
      </c>
      <c r="Y29" s="38"/>
      <c r="Z29" s="38">
        <f>Datos!AN56</f>
        <v>0</v>
      </c>
      <c r="AA29" s="16"/>
      <c r="AB29" s="16"/>
    </row>
    <row r="30" spans="1:28" ht="15.75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23" t="s">
        <v>23</v>
      </c>
      <c r="S30" s="38" t="str">
        <f>IF(Datos!AH57=0,"",IFERROR(Datos!AH57&amp;" - "&amp;TEXT(Datos!AH57/(Datos!AH57+Datos!AH37),"0.0%"),""))</f>
        <v/>
      </c>
      <c r="T30" s="38" t="str">
        <f>IF(Datos!AI57=0,"",IFERROR(Datos!AI57&amp;" - "&amp;TEXT(Datos!AI57/(Datos!AI57+Datos!AI37),"0.0%"),""))</f>
        <v/>
      </c>
      <c r="U30" s="38" t="str">
        <f>IF(Datos!AJ57=0,"",IFERROR(Datos!AJ57&amp;" - "&amp;TEXT(Datos!AJ57/(Datos!AJ57+Datos!AJ37),"0.0%"),""))</f>
        <v/>
      </c>
      <c r="V30" s="38" t="str">
        <f>IF(Datos!AK57=0,"",IFERROR(Datos!AK57&amp;" - "&amp;TEXT(Datos!AK57/(Datos!AK57+Datos!AK37),"0.0%"),""))</f>
        <v/>
      </c>
      <c r="W30" s="38" t="str">
        <f>IF(Datos!AL57=0,"",IFERROR(Datos!AL57&amp;" - "&amp;TEXT(Datos!AL57/(Datos!AL57+Datos!AL37),"0.0%"),""))</f>
        <v/>
      </c>
      <c r="X30" s="38" t="str">
        <f>IF(Datos!AM57=0,"",IFERROR(Datos!AM57&amp;" - "&amp;TEXT(Datos!AM57/(Datos!AM57+Datos!AM37),"0.0%"),""))</f>
        <v/>
      </c>
      <c r="Y30" s="38" t="str">
        <f>IF(Datos!AN57=0,"",IFERROR(Datos!AN57&amp;" - "&amp;TEXT(Datos!AN57/(Datos!AN57+Datos!AN37),"0.0%"),""))</f>
        <v/>
      </c>
      <c r="Z30" s="38">
        <f>Datos!AN57</f>
        <v>0</v>
      </c>
      <c r="AA30" s="16"/>
      <c r="AB30" s="16"/>
    </row>
    <row r="31" spans="1:28" ht="15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21" t="s">
        <v>20</v>
      </c>
      <c r="S31" s="29" t="str">
        <f>IF(Datos!AH58=0,"",IFERROR(Datos!AH58&amp;" - "&amp;TEXT(Datos!AH58/(Datos!AH58+Datos!AH38),"0.0%"),""))</f>
        <v/>
      </c>
      <c r="T31" s="29" t="str">
        <f>IF(Datos!AI58=0,"",IFERROR(Datos!AI58&amp;" - "&amp;TEXT(Datos!AI58/(Datos!AI58+Datos!AI38),"0.0%"),""))</f>
        <v/>
      </c>
      <c r="U31" s="29" t="str">
        <f>IF(Datos!AJ58=0,"",IFERROR(Datos!AJ58&amp;" - "&amp;TEXT(Datos!AJ58/(Datos!AJ58+Datos!AJ38),"0.0%"),""))</f>
        <v/>
      </c>
      <c r="V31" s="29" t="str">
        <f>IF(Datos!AK58=0,"",IFERROR(Datos!AK58&amp;" - "&amp;TEXT(Datos!AK58/(Datos!AK58+Datos!AK38),"0.0%"),""))</f>
        <v/>
      </c>
      <c r="W31" s="29" t="str">
        <f>IF(Datos!AL58=0,"",IFERROR(Datos!AL58&amp;" - "&amp;TEXT(Datos!AL58/(Datos!AL58+Datos!AL38),"0.0%"),""))</f>
        <v/>
      </c>
      <c r="X31" s="29" t="str">
        <f>IF(Datos!AM58=0,"",IFERROR(Datos!AM58&amp;" - "&amp;TEXT(Datos!AM58/(Datos!AM58+Datos!AM38),"0.0%"),""))</f>
        <v/>
      </c>
      <c r="Y31" s="29" t="str">
        <f>IF(Datos!AN58=0,"",IFERROR(Datos!AN58&amp;" - "&amp;TEXT(Datos!AN58/(Datos!AN58+Datos!AN38),"0.0%"),""))</f>
        <v/>
      </c>
      <c r="Z31" s="29">
        <f>Datos!AN58</f>
        <v>0</v>
      </c>
      <c r="AA31" s="16"/>
      <c r="AB31" s="16"/>
    </row>
    <row r="32" spans="1:28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5.7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28" t="s">
        <v>27</v>
      </c>
      <c r="S33" s="28" t="s">
        <v>1</v>
      </c>
      <c r="T33" s="28" t="s">
        <v>2</v>
      </c>
      <c r="U33" s="28" t="s">
        <v>3</v>
      </c>
      <c r="V33" s="28" t="s">
        <v>4</v>
      </c>
      <c r="W33" s="28" t="s">
        <v>5</v>
      </c>
      <c r="X33" s="28" t="s">
        <v>6</v>
      </c>
      <c r="Y33" s="28" t="s">
        <v>87</v>
      </c>
      <c r="Z33" s="28" t="s">
        <v>12</v>
      </c>
      <c r="AA33" s="16"/>
      <c r="AB33" s="16"/>
    </row>
    <row r="34" spans="1:28" ht="15.7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23" t="s">
        <v>22</v>
      </c>
      <c r="S34" s="37">
        <f>Datos!AH65</f>
        <v>0</v>
      </c>
      <c r="T34" s="33">
        <f>Datos!AI65</f>
        <v>0</v>
      </c>
      <c r="U34" s="33">
        <f>Datos!AJ65</f>
        <v>0</v>
      </c>
      <c r="V34" s="33">
        <f>Datos!AK65</f>
        <v>0</v>
      </c>
      <c r="W34" s="33">
        <f>Datos!AL65</f>
        <v>0</v>
      </c>
      <c r="X34" s="33">
        <f>Datos!AM65</f>
        <v>0</v>
      </c>
      <c r="Y34" s="33"/>
      <c r="Z34" s="37">
        <f>SUM(S34:X34)</f>
        <v>0</v>
      </c>
      <c r="AA34" s="16"/>
      <c r="AB34" s="16"/>
    </row>
    <row r="35" spans="1:28" ht="15.7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23" t="s">
        <v>23</v>
      </c>
      <c r="S35" s="37">
        <f>Datos!AH66</f>
        <v>0</v>
      </c>
      <c r="T35" s="37">
        <f>Datos!AI66</f>
        <v>0</v>
      </c>
      <c r="U35" s="37">
        <f>Datos!AJ66</f>
        <v>0</v>
      </c>
      <c r="V35" s="37">
        <f>Datos!AK66</f>
        <v>0</v>
      </c>
      <c r="W35" s="37">
        <f>Datos!AL66</f>
        <v>0</v>
      </c>
      <c r="X35" s="37">
        <f>Datos!AM66</f>
        <v>0</v>
      </c>
      <c r="Y35" s="37"/>
      <c r="Z35" s="37">
        <f>SUM(S35:X35)</f>
        <v>0</v>
      </c>
      <c r="AA35" s="16"/>
      <c r="AB35" s="16"/>
    </row>
    <row r="36" spans="1:28" ht="15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21" t="s">
        <v>20</v>
      </c>
      <c r="S36" s="34">
        <f t="shared" ref="S36:X36" si="2">SUM(S34:S35)</f>
        <v>0</v>
      </c>
      <c r="T36" s="34">
        <f t="shared" si="2"/>
        <v>0</v>
      </c>
      <c r="U36" s="34">
        <f t="shared" si="2"/>
        <v>0</v>
      </c>
      <c r="V36" s="34">
        <f t="shared" si="2"/>
        <v>0</v>
      </c>
      <c r="W36" s="34">
        <f t="shared" si="2"/>
        <v>0</v>
      </c>
      <c r="X36" s="34">
        <f t="shared" si="2"/>
        <v>0</v>
      </c>
      <c r="Y36" s="34"/>
      <c r="Z36" s="34">
        <f>SUM(S36:X36)</f>
        <v>0</v>
      </c>
      <c r="AA36" s="16"/>
      <c r="AB36" s="16"/>
    </row>
    <row r="37" spans="1:28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 t="s">
        <v>11</v>
      </c>
      <c r="T41" s="16"/>
      <c r="U41" s="16"/>
      <c r="V41" s="16"/>
      <c r="W41" s="16"/>
      <c r="X41" s="16"/>
      <c r="Y41" s="16"/>
      <c r="Z41" s="16"/>
      <c r="AA41" s="16"/>
      <c r="AB41" s="16"/>
    </row>
    <row r="42" spans="1:28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</sheetData>
  <sheetProtection algorithmName="SHA-512" hashValue="TTikTQ6Po/oT+ygRPyLniUO4myxyPtXNxuJ+4ivT+gctOWKU1lFFMeR4F3NRzJobwyylOUpOZjuT/ycxi/g3Cg==" saltValue="2Kl/bMkHcD+Y/kizsNZCCw==" spinCount="100000" sheet="1" objects="1" scenarios="1" selectLockedCells="1" selectUnlockedCells="1"/>
  <mergeCells count="8">
    <mergeCell ref="B17:B18"/>
    <mergeCell ref="B15:B16"/>
    <mergeCell ref="B13:B14"/>
    <mergeCell ref="B3:B4"/>
    <mergeCell ref="B5:B6"/>
    <mergeCell ref="B7:B8"/>
    <mergeCell ref="B9:B10"/>
    <mergeCell ref="B11:B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F291-A78D-48E6-9C00-E9834774167E}">
  <sheetPr codeName="Hoja2"/>
  <dimension ref="B1:X35"/>
  <sheetViews>
    <sheetView showGridLines="0" showRowColHeaders="0" zoomScale="92" zoomScaleNormal="92" workbookViewId="0">
      <pane ySplit="3" topLeftCell="A28" activePane="bottomLeft" state="frozen"/>
      <selection pane="bottomLeft" activeCell="N8" sqref="N8"/>
    </sheetView>
  </sheetViews>
  <sheetFormatPr baseColWidth="10" defaultRowHeight="12" x14ac:dyDescent="0.2"/>
  <cols>
    <col min="1" max="1" width="1.83203125" customWidth="1"/>
    <col min="2" max="2" width="20.33203125" bestFit="1" customWidth="1"/>
    <col min="3" max="3" width="19" bestFit="1" customWidth="1"/>
    <col min="4" max="4" width="16.6640625" bestFit="1" customWidth="1"/>
    <col min="5" max="5" width="10.6640625" bestFit="1" customWidth="1"/>
    <col min="6" max="6" width="1.6640625" customWidth="1"/>
    <col min="7" max="7" width="13.83203125" bestFit="1" customWidth="1"/>
    <col min="8" max="8" width="19.33203125" bestFit="1" customWidth="1"/>
    <col min="9" max="9" width="15.1640625" bestFit="1" customWidth="1"/>
    <col min="10" max="10" width="13" bestFit="1" customWidth="1"/>
    <col min="11" max="11" width="7.1640625" bestFit="1" customWidth="1"/>
    <col min="12" max="12" width="10.1640625" hidden="1" customWidth="1"/>
    <col min="13" max="13" width="10.1640625" customWidth="1"/>
    <col min="14" max="14" width="14.33203125" bestFit="1" customWidth="1"/>
    <col min="15" max="15" width="12" hidden="1" customWidth="1"/>
    <col min="16" max="16" width="1.83203125" hidden="1" customWidth="1"/>
    <col min="17" max="17" width="1.83203125" bestFit="1" customWidth="1"/>
    <col min="18" max="18" width="16.6640625" bestFit="1" customWidth="1"/>
    <col min="19" max="19" width="11.1640625" bestFit="1" customWidth="1"/>
    <col min="20" max="20" width="13" bestFit="1" customWidth="1"/>
    <col min="21" max="21" width="7.1640625" bestFit="1" customWidth="1"/>
    <col min="22" max="22" width="6" bestFit="1" customWidth="1"/>
    <col min="23" max="23" width="11.1640625" bestFit="1" customWidth="1"/>
    <col min="24" max="24" width="14" customWidth="1"/>
    <col min="25" max="25" width="15.1640625" bestFit="1" customWidth="1"/>
    <col min="26" max="26" width="13" bestFit="1" customWidth="1"/>
    <col min="27" max="28" width="13.83203125" bestFit="1" customWidth="1"/>
    <col min="29" max="29" width="18.83203125" bestFit="1" customWidth="1"/>
    <col min="30" max="30" width="23.1640625" bestFit="1" customWidth="1"/>
  </cols>
  <sheetData>
    <row r="1" spans="2:24" x14ac:dyDescent="0.2">
      <c r="R1" s="7" t="s">
        <v>47</v>
      </c>
      <c r="S1" t="s">
        <v>29</v>
      </c>
    </row>
    <row r="2" spans="2:24" ht="15" x14ac:dyDescent="0.25">
      <c r="G2" s="1"/>
      <c r="H2" s="7" t="s">
        <v>24</v>
      </c>
      <c r="I2" s="7" t="s">
        <v>10</v>
      </c>
      <c r="O2" s="1"/>
      <c r="P2" s="1"/>
      <c r="Q2" s="1"/>
    </row>
    <row r="3" spans="2:24" ht="15" x14ac:dyDescent="0.25">
      <c r="B3" s="39" t="s">
        <v>47</v>
      </c>
      <c r="C3" s="39" t="s">
        <v>48</v>
      </c>
      <c r="D3" s="39" t="s">
        <v>49</v>
      </c>
      <c r="E3" s="39" t="s">
        <v>50</v>
      </c>
      <c r="G3" s="39" t="s">
        <v>58</v>
      </c>
      <c r="H3" s="7" t="s">
        <v>47</v>
      </c>
      <c r="I3" t="s">
        <v>21</v>
      </c>
      <c r="J3" t="s">
        <v>23</v>
      </c>
      <c r="K3" t="s">
        <v>22</v>
      </c>
      <c r="L3" t="s">
        <v>44</v>
      </c>
      <c r="M3" s="75" t="str">
        <f>IF(L3="",K3,L3)</f>
        <v>Total altas</v>
      </c>
      <c r="N3" s="75" t="s">
        <v>81</v>
      </c>
      <c r="O3" s="1" t="s">
        <v>84</v>
      </c>
      <c r="P3" s="1"/>
      <c r="Q3" s="1"/>
      <c r="R3" s="7" t="s">
        <v>69</v>
      </c>
      <c r="S3" s="7" t="s">
        <v>53</v>
      </c>
      <c r="V3" s="57"/>
      <c r="W3" s="74" t="s">
        <v>85</v>
      </c>
    </row>
    <row r="4" spans="2:24" x14ac:dyDescent="0.2">
      <c r="B4" s="40" t="str">
        <f t="shared" ref="B4:B25" si="0">IF(H4="","",H4)</f>
        <v>Yareli Flores</v>
      </c>
      <c r="C4" s="43">
        <f>IF(H4="","",I4/IF(M4="",K4,M4))</f>
        <v>0.58620689655172409</v>
      </c>
      <c r="D4" s="43">
        <f>IF(H4="","",J4/IF(M4="",K4,M4))</f>
        <v>0.15517241379310345</v>
      </c>
      <c r="E4" s="44">
        <f>IF(H4="","",K4/IF(M4="",K4,M4))</f>
        <v>0.25862068965517243</v>
      </c>
      <c r="G4" s="79" t="str">
        <f>IFERROR(VLOOKUP(H4,Datos!C:D,2,0),"")</f>
        <v>Centro</v>
      </c>
      <c r="H4" t="s">
        <v>31</v>
      </c>
      <c r="I4" s="42">
        <v>34</v>
      </c>
      <c r="J4" s="42">
        <v>9</v>
      </c>
      <c r="K4" s="42">
        <v>15</v>
      </c>
      <c r="L4" s="42">
        <v>58</v>
      </c>
      <c r="M4" s="75">
        <f>IF(H4="","",IF(L4="",K4,L4))</f>
        <v>58</v>
      </c>
      <c r="N4" s="77">
        <f>_xlfn.XLOOKUP(H4,Datos!$AT$3:$AT$30,Datos!$AX$3:$AX$30,"")</f>
        <v>423867.4800000001</v>
      </c>
      <c r="O4" s="9">
        <f>$N$4</f>
        <v>423867.4800000001</v>
      </c>
      <c r="P4">
        <f>IF(AND(N4&gt;=LARGE($N$4:$N$31,5),M4&gt;=LARGE($M$4:$M$31,5)),1,0)</f>
        <v>1</v>
      </c>
      <c r="R4" s="7" t="s">
        <v>58</v>
      </c>
      <c r="S4" t="s">
        <v>86</v>
      </c>
      <c r="T4" t="s">
        <v>23</v>
      </c>
      <c r="U4" t="s">
        <v>22</v>
      </c>
      <c r="V4" s="57" t="s">
        <v>70</v>
      </c>
      <c r="W4" s="68" t="s">
        <v>86</v>
      </c>
    </row>
    <row r="5" spans="2:24" x14ac:dyDescent="0.2">
      <c r="B5" s="41" t="str">
        <f t="shared" si="0"/>
        <v>Ricardo Vidal</v>
      </c>
      <c r="C5" s="45">
        <f t="shared" ref="C5:C31" si="1">IF(H5="","",I5/IF(M5="",K5,M5))</f>
        <v>0.27777777777777779</v>
      </c>
      <c r="D5" s="45">
        <f t="shared" ref="D5:D31" si="2">IF(H5="","",J5/IF(M5="",K5,M5))</f>
        <v>0.5</v>
      </c>
      <c r="E5" s="46">
        <f t="shared" ref="E5:E31" si="3">IF(H5="","",K5/IF(M5="",K5,M5))</f>
        <v>0.22222222222222221</v>
      </c>
      <c r="G5" s="80" t="str">
        <f>IFERROR(VLOOKUP(H5,Datos!C:D,2,0),"")</f>
        <v>Magallanes</v>
      </c>
      <c r="H5" t="s">
        <v>36</v>
      </c>
      <c r="I5" s="42">
        <v>15</v>
      </c>
      <c r="J5" s="42">
        <v>27</v>
      </c>
      <c r="K5" s="42">
        <v>12</v>
      </c>
      <c r="L5" s="42">
        <v>54</v>
      </c>
      <c r="M5" s="75">
        <f t="shared" ref="M5:M31" si="4">IF(H5="","",IF(L5="",K5,L5))</f>
        <v>54</v>
      </c>
      <c r="N5" s="76">
        <f>_xlfn.XLOOKUP(H5,Datos!$AT$3:$AT$30,Datos!$AX$3:$AX$30,"")</f>
        <v>256792.68</v>
      </c>
      <c r="O5" s="9">
        <f t="shared" ref="O5:O31" si="5">$N$4</f>
        <v>423867.4800000001</v>
      </c>
      <c r="P5">
        <f t="shared" ref="P5:P31" si="6">IF(AND(N5&gt;=LARGE($N$4:$N$31,5),M5&gt;=LARGE($M$4:$M$31,5)),1,0)</f>
        <v>0</v>
      </c>
      <c r="R5" s="8" t="s">
        <v>108</v>
      </c>
      <c r="S5" s="81">
        <v>68</v>
      </c>
      <c r="T5" s="81">
        <v>45</v>
      </c>
      <c r="U5" s="81">
        <v>65</v>
      </c>
      <c r="V5" s="82">
        <v>178</v>
      </c>
      <c r="W5" s="83">
        <f>GETPIVOTDATA("Categoría",$S$5,"Región","NORTE","Categoría","Alta sin facturar")/GETPIVOTDATA("Categoría",$V$5,"Región","NORTE")</f>
        <v>0.38202247191011235</v>
      </c>
      <c r="X5" s="85"/>
    </row>
    <row r="6" spans="2:24" x14ac:dyDescent="0.2">
      <c r="B6" s="40" t="str">
        <f t="shared" si="0"/>
        <v>Marcos López</v>
      </c>
      <c r="C6" s="43">
        <f t="shared" si="1"/>
        <v>0.20930232558139536</v>
      </c>
      <c r="D6" s="43">
        <f t="shared" si="2"/>
        <v>0.79069767441860461</v>
      </c>
      <c r="E6" s="44">
        <f t="shared" si="3"/>
        <v>0</v>
      </c>
      <c r="G6" s="79" t="str">
        <f>IFERROR(VLOOKUP(H6,Datos!C:D,2,0),"")</f>
        <v>Sur</v>
      </c>
      <c r="H6" t="s">
        <v>66</v>
      </c>
      <c r="I6" s="42">
        <v>9</v>
      </c>
      <c r="J6" s="42">
        <v>34</v>
      </c>
      <c r="K6" s="42"/>
      <c r="L6" s="42">
        <v>43</v>
      </c>
      <c r="M6" s="75">
        <f t="shared" si="4"/>
        <v>43</v>
      </c>
      <c r="N6" s="77">
        <f>_xlfn.XLOOKUP(H6,Datos!$AT$3:$AT$30,Datos!$AX$3:$AX$30,"")</f>
        <v>312603.75999999983</v>
      </c>
      <c r="O6" s="9">
        <f t="shared" si="5"/>
        <v>423867.4800000001</v>
      </c>
      <c r="P6">
        <f t="shared" si="6"/>
        <v>0</v>
      </c>
      <c r="R6" s="8" t="s">
        <v>107</v>
      </c>
      <c r="S6" s="81">
        <v>141</v>
      </c>
      <c r="T6" s="81">
        <v>75</v>
      </c>
      <c r="U6" s="81">
        <v>79</v>
      </c>
      <c r="V6" s="82">
        <v>295</v>
      </c>
      <c r="W6" s="84">
        <f>GETPIVOTDATA("Categoría",$R$3,"Región","CENTRO","Categoría","Alta sin facturar")/GETPIVOTDATA("Categoría",$R$3,"Región","CENTRO")</f>
        <v>0.47796610169491527</v>
      </c>
      <c r="X6" s="85"/>
    </row>
    <row r="7" spans="2:24" x14ac:dyDescent="0.2">
      <c r="B7" s="41" t="str">
        <f t="shared" si="0"/>
        <v>Alfredo Almaráz</v>
      </c>
      <c r="C7" s="45">
        <f t="shared" si="1"/>
        <v>0.2558139534883721</v>
      </c>
      <c r="D7" s="45">
        <f t="shared" si="2"/>
        <v>0.41860465116279072</v>
      </c>
      <c r="E7" s="46">
        <f t="shared" si="3"/>
        <v>0.32558139534883723</v>
      </c>
      <c r="G7" s="80" t="str">
        <f>IFERROR(VLOOKUP(H7,Datos!C:D,2,0),"")</f>
        <v>Magallanes</v>
      </c>
      <c r="H7" t="s">
        <v>59</v>
      </c>
      <c r="I7" s="42">
        <v>11</v>
      </c>
      <c r="J7" s="42">
        <v>18</v>
      </c>
      <c r="K7" s="42">
        <v>14</v>
      </c>
      <c r="L7" s="42">
        <v>43</v>
      </c>
      <c r="M7" s="99">
        <f t="shared" si="4"/>
        <v>43</v>
      </c>
      <c r="N7" s="76">
        <f>_xlfn.XLOOKUP(H7,Datos!$AT$3:$AT$30,Datos!$AX$3:$AX$30,"")</f>
        <v>461678.84</v>
      </c>
      <c r="O7" s="9">
        <f t="shared" si="5"/>
        <v>423867.4800000001</v>
      </c>
      <c r="P7">
        <f t="shared" si="6"/>
        <v>1</v>
      </c>
      <c r="R7" s="8" t="s">
        <v>109</v>
      </c>
      <c r="S7" s="81">
        <v>25</v>
      </c>
      <c r="T7" s="81">
        <v>66</v>
      </c>
      <c r="U7" s="81">
        <v>28</v>
      </c>
      <c r="V7" s="82">
        <v>119</v>
      </c>
      <c r="W7" s="83">
        <f>GETPIVOTDATA("Categoría",$R$3,"Región","SUR","Categoría","Alta sin facturar")/GETPIVOTDATA("Categoría",$R$3,"Región","SUR")</f>
        <v>0.21008403361344538</v>
      </c>
      <c r="X7" s="85"/>
    </row>
    <row r="8" spans="2:24" x14ac:dyDescent="0.2">
      <c r="B8" s="40" t="str">
        <f t="shared" si="0"/>
        <v>Miguel Romero</v>
      </c>
      <c r="C8" s="43">
        <f t="shared" si="1"/>
        <v>0.45238095238095238</v>
      </c>
      <c r="D8" s="43">
        <f t="shared" si="2"/>
        <v>0.38095238095238093</v>
      </c>
      <c r="E8" s="44">
        <f t="shared" si="3"/>
        <v>0.16666666666666666</v>
      </c>
      <c r="G8" s="79" t="str">
        <f>IFERROR(VLOOKUP(H8,Datos!C:D,2,0),"")</f>
        <v>Centro</v>
      </c>
      <c r="H8" s="8" t="s">
        <v>97</v>
      </c>
      <c r="I8" s="42">
        <v>19</v>
      </c>
      <c r="J8" s="42">
        <v>16</v>
      </c>
      <c r="K8" s="42">
        <v>7</v>
      </c>
      <c r="L8" s="42">
        <v>42</v>
      </c>
      <c r="M8" s="75">
        <f t="shared" si="4"/>
        <v>42</v>
      </c>
      <c r="N8" s="77" t="str">
        <f>_xlfn.XLOOKUP(H8,Datos!$AT$3:$AT$30,Datos!$AX$3:$AX$30,"")</f>
        <v/>
      </c>
      <c r="O8" s="9">
        <f t="shared" si="5"/>
        <v>423867.4800000001</v>
      </c>
      <c r="P8">
        <f t="shared" si="6"/>
        <v>1</v>
      </c>
      <c r="R8" s="8" t="s">
        <v>68</v>
      </c>
      <c r="S8" s="81">
        <v>36</v>
      </c>
      <c r="T8" s="81">
        <v>63</v>
      </c>
      <c r="U8" s="81">
        <v>26</v>
      </c>
      <c r="V8" s="82">
        <v>125</v>
      </c>
      <c r="W8" s="84">
        <f>GETPIVOTDATA("Categoría",$R$3,"Región","MAGALLANES","Categoría","Alta sin facturar")/GETPIVOTDATA("Categoría",$R$3,"Región","MAGALLANES")</f>
        <v>0.28799999999999998</v>
      </c>
      <c r="X8" s="85"/>
    </row>
    <row r="9" spans="2:24" x14ac:dyDescent="0.2">
      <c r="B9" s="41" t="str">
        <f t="shared" si="0"/>
        <v>Genaro Castro</v>
      </c>
      <c r="C9" s="45">
        <f t="shared" si="1"/>
        <v>0.26190476190476192</v>
      </c>
      <c r="D9" s="45">
        <f t="shared" si="2"/>
        <v>0.35714285714285715</v>
      </c>
      <c r="E9" s="46">
        <f t="shared" si="3"/>
        <v>0.38095238095238093</v>
      </c>
      <c r="G9" s="80" t="str">
        <f>IFERROR(VLOOKUP(H9,Datos!C:D,2,0),"")</f>
        <v>Sur</v>
      </c>
      <c r="H9" t="s">
        <v>39</v>
      </c>
      <c r="I9" s="42">
        <v>11</v>
      </c>
      <c r="J9" s="42">
        <v>15</v>
      </c>
      <c r="K9" s="42">
        <v>16</v>
      </c>
      <c r="L9" s="42">
        <v>42</v>
      </c>
      <c r="M9" s="99">
        <f t="shared" si="4"/>
        <v>42</v>
      </c>
      <c r="N9" s="76">
        <f>_xlfn.XLOOKUP(H9,Datos!$AT$3:$AT$30,Datos!$AX$3:$AX$30,"")</f>
        <v>381845.32</v>
      </c>
      <c r="O9" s="9">
        <f t="shared" si="5"/>
        <v>423867.4800000001</v>
      </c>
      <c r="P9">
        <f t="shared" si="6"/>
        <v>0</v>
      </c>
    </row>
    <row r="10" spans="2:24" x14ac:dyDescent="0.2">
      <c r="B10" s="40" t="str">
        <f t="shared" si="0"/>
        <v>Christian Castellanos</v>
      </c>
      <c r="C10" s="43">
        <f t="shared" si="1"/>
        <v>0.52500000000000002</v>
      </c>
      <c r="D10" s="43">
        <f t="shared" si="2"/>
        <v>0.1</v>
      </c>
      <c r="E10" s="44">
        <f t="shared" si="3"/>
        <v>0.375</v>
      </c>
      <c r="G10" s="79" t="str">
        <f>IFERROR(VLOOKUP(H10,Datos!C:D,2,0),"")</f>
        <v>Norte</v>
      </c>
      <c r="H10" t="s">
        <v>34</v>
      </c>
      <c r="I10" s="42">
        <v>21</v>
      </c>
      <c r="J10" s="42">
        <v>4</v>
      </c>
      <c r="K10" s="42">
        <v>15</v>
      </c>
      <c r="L10" s="42">
        <v>40</v>
      </c>
      <c r="M10" s="75">
        <f t="shared" si="4"/>
        <v>40</v>
      </c>
      <c r="N10" s="77">
        <f>_xlfn.XLOOKUP(H10,Datos!$AT$3:$AT$30,Datos!$AX$3:$AX$30,"")</f>
        <v>836155.83999999985</v>
      </c>
      <c r="O10" s="9">
        <f t="shared" si="5"/>
        <v>423867.4800000001</v>
      </c>
      <c r="P10">
        <f t="shared" si="6"/>
        <v>0</v>
      </c>
      <c r="R10" s="72" t="s">
        <v>82</v>
      </c>
    </row>
    <row r="11" spans="2:24" x14ac:dyDescent="0.2">
      <c r="B11" s="41" t="str">
        <f t="shared" si="0"/>
        <v>Rubí Rodríguez</v>
      </c>
      <c r="C11" s="45">
        <f t="shared" si="1"/>
        <v>0.30303030303030304</v>
      </c>
      <c r="D11" s="45">
        <f t="shared" si="2"/>
        <v>0.36363636363636365</v>
      </c>
      <c r="E11" s="46">
        <f t="shared" si="3"/>
        <v>0.33333333333333331</v>
      </c>
      <c r="G11" s="80" t="str">
        <f>IFERROR(VLOOKUP(H11,Datos!C:D,2,0),"")</f>
        <v>Centro</v>
      </c>
      <c r="H11" s="8" t="s">
        <v>89</v>
      </c>
      <c r="I11" s="42">
        <v>10</v>
      </c>
      <c r="J11" s="42">
        <v>12</v>
      </c>
      <c r="K11" s="42">
        <v>11</v>
      </c>
      <c r="L11" s="42">
        <v>33</v>
      </c>
      <c r="M11" s="99">
        <f t="shared" si="4"/>
        <v>33</v>
      </c>
      <c r="N11" s="76">
        <f>_xlfn.XLOOKUP(H11,Datos!$AT$3:$AT$30,Datos!$AX$3:$AX$30,"")</f>
        <v>219351.36</v>
      </c>
      <c r="O11" s="9">
        <f t="shared" si="5"/>
        <v>423867.4800000001</v>
      </c>
      <c r="P11">
        <f t="shared" si="6"/>
        <v>0</v>
      </c>
      <c r="R11" s="73" t="s">
        <v>83</v>
      </c>
      <c r="S11" s="64"/>
    </row>
    <row r="12" spans="2:24" x14ac:dyDescent="0.2">
      <c r="B12" s="40" t="str">
        <f t="shared" si="0"/>
        <v>Dolores Jiménez</v>
      </c>
      <c r="C12" s="43">
        <f t="shared" si="1"/>
        <v>0.1875</v>
      </c>
      <c r="D12" s="43">
        <f t="shared" si="2"/>
        <v>0.21875</v>
      </c>
      <c r="E12" s="44">
        <f t="shared" si="3"/>
        <v>0.59375</v>
      </c>
      <c r="G12" s="79" t="str">
        <f>IFERROR(VLOOKUP(H12,Datos!C:D,2,0),"")</f>
        <v>Norte</v>
      </c>
      <c r="H12" t="s">
        <v>60</v>
      </c>
      <c r="I12" s="42">
        <v>6</v>
      </c>
      <c r="J12" s="42">
        <v>7</v>
      </c>
      <c r="K12" s="42">
        <v>19</v>
      </c>
      <c r="L12" s="42">
        <v>32</v>
      </c>
      <c r="M12" s="75">
        <f t="shared" si="4"/>
        <v>32</v>
      </c>
      <c r="N12" s="77">
        <f>_xlfn.XLOOKUP(H12,Datos!$AT$3:$AT$30,Datos!$AX$3:$AX$30,"")</f>
        <v>336259.64</v>
      </c>
      <c r="O12" s="9">
        <f t="shared" si="5"/>
        <v>423867.4800000001</v>
      </c>
      <c r="P12">
        <f t="shared" si="6"/>
        <v>0</v>
      </c>
    </row>
    <row r="13" spans="2:24" x14ac:dyDescent="0.2">
      <c r="B13" s="41" t="str">
        <f t="shared" si="0"/>
        <v>Iván Luna</v>
      </c>
      <c r="C13" s="45">
        <f t="shared" si="1"/>
        <v>0.41935483870967744</v>
      </c>
      <c r="D13" s="45">
        <f t="shared" si="2"/>
        <v>0.32258064516129031</v>
      </c>
      <c r="E13" s="46">
        <f t="shared" si="3"/>
        <v>0.25806451612903225</v>
      </c>
      <c r="G13" s="80" t="str">
        <f>IFERROR(VLOOKUP(H13,Datos!C:D,2,0),"")</f>
        <v>Norte</v>
      </c>
      <c r="H13" t="s">
        <v>62</v>
      </c>
      <c r="I13" s="42">
        <v>13</v>
      </c>
      <c r="J13" s="42">
        <v>10</v>
      </c>
      <c r="K13" s="42">
        <v>8</v>
      </c>
      <c r="L13" s="42">
        <v>31</v>
      </c>
      <c r="M13" s="99">
        <f t="shared" si="4"/>
        <v>31</v>
      </c>
      <c r="N13" s="76">
        <f>_xlfn.XLOOKUP(H13,Datos!$AT$3:$AT$30,Datos!$AX$3:$AX$30,"")</f>
        <v>2948272.2400000039</v>
      </c>
      <c r="O13" s="9">
        <f t="shared" si="5"/>
        <v>423867.4800000001</v>
      </c>
      <c r="P13">
        <f t="shared" si="6"/>
        <v>0</v>
      </c>
    </row>
    <row r="14" spans="2:24" x14ac:dyDescent="0.2">
      <c r="B14" s="40" t="str">
        <f t="shared" si="0"/>
        <v>Oscar Moreno</v>
      </c>
      <c r="C14" s="43">
        <f t="shared" si="1"/>
        <v>0.35714285714285715</v>
      </c>
      <c r="D14" s="43">
        <f t="shared" si="2"/>
        <v>0.6428571428571429</v>
      </c>
      <c r="E14" s="44">
        <f t="shared" si="3"/>
        <v>0</v>
      </c>
      <c r="G14" s="79" t="str">
        <f>IFERROR(VLOOKUP(H14,Datos!C:D,2,0),"")</f>
        <v>Magallanes</v>
      </c>
      <c r="H14" s="8" t="s">
        <v>33</v>
      </c>
      <c r="I14" s="42">
        <v>10</v>
      </c>
      <c r="J14" s="42">
        <v>18</v>
      </c>
      <c r="K14" s="42"/>
      <c r="L14" s="42">
        <v>28</v>
      </c>
      <c r="M14" s="75">
        <f t="shared" si="4"/>
        <v>28</v>
      </c>
      <c r="N14" s="77">
        <f>_xlfn.XLOOKUP(H14,Datos!$AT$3:$AT$30,Datos!$AX$3:$AX$30,"")</f>
        <v>99958.36000000003</v>
      </c>
      <c r="O14" s="9">
        <f t="shared" si="5"/>
        <v>423867.4800000001</v>
      </c>
      <c r="P14">
        <f t="shared" si="6"/>
        <v>0</v>
      </c>
      <c r="R14" s="78"/>
    </row>
    <row r="15" spans="2:24" x14ac:dyDescent="0.2">
      <c r="B15" s="41" t="str">
        <f t="shared" si="0"/>
        <v>Diana Tejadilla</v>
      </c>
      <c r="C15" s="45">
        <f t="shared" si="1"/>
        <v>0.4642857142857143</v>
      </c>
      <c r="D15" s="45">
        <f t="shared" si="2"/>
        <v>0.2857142857142857</v>
      </c>
      <c r="E15" s="46">
        <f t="shared" si="3"/>
        <v>0.25</v>
      </c>
      <c r="G15" s="80" t="str">
        <f>IFERROR(VLOOKUP(H15,Datos!C:D,2,0),"")</f>
        <v>Centro</v>
      </c>
      <c r="H15" t="s">
        <v>38</v>
      </c>
      <c r="I15" s="42">
        <v>13</v>
      </c>
      <c r="J15" s="42">
        <v>8</v>
      </c>
      <c r="K15" s="42">
        <v>7</v>
      </c>
      <c r="L15" s="42">
        <v>28</v>
      </c>
      <c r="M15" s="99">
        <f t="shared" si="4"/>
        <v>28</v>
      </c>
      <c r="N15" s="76">
        <f>_xlfn.XLOOKUP(H15,Datos!$AT$3:$AT$30,Datos!$AX$3:$AX$30,"")</f>
        <v>118622.76</v>
      </c>
      <c r="O15" s="9">
        <f t="shared" si="5"/>
        <v>423867.4800000001</v>
      </c>
      <c r="P15">
        <f t="shared" si="6"/>
        <v>0</v>
      </c>
    </row>
    <row r="16" spans="2:24" x14ac:dyDescent="0.2">
      <c r="B16" s="40" t="str">
        <f t="shared" si="0"/>
        <v>Yuritzi Alejo</v>
      </c>
      <c r="C16" s="43">
        <f t="shared" si="1"/>
        <v>0.44</v>
      </c>
      <c r="D16" s="43">
        <f t="shared" si="2"/>
        <v>0.16</v>
      </c>
      <c r="E16" s="44">
        <f t="shared" si="3"/>
        <v>0.4</v>
      </c>
      <c r="G16" s="79" t="str">
        <f>IFERROR(VLOOKUP(H16,Datos!C:D,2,0),"")</f>
        <v>Centro</v>
      </c>
      <c r="H16" t="s">
        <v>35</v>
      </c>
      <c r="I16" s="42">
        <v>11</v>
      </c>
      <c r="J16" s="42">
        <v>4</v>
      </c>
      <c r="K16" s="42">
        <v>10</v>
      </c>
      <c r="L16" s="42">
        <v>25</v>
      </c>
      <c r="M16" s="75">
        <f t="shared" si="4"/>
        <v>25</v>
      </c>
      <c r="N16" s="77">
        <f>_xlfn.XLOOKUP(H16,Datos!$AT$3:$AT$30,Datos!$AX$3:$AX$30,"")</f>
        <v>772279.8599999994</v>
      </c>
      <c r="O16" s="9">
        <f t="shared" si="5"/>
        <v>423867.4800000001</v>
      </c>
      <c r="P16">
        <f t="shared" si="6"/>
        <v>0</v>
      </c>
    </row>
    <row r="17" spans="2:16" x14ac:dyDescent="0.2">
      <c r="B17" s="41" t="str">
        <f t="shared" si="0"/>
        <v>Leonard Lule</v>
      </c>
      <c r="C17" s="45">
        <f t="shared" si="1"/>
        <v>0.125</v>
      </c>
      <c r="D17" s="45">
        <f t="shared" si="2"/>
        <v>0.375</v>
      </c>
      <c r="E17" s="46">
        <f t="shared" si="3"/>
        <v>0.5</v>
      </c>
      <c r="G17" s="80" t="str">
        <f>IFERROR(VLOOKUP(H17,Datos!C:D,2,0),"")</f>
        <v>Sur</v>
      </c>
      <c r="H17" s="8" t="s">
        <v>102</v>
      </c>
      <c r="I17" s="42">
        <v>3</v>
      </c>
      <c r="J17" s="42">
        <v>9</v>
      </c>
      <c r="K17" s="42">
        <v>12</v>
      </c>
      <c r="L17" s="42">
        <v>24</v>
      </c>
      <c r="M17" s="99">
        <f t="shared" si="4"/>
        <v>24</v>
      </c>
      <c r="N17" s="76" t="str">
        <f>_xlfn.XLOOKUP(H17,Datos!$AT$3:$AT$30,Datos!$AX$3:$AX$30,"")</f>
        <v/>
      </c>
      <c r="O17" s="9">
        <f t="shared" si="5"/>
        <v>423867.4800000001</v>
      </c>
      <c r="P17">
        <f t="shared" si="6"/>
        <v>0</v>
      </c>
    </row>
    <row r="18" spans="2:16" x14ac:dyDescent="0.2">
      <c r="B18" s="40" t="str">
        <f t="shared" si="0"/>
        <v>Yuriana Argüello</v>
      </c>
      <c r="C18" s="43">
        <f t="shared" si="1"/>
        <v>0.69565217391304346</v>
      </c>
      <c r="D18" s="43">
        <f t="shared" si="2"/>
        <v>0.2608695652173913</v>
      </c>
      <c r="E18" s="44">
        <f t="shared" si="3"/>
        <v>4.3478260869565216E-2</v>
      </c>
      <c r="G18" s="79" t="str">
        <f>IFERROR(VLOOKUP(H18,Datos!C:D,2,0),"")</f>
        <v>Centro</v>
      </c>
      <c r="H18" t="s">
        <v>75</v>
      </c>
      <c r="I18" s="42">
        <v>16</v>
      </c>
      <c r="J18" s="42">
        <v>6</v>
      </c>
      <c r="K18" s="42">
        <v>1</v>
      </c>
      <c r="L18" s="42">
        <v>23</v>
      </c>
      <c r="M18" s="75">
        <f t="shared" si="4"/>
        <v>23</v>
      </c>
      <c r="N18" s="77">
        <f>_xlfn.XLOOKUP(H18,Datos!$AT$3:$AT$30,Datos!$AX$3:$AX$30,"")</f>
        <v>319335.24</v>
      </c>
      <c r="O18" s="9">
        <f t="shared" si="5"/>
        <v>423867.4800000001</v>
      </c>
      <c r="P18">
        <f t="shared" si="6"/>
        <v>0</v>
      </c>
    </row>
    <row r="19" spans="2:16" x14ac:dyDescent="0.2">
      <c r="B19" s="41" t="str">
        <f t="shared" si="0"/>
        <v>Blanca Montoya</v>
      </c>
      <c r="C19" s="45">
        <f t="shared" si="1"/>
        <v>0.80952380952380953</v>
      </c>
      <c r="D19" s="45">
        <f t="shared" si="2"/>
        <v>9.5238095238095233E-2</v>
      </c>
      <c r="E19" s="46">
        <f t="shared" si="3"/>
        <v>9.5238095238095233E-2</v>
      </c>
      <c r="G19" s="80" t="str">
        <f>IFERROR(VLOOKUP(H19,Datos!C:D,2,0),"")</f>
        <v>Centro</v>
      </c>
      <c r="H19" s="8" t="s">
        <v>40</v>
      </c>
      <c r="I19" s="42">
        <v>17</v>
      </c>
      <c r="J19" s="42">
        <v>2</v>
      </c>
      <c r="K19" s="42">
        <v>2</v>
      </c>
      <c r="L19" s="42">
        <v>21</v>
      </c>
      <c r="M19" s="99">
        <f t="shared" si="4"/>
        <v>21</v>
      </c>
      <c r="N19" s="76">
        <f>_xlfn.XLOOKUP(H19,Datos!$AT$3:$AT$30,Datos!$AX$3:$AX$30,"")</f>
        <v>84231.080000000016</v>
      </c>
      <c r="O19" s="9">
        <f t="shared" si="5"/>
        <v>423867.4800000001</v>
      </c>
      <c r="P19">
        <f t="shared" si="6"/>
        <v>0</v>
      </c>
    </row>
    <row r="20" spans="2:16" x14ac:dyDescent="0.2">
      <c r="B20" s="40" t="str">
        <f t="shared" si="0"/>
        <v>Sandra Escoto</v>
      </c>
      <c r="C20" s="43">
        <f t="shared" si="1"/>
        <v>0.35</v>
      </c>
      <c r="D20" s="43">
        <f t="shared" si="2"/>
        <v>0.2</v>
      </c>
      <c r="E20" s="44">
        <f t="shared" si="3"/>
        <v>0.45</v>
      </c>
      <c r="G20" s="79" t="str">
        <f>IFERROR(VLOOKUP(H20,Datos!C:D,2,0),"")</f>
        <v>Centro</v>
      </c>
      <c r="H20" t="s">
        <v>41</v>
      </c>
      <c r="I20" s="42">
        <v>7</v>
      </c>
      <c r="J20" s="42">
        <v>4</v>
      </c>
      <c r="K20" s="42">
        <v>9</v>
      </c>
      <c r="L20" s="42">
        <v>20</v>
      </c>
      <c r="M20" s="75">
        <f t="shared" si="4"/>
        <v>20</v>
      </c>
      <c r="N20" s="77">
        <f>_xlfn.XLOOKUP(H20,Datos!$AT$3:$AT$30,Datos!$AX$3:$AX$30,"")</f>
        <v>218030.12</v>
      </c>
      <c r="O20" s="9">
        <f t="shared" si="5"/>
        <v>423867.4800000001</v>
      </c>
      <c r="P20">
        <f t="shared" si="6"/>
        <v>0</v>
      </c>
    </row>
    <row r="21" spans="2:16" x14ac:dyDescent="0.2">
      <c r="B21" s="41" t="str">
        <f t="shared" si="0"/>
        <v>Noemí Castillo</v>
      </c>
      <c r="C21" s="45">
        <f t="shared" si="1"/>
        <v>0.26315789473684209</v>
      </c>
      <c r="D21" s="45">
        <f t="shared" si="2"/>
        <v>0.36842105263157893</v>
      </c>
      <c r="E21" s="46">
        <f t="shared" si="3"/>
        <v>0.36842105263157893</v>
      </c>
      <c r="G21" s="80" t="str">
        <f>IFERROR(VLOOKUP(H21,Datos!C:D,2,0),"")</f>
        <v>Norte</v>
      </c>
      <c r="H21" s="8" t="s">
        <v>67</v>
      </c>
      <c r="I21" s="42">
        <v>5</v>
      </c>
      <c r="J21" s="42">
        <v>7</v>
      </c>
      <c r="K21" s="42">
        <v>7</v>
      </c>
      <c r="L21" s="42">
        <v>19</v>
      </c>
      <c r="M21" s="99">
        <f t="shared" si="4"/>
        <v>19</v>
      </c>
      <c r="N21" s="76">
        <f>_xlfn.XLOOKUP(H21,Datos!$AT$3:$AT$30,Datos!$AX$3:$AX$30,"")</f>
        <v>86697.240000000034</v>
      </c>
      <c r="O21" s="9">
        <f t="shared" si="5"/>
        <v>423867.4800000001</v>
      </c>
      <c r="P21">
        <f t="shared" si="6"/>
        <v>0</v>
      </c>
    </row>
    <row r="22" spans="2:16" x14ac:dyDescent="0.2">
      <c r="B22" s="40" t="str">
        <f t="shared" si="0"/>
        <v>Julio César Trejo</v>
      </c>
      <c r="C22" s="43">
        <f t="shared" si="1"/>
        <v>0.33333333333333331</v>
      </c>
      <c r="D22" s="43">
        <f t="shared" si="2"/>
        <v>0.22222222222222221</v>
      </c>
      <c r="E22" s="44">
        <f t="shared" si="3"/>
        <v>0.44444444444444442</v>
      </c>
      <c r="G22" s="79" t="str">
        <f>IFERROR(VLOOKUP(H22,Datos!C:D,2,0),"")</f>
        <v>Norte</v>
      </c>
      <c r="H22" t="s">
        <v>64</v>
      </c>
      <c r="I22" s="42">
        <v>6</v>
      </c>
      <c r="J22" s="42">
        <v>4</v>
      </c>
      <c r="K22" s="42">
        <v>8</v>
      </c>
      <c r="L22" s="42">
        <v>18</v>
      </c>
      <c r="M22" s="75">
        <f t="shared" si="4"/>
        <v>18</v>
      </c>
      <c r="N22" s="77">
        <f>_xlfn.XLOOKUP(H22,Datos!$AT$3:$AT$30,Datos!$AX$3:$AX$30,"")</f>
        <v>251318.6400000001</v>
      </c>
      <c r="O22" s="9">
        <f t="shared" si="5"/>
        <v>423867.4800000001</v>
      </c>
      <c r="P22">
        <f t="shared" si="6"/>
        <v>0</v>
      </c>
    </row>
    <row r="23" spans="2:16" x14ac:dyDescent="0.2">
      <c r="B23" s="41" t="str">
        <f t="shared" si="0"/>
        <v>Giovanni Salas</v>
      </c>
      <c r="C23" s="45">
        <f t="shared" si="1"/>
        <v>0.26666666666666666</v>
      </c>
      <c r="D23" s="45">
        <f t="shared" si="2"/>
        <v>0.4</v>
      </c>
      <c r="E23" s="46">
        <f t="shared" si="3"/>
        <v>0.33333333333333331</v>
      </c>
      <c r="G23" s="80" t="str">
        <f>IFERROR(VLOOKUP(H23,Datos!C:D,2,0),"")</f>
        <v>Norte</v>
      </c>
      <c r="H23" s="8" t="s">
        <v>42</v>
      </c>
      <c r="I23" s="42">
        <v>4</v>
      </c>
      <c r="J23" s="42">
        <v>6</v>
      </c>
      <c r="K23" s="42">
        <v>5</v>
      </c>
      <c r="L23" s="42">
        <v>15</v>
      </c>
      <c r="M23" s="99">
        <f t="shared" si="4"/>
        <v>15</v>
      </c>
      <c r="N23" s="76">
        <f>_xlfn.XLOOKUP(H23,Datos!$AT$3:$AT$30,Datos!$AX$3:$AX$30,"")</f>
        <v>263328.12</v>
      </c>
      <c r="O23" s="9">
        <f t="shared" si="5"/>
        <v>423867.4800000001</v>
      </c>
      <c r="P23">
        <f t="shared" si="6"/>
        <v>0</v>
      </c>
    </row>
    <row r="24" spans="2:16" x14ac:dyDescent="0.2">
      <c r="B24" s="40" t="str">
        <f t="shared" si="0"/>
        <v>Jose Carlos Orozco</v>
      </c>
      <c r="C24" s="43">
        <f t="shared" si="1"/>
        <v>0.21428571428571427</v>
      </c>
      <c r="D24" s="43">
        <f t="shared" si="2"/>
        <v>7.1428571428571425E-2</v>
      </c>
      <c r="E24" s="44">
        <f t="shared" si="3"/>
        <v>0.7142857142857143</v>
      </c>
      <c r="G24" s="79" t="str">
        <f>IFERROR(VLOOKUP(H24,Datos!C:D,2,0),"")</f>
        <v>Centro</v>
      </c>
      <c r="H24" t="s">
        <v>63</v>
      </c>
      <c r="I24" s="42">
        <v>3</v>
      </c>
      <c r="J24" s="42">
        <v>1</v>
      </c>
      <c r="K24" s="42">
        <v>10</v>
      </c>
      <c r="L24" s="42">
        <v>14</v>
      </c>
      <c r="M24" s="75">
        <f t="shared" si="4"/>
        <v>14</v>
      </c>
      <c r="N24" s="77">
        <f>_xlfn.XLOOKUP(H24,Datos!$AT$3:$AT$30,Datos!$AX$3:$AX$30,"")</f>
        <v>252958.88000000021</v>
      </c>
      <c r="O24" s="9">
        <f t="shared" si="5"/>
        <v>423867.4800000001</v>
      </c>
      <c r="P24">
        <f t="shared" si="6"/>
        <v>0</v>
      </c>
    </row>
    <row r="25" spans="2:16" x14ac:dyDescent="0.2">
      <c r="B25" s="41" t="str">
        <f t="shared" si="0"/>
        <v>Antonio Salazar</v>
      </c>
      <c r="C25" s="45">
        <f t="shared" si="1"/>
        <v>0.36363636363636365</v>
      </c>
      <c r="D25" s="45">
        <f t="shared" si="2"/>
        <v>0.54545454545454541</v>
      </c>
      <c r="E25" s="46">
        <f t="shared" si="3"/>
        <v>9.0909090909090912E-2</v>
      </c>
      <c r="G25" s="80" t="str">
        <f>IFERROR(VLOOKUP(H25,Datos!C:D,2,0),"")</f>
        <v>Norte</v>
      </c>
      <c r="H25" s="8" t="s">
        <v>32</v>
      </c>
      <c r="I25" s="42">
        <v>4</v>
      </c>
      <c r="J25" s="42">
        <v>6</v>
      </c>
      <c r="K25" s="42">
        <v>1</v>
      </c>
      <c r="L25" s="42">
        <v>11</v>
      </c>
      <c r="M25" s="99">
        <f t="shared" si="4"/>
        <v>11</v>
      </c>
      <c r="N25" s="76">
        <f>_xlfn.XLOOKUP(H25,Datos!$AT$3:$AT$30,Datos!$AX$3:$AX$30,"")</f>
        <v>39932.999999999993</v>
      </c>
      <c r="O25" s="9">
        <f t="shared" si="5"/>
        <v>423867.4800000001</v>
      </c>
      <c r="P25">
        <f t="shared" si="6"/>
        <v>0</v>
      </c>
    </row>
    <row r="26" spans="2:16" x14ac:dyDescent="0.2">
      <c r="B26" s="40" t="str">
        <f t="shared" ref="B26:B32" si="7">IF(H26="","",H26)</f>
        <v>Karla Ángeles</v>
      </c>
      <c r="C26" s="43">
        <f t="shared" si="1"/>
        <v>0.27272727272727271</v>
      </c>
      <c r="D26" s="43">
        <f t="shared" si="2"/>
        <v>0.45454545454545453</v>
      </c>
      <c r="E26" s="44">
        <f t="shared" si="3"/>
        <v>0.27272727272727271</v>
      </c>
      <c r="G26" s="79" t="str">
        <f>IFERROR(VLOOKUP(H26,Datos!C:D,2,0),"")</f>
        <v>Centro</v>
      </c>
      <c r="H26" t="s">
        <v>65</v>
      </c>
      <c r="I26" s="42">
        <v>3</v>
      </c>
      <c r="J26" s="42">
        <v>5</v>
      </c>
      <c r="K26" s="42">
        <v>3</v>
      </c>
      <c r="L26" s="42">
        <v>11</v>
      </c>
      <c r="M26" s="75">
        <f t="shared" si="4"/>
        <v>11</v>
      </c>
      <c r="N26" s="77">
        <f>_xlfn.XLOOKUP(H26,Datos!$AT$3:$AT$30,Datos!$AX$3:$AX$30,"")</f>
        <v>33425.400000000009</v>
      </c>
      <c r="O26" s="9">
        <f t="shared" si="5"/>
        <v>423867.4800000001</v>
      </c>
      <c r="P26">
        <f t="shared" si="6"/>
        <v>0</v>
      </c>
    </row>
    <row r="27" spans="2:16" x14ac:dyDescent="0.2">
      <c r="B27" s="41" t="str">
        <f t="shared" si="7"/>
        <v>Dulce González</v>
      </c>
      <c r="C27" s="45">
        <f t="shared" si="1"/>
        <v>0.5</v>
      </c>
      <c r="D27" s="45">
        <f t="shared" si="2"/>
        <v>0.2</v>
      </c>
      <c r="E27" s="46">
        <f t="shared" si="3"/>
        <v>0.3</v>
      </c>
      <c r="G27" s="80" t="str">
        <f>IFERROR(VLOOKUP(H27,Datos!C:D,2,0),"")</f>
        <v>Centro</v>
      </c>
      <c r="H27" t="s">
        <v>61</v>
      </c>
      <c r="I27" s="42">
        <v>5</v>
      </c>
      <c r="J27" s="42">
        <v>2</v>
      </c>
      <c r="K27" s="42">
        <v>3</v>
      </c>
      <c r="L27" s="42">
        <v>10</v>
      </c>
      <c r="M27" s="99">
        <f t="shared" si="4"/>
        <v>10</v>
      </c>
      <c r="N27" s="76">
        <f>_xlfn.XLOOKUP(H27,Datos!$AT$3:$AT$30,Datos!$AX$3:$AX$30,"")</f>
        <v>78962.209199999968</v>
      </c>
      <c r="O27" s="9">
        <f t="shared" si="5"/>
        <v>423867.4800000001</v>
      </c>
      <c r="P27">
        <f t="shared" si="6"/>
        <v>0</v>
      </c>
    </row>
    <row r="28" spans="2:16" x14ac:dyDescent="0.2">
      <c r="B28" s="40" t="str">
        <f t="shared" si="7"/>
        <v>Roger Gómez</v>
      </c>
      <c r="C28" s="43">
        <f t="shared" si="1"/>
        <v>0.14285714285714285</v>
      </c>
      <c r="D28" s="43">
        <f t="shared" si="2"/>
        <v>0.8571428571428571</v>
      </c>
      <c r="E28" s="44">
        <f t="shared" si="3"/>
        <v>0</v>
      </c>
      <c r="G28" s="79" t="str">
        <f>IFERROR(VLOOKUP(H28,Datos!C:D,2,0),"")</f>
        <v>Sur</v>
      </c>
      <c r="H28" s="8" t="s">
        <v>74</v>
      </c>
      <c r="I28" s="42">
        <v>1</v>
      </c>
      <c r="J28" s="42">
        <v>6</v>
      </c>
      <c r="K28" s="42"/>
      <c r="L28" s="42">
        <v>7</v>
      </c>
      <c r="M28" s="75">
        <f t="shared" si="4"/>
        <v>7</v>
      </c>
      <c r="N28" s="77">
        <f>_xlfn.XLOOKUP(H28,Datos!$AT$3:$AT$30,Datos!$AX$3:$AX$30,"")</f>
        <v>14593.96</v>
      </c>
      <c r="O28" s="9">
        <f t="shared" si="5"/>
        <v>423867.4800000001</v>
      </c>
      <c r="P28">
        <f t="shared" si="6"/>
        <v>0</v>
      </c>
    </row>
    <row r="29" spans="2:16" x14ac:dyDescent="0.2">
      <c r="B29" s="41" t="str">
        <f t="shared" si="7"/>
        <v>David Montañéz</v>
      </c>
      <c r="C29" s="45">
        <f t="shared" si="1"/>
        <v>0.33333333333333331</v>
      </c>
      <c r="D29" s="45">
        <f t="shared" si="2"/>
        <v>0.5</v>
      </c>
      <c r="E29" s="46">
        <f t="shared" si="3"/>
        <v>0.16666666666666666</v>
      </c>
      <c r="G29" s="80" t="str">
        <f>IFERROR(VLOOKUP(H29,Datos!C:D,2,0),"")</f>
        <v>Centro</v>
      </c>
      <c r="H29" s="8" t="s">
        <v>78</v>
      </c>
      <c r="I29" s="42">
        <v>2</v>
      </c>
      <c r="J29" s="42">
        <v>3</v>
      </c>
      <c r="K29" s="42">
        <v>1</v>
      </c>
      <c r="L29" s="42">
        <v>6</v>
      </c>
      <c r="M29" s="99">
        <f t="shared" si="4"/>
        <v>6</v>
      </c>
      <c r="N29" s="76">
        <f>_xlfn.XLOOKUP(H29,Datos!$AT$3:$AT$30,Datos!$AX$3:$AX$30,"")</f>
        <v>16365.279999999999</v>
      </c>
      <c r="O29" s="9">
        <f t="shared" si="5"/>
        <v>423867.4800000001</v>
      </c>
      <c r="P29">
        <f t="shared" si="6"/>
        <v>0</v>
      </c>
    </row>
    <row r="30" spans="2:16" x14ac:dyDescent="0.2">
      <c r="B30" s="40" t="str">
        <f t="shared" si="7"/>
        <v>Noe Acevedo</v>
      </c>
      <c r="C30" s="43">
        <f t="shared" si="1"/>
        <v>0.4</v>
      </c>
      <c r="D30" s="43">
        <f t="shared" si="2"/>
        <v>0.2</v>
      </c>
      <c r="E30" s="44">
        <f t="shared" si="3"/>
        <v>0.4</v>
      </c>
      <c r="G30" s="79" t="str">
        <f>IFERROR(VLOOKUP(H30,Datos!C:D,2,0),"")</f>
        <v>Norte</v>
      </c>
      <c r="H30" t="s">
        <v>37</v>
      </c>
      <c r="I30" s="42">
        <v>2</v>
      </c>
      <c r="J30" s="42">
        <v>1</v>
      </c>
      <c r="K30" s="42">
        <v>2</v>
      </c>
      <c r="L30" s="42">
        <v>5</v>
      </c>
      <c r="M30" s="75">
        <f t="shared" si="4"/>
        <v>5</v>
      </c>
      <c r="N30" s="77">
        <f>_xlfn.XLOOKUP(H30,Datos!$AT$3:$AT$30,Datos!$AX$3:$AX$30,"")</f>
        <v>117243.52000000002</v>
      </c>
      <c r="O30" s="9">
        <f t="shared" si="5"/>
        <v>423867.4800000001</v>
      </c>
      <c r="P30">
        <f t="shared" si="6"/>
        <v>0</v>
      </c>
    </row>
    <row r="31" spans="2:16" x14ac:dyDescent="0.2">
      <c r="B31" s="41" t="str">
        <f t="shared" si="7"/>
        <v>Antonio Hernández</v>
      </c>
      <c r="C31" s="45">
        <f t="shared" si="1"/>
        <v>1</v>
      </c>
      <c r="D31" s="45">
        <f t="shared" si="2"/>
        <v>0</v>
      </c>
      <c r="E31" s="46">
        <f t="shared" si="3"/>
        <v>0</v>
      </c>
      <c r="G31" s="80" t="str">
        <f>IFERROR(VLOOKUP(H31,Datos!C:D,2,0),"")</f>
        <v>Norte</v>
      </c>
      <c r="H31" s="8" t="s">
        <v>103</v>
      </c>
      <c r="I31" s="42">
        <v>4</v>
      </c>
      <c r="J31" s="42"/>
      <c r="K31" s="42"/>
      <c r="L31" s="42">
        <v>4</v>
      </c>
      <c r="M31" s="99">
        <f t="shared" si="4"/>
        <v>4</v>
      </c>
      <c r="N31" s="76" t="str">
        <f>_xlfn.XLOOKUP(H31,Datos!$AT$3:$AT$30,Datos!$AX$3:$AX$30,"")</f>
        <v/>
      </c>
      <c r="O31" s="9">
        <f t="shared" si="5"/>
        <v>423867.4800000001</v>
      </c>
      <c r="P31">
        <f t="shared" si="6"/>
        <v>0</v>
      </c>
    </row>
    <row r="32" spans="2:16" x14ac:dyDescent="0.2">
      <c r="B32" s="41" t="str">
        <f t="shared" si="7"/>
        <v>Carlos Guerra</v>
      </c>
      <c r="C32" s="45">
        <f>IF(H32="","",I32/IF(M32="",K32,M32))</f>
        <v>0.25</v>
      </c>
      <c r="D32" s="45">
        <f>IF(H32="","",J32/IF(M32="",K32,M32))</f>
        <v>0.75</v>
      </c>
      <c r="E32" s="46">
        <f>IF(H32="","",K32/IF(M32="",K32,M32))</f>
        <v>0</v>
      </c>
      <c r="G32" s="80" t="str">
        <f>IFERROR(VLOOKUP(H32,Datos!C:D,2,0),"")</f>
        <v>Centro</v>
      </c>
      <c r="H32" s="8" t="s">
        <v>43</v>
      </c>
      <c r="I32" s="42">
        <v>1</v>
      </c>
      <c r="J32" s="42">
        <v>3</v>
      </c>
      <c r="K32" s="42"/>
      <c r="L32" s="42">
        <v>4</v>
      </c>
      <c r="M32" s="99">
        <f>IF(H32="","",IF(L32="",K32,L32))</f>
        <v>4</v>
      </c>
      <c r="N32" s="76">
        <f>_xlfn.XLOOKUP(H32,Datos!$AT$3:$AT$30,Datos!$AX$3:$AX$30,"")</f>
        <v>92933.39999999998</v>
      </c>
    </row>
    <row r="33" spans="8:14" x14ac:dyDescent="0.2">
      <c r="H33" t="s">
        <v>76</v>
      </c>
      <c r="I33" s="42">
        <v>1</v>
      </c>
      <c r="J33" s="42">
        <v>2</v>
      </c>
      <c r="K33" s="42"/>
      <c r="L33" s="42">
        <v>3</v>
      </c>
      <c r="M33" s="99">
        <f>IF(H33="","",IF(L33="",K33,L33))</f>
        <v>3</v>
      </c>
      <c r="N33" s="76">
        <f>_xlfn.XLOOKUP(H33,Datos!$AT$3:$AT$30,Datos!$AX$3:$AX$30,"")</f>
        <v>4796.6000000000004</v>
      </c>
    </row>
    <row r="34" spans="8:14" x14ac:dyDescent="0.2">
      <c r="H34" s="8" t="s">
        <v>104</v>
      </c>
      <c r="I34" s="42">
        <v>2</v>
      </c>
      <c r="J34" s="42"/>
      <c r="K34" s="42"/>
      <c r="L34" s="42">
        <v>2</v>
      </c>
      <c r="M34" s="99">
        <f>IF(H34="","",IF(L34="",K34,L34))</f>
        <v>2</v>
      </c>
      <c r="N34" s="76" t="str">
        <f>_xlfn.XLOOKUP(H34,Datos!$AT$3:$AT$30,Datos!$AX$3:$AX$30,"")</f>
        <v/>
      </c>
    </row>
    <row r="35" spans="8:14" x14ac:dyDescent="0.2">
      <c r="H35" s="8" t="s">
        <v>105</v>
      </c>
      <c r="I35" s="42">
        <v>1</v>
      </c>
      <c r="J35" s="42"/>
      <c r="K35" s="42"/>
      <c r="L35" s="42">
        <v>1</v>
      </c>
      <c r="M35" s="99">
        <f>IF(H35="","",IF(L35="",K35,L35))</f>
        <v>1</v>
      </c>
      <c r="N35" s="76" t="str">
        <f>_xlfn.XLOOKUP(H35,Datos!$AT$3:$AT$30,Datos!$AX$3:$AX$30,"")</f>
        <v/>
      </c>
    </row>
  </sheetData>
  <sheetProtection algorithmName="SHA-512" hashValue="uuplk0UP7E972uGF8IjVIhwdsx6Lbs/lQit2EQTfvlL8IcltZhQkScycpyWl9oG20KqYw2f4h2baKBBKEBstxA==" saltValue="Lip1srZ0sONgE9zUUnrfyA==" spinCount="100000" sheet="1" autoFilter="0"/>
  <conditionalFormatting sqref="H4:H31">
    <cfRule type="expression" dxfId="4" priority="5">
      <formula>P4&gt;=1</formula>
    </cfRule>
  </conditionalFormatting>
  <conditionalFormatting sqref="N4:N35">
    <cfRule type="cellIs" dxfId="3" priority="16" operator="equal">
      <formula>""</formula>
    </cfRule>
    <cfRule type="expression" dxfId="2" priority="20">
      <formula>N4&gt;=LARGE($N$4:$N$31,5)</formula>
    </cfRule>
  </conditionalFormatting>
  <conditionalFormatting sqref="N25:N35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6832-EA91-4436-A587-729A675DD63C}">
  <sheetPr codeName="Hoja3"/>
  <dimension ref="A1:EY731"/>
  <sheetViews>
    <sheetView workbookViewId="0">
      <selection activeCell="E3" sqref="E3"/>
    </sheetView>
  </sheetViews>
  <sheetFormatPr baseColWidth="10" defaultColWidth="10.83203125" defaultRowHeight="15" x14ac:dyDescent="0.25"/>
  <cols>
    <col min="1" max="1" width="15.6640625" style="1" customWidth="1"/>
    <col min="2" max="2" width="8.1640625" style="1" bestFit="1" customWidth="1"/>
    <col min="3" max="3" width="20.1640625" style="1" bestFit="1" customWidth="1"/>
    <col min="4" max="4" width="9.6640625" style="1" customWidth="1"/>
    <col min="5" max="5" width="18.1640625" style="1" customWidth="1"/>
    <col min="6" max="6" width="15.6640625" style="4" bestFit="1" customWidth="1"/>
    <col min="7" max="11" width="13.83203125" style="4" bestFit="1" customWidth="1"/>
    <col min="12" max="13" width="13.83203125" style="4" customWidth="1"/>
    <col min="14" max="14" width="17.83203125" style="4" bestFit="1" customWidth="1"/>
    <col min="15" max="15" width="15.33203125" style="4" bestFit="1" customWidth="1"/>
    <col min="16" max="17" width="15.33203125" style="1" bestFit="1" customWidth="1"/>
    <col min="18" max="18" width="15.6640625" style="1" bestFit="1" customWidth="1"/>
    <col min="19" max="19" width="15.1640625" style="1" bestFit="1" customWidth="1"/>
    <col min="20" max="20" width="12.1640625" style="1" bestFit="1" customWidth="1"/>
    <col min="21" max="21" width="13.83203125" style="1" bestFit="1" customWidth="1"/>
    <col min="22" max="22" width="13" style="1" bestFit="1" customWidth="1"/>
    <col min="23" max="23" width="11.1640625" style="1" bestFit="1" customWidth="1"/>
    <col min="24" max="24" width="10.1640625" style="1" bestFit="1" customWidth="1"/>
    <col min="25" max="25" width="12.6640625" style="1" bestFit="1" customWidth="1"/>
    <col min="26" max="26" width="11" style="1" bestFit="1" customWidth="1"/>
    <col min="27" max="28" width="12.33203125" style="1" bestFit="1" customWidth="1"/>
    <col min="29" max="29" width="12.33203125" style="1" customWidth="1"/>
    <col min="30" max="30" width="9" style="1" bestFit="1" customWidth="1"/>
    <col min="31" max="31" width="8.6640625" style="1" bestFit="1" customWidth="1"/>
    <col min="32" max="32" width="24.6640625" style="1" bestFit="1" customWidth="1"/>
    <col min="33" max="33" width="20.1640625" style="1" bestFit="1" customWidth="1"/>
    <col min="34" max="34" width="15.1640625" style="1" bestFit="1" customWidth="1"/>
    <col min="35" max="35" width="15" style="1" bestFit="1" customWidth="1"/>
    <col min="36" max="37" width="15.1640625" style="1" bestFit="1" customWidth="1"/>
    <col min="38" max="38" width="12.1640625" style="1" bestFit="1" customWidth="1"/>
    <col min="39" max="39" width="15.1640625" style="1" bestFit="1" customWidth="1"/>
    <col min="40" max="40" width="15" style="1" bestFit="1" customWidth="1"/>
    <col min="41" max="41" width="12.6640625" style="1" bestFit="1" customWidth="1"/>
    <col min="42" max="42" width="15.1640625" style="1" bestFit="1" customWidth="1"/>
    <col min="43" max="43" width="13" style="1" bestFit="1" customWidth="1"/>
    <col min="44" max="44" width="20.33203125" style="1" bestFit="1" customWidth="1"/>
    <col min="45" max="46" width="23.1640625" style="1" bestFit="1" customWidth="1"/>
    <col min="47" max="47" width="15.1640625" style="1" bestFit="1" customWidth="1"/>
    <col min="48" max="48" width="13" style="1" bestFit="1" customWidth="1"/>
    <col min="49" max="50" width="13.83203125" style="1" bestFit="1" customWidth="1"/>
    <col min="51" max="54" width="10" style="1" bestFit="1" customWidth="1"/>
    <col min="55" max="55" width="11.1640625" style="1" bestFit="1" customWidth="1"/>
    <col min="56" max="56" width="10.1640625" style="1" bestFit="1" customWidth="1"/>
    <col min="57" max="57" width="12.1640625" style="1" bestFit="1" customWidth="1"/>
    <col min="58" max="58" width="10" style="1" bestFit="1" customWidth="1"/>
    <col min="59" max="59" width="10.6640625" style="1" bestFit="1" customWidth="1"/>
    <col min="60" max="61" width="11.1640625" style="1" bestFit="1" customWidth="1"/>
    <col min="62" max="62" width="12.1640625" style="1" bestFit="1" customWidth="1"/>
    <col min="63" max="65" width="10" style="1" bestFit="1" customWidth="1"/>
    <col min="66" max="67" width="8.33203125" style="1" bestFit="1" customWidth="1"/>
    <col min="68" max="68" width="9.5" style="1" bestFit="1" customWidth="1"/>
    <col min="69" max="69" width="10.1640625" style="1" bestFit="1" customWidth="1"/>
    <col min="70" max="70" width="11.1640625" style="1" bestFit="1" customWidth="1"/>
    <col min="71" max="71" width="12.1640625" style="1" bestFit="1" customWidth="1"/>
    <col min="72" max="73" width="10" style="1" bestFit="1" customWidth="1"/>
    <col min="74" max="74" width="10.6640625" style="1" bestFit="1" customWidth="1"/>
    <col min="75" max="75" width="10.1640625" style="1" bestFit="1" customWidth="1"/>
    <col min="76" max="76" width="10" style="1" bestFit="1" customWidth="1"/>
    <col min="77" max="77" width="12.1640625" style="1" bestFit="1" customWidth="1"/>
    <col min="78" max="79" width="10" style="1" bestFit="1" customWidth="1"/>
    <col min="80" max="80" width="10.6640625" style="1" bestFit="1" customWidth="1"/>
    <col min="81" max="81" width="12.33203125" style="1" bestFit="1" customWidth="1"/>
    <col min="82" max="82" width="11.1640625" style="1" bestFit="1" customWidth="1"/>
    <col min="83" max="83" width="14.5" style="1" bestFit="1" customWidth="1"/>
    <col min="84" max="84" width="12.6640625" style="1" bestFit="1" customWidth="1"/>
    <col min="85" max="85" width="8.33203125" style="1" bestFit="1" customWidth="1"/>
    <col min="86" max="86" width="9.5" style="1" bestFit="1" customWidth="1"/>
    <col min="87" max="87" width="10.1640625" style="1" bestFit="1" customWidth="1"/>
    <col min="88" max="88" width="10" style="1" bestFit="1" customWidth="1"/>
    <col min="89" max="89" width="11.1640625" style="1" bestFit="1" customWidth="1"/>
    <col min="90" max="90" width="12.1640625" style="1" bestFit="1" customWidth="1"/>
    <col min="91" max="93" width="10" style="1" bestFit="1" customWidth="1"/>
    <col min="94" max="94" width="10.6640625" style="1" bestFit="1" customWidth="1"/>
    <col min="95" max="95" width="10.1640625" style="1" bestFit="1" customWidth="1"/>
    <col min="96" max="97" width="10" style="1" bestFit="1" customWidth="1"/>
    <col min="98" max="98" width="12.1640625" style="1" bestFit="1" customWidth="1"/>
    <col min="99" max="101" width="10" style="1" bestFit="1" customWidth="1"/>
    <col min="102" max="102" width="10.6640625" style="1" bestFit="1" customWidth="1"/>
    <col min="103" max="103" width="12.33203125" style="1" bestFit="1" customWidth="1"/>
    <col min="104" max="105" width="11.1640625" style="1" bestFit="1" customWidth="1"/>
    <col min="106" max="106" width="14.5" style="1" bestFit="1" customWidth="1"/>
    <col min="107" max="107" width="12.6640625" style="1" bestFit="1" customWidth="1"/>
    <col min="108" max="111" width="10" style="1" bestFit="1" customWidth="1"/>
    <col min="112" max="112" width="10.6640625" style="1" bestFit="1" customWidth="1"/>
    <col min="113" max="113" width="10.1640625" style="1" bestFit="1" customWidth="1"/>
    <col min="114" max="114" width="10" style="1" bestFit="1" customWidth="1"/>
    <col min="115" max="115" width="12.1640625" style="1" bestFit="1" customWidth="1"/>
    <col min="116" max="116" width="10" style="1" bestFit="1" customWidth="1"/>
    <col min="117" max="117" width="12.1640625" style="1" bestFit="1" customWidth="1"/>
    <col min="118" max="121" width="10" style="1" bestFit="1" customWidth="1"/>
    <col min="122" max="122" width="10.6640625" style="1" bestFit="1" customWidth="1"/>
    <col min="123" max="123" width="12.33203125" style="1" bestFit="1" customWidth="1"/>
    <col min="124" max="126" width="11.1640625" style="1" bestFit="1" customWidth="1"/>
    <col min="127" max="127" width="14.5" style="1" bestFit="1" customWidth="1"/>
    <col min="128" max="128" width="12.6640625" style="1" bestFit="1" customWidth="1"/>
    <col min="129" max="130" width="10" style="1" bestFit="1" customWidth="1"/>
    <col min="131" max="131" width="10.6640625" style="1" bestFit="1" customWidth="1"/>
    <col min="132" max="132" width="11.1640625" style="1" bestFit="1" customWidth="1"/>
    <col min="133" max="133" width="10" style="1" bestFit="1" customWidth="1"/>
    <col min="134" max="134" width="12.1640625" style="1" bestFit="1" customWidth="1"/>
    <col min="135" max="135" width="13.33203125" style="1" bestFit="1" customWidth="1"/>
    <col min="136" max="136" width="10" style="1" bestFit="1" customWidth="1"/>
    <col min="137" max="137" width="12.1640625" style="1" bestFit="1" customWidth="1"/>
    <col min="138" max="142" width="10" style="1" bestFit="1" customWidth="1"/>
    <col min="143" max="143" width="10.6640625" style="1" bestFit="1" customWidth="1"/>
    <col min="144" max="144" width="12.33203125" style="1" bestFit="1" customWidth="1"/>
    <col min="145" max="148" width="11.1640625" style="1" bestFit="1" customWidth="1"/>
    <col min="149" max="149" width="14.5" style="1" bestFit="1" customWidth="1"/>
    <col min="150" max="150" width="12.6640625" style="1" bestFit="1" customWidth="1"/>
    <col min="151" max="16384" width="10.83203125" style="1"/>
  </cols>
  <sheetData>
    <row r="1" spans="1:51" ht="28.9" customHeight="1" x14ac:dyDescent="0.25">
      <c r="A1" s="101" t="s">
        <v>0</v>
      </c>
      <c r="B1" s="101" t="s">
        <v>19</v>
      </c>
      <c r="C1" s="101" t="s">
        <v>47</v>
      </c>
      <c r="D1" s="101" t="s">
        <v>58</v>
      </c>
      <c r="E1" s="101" t="s">
        <v>57</v>
      </c>
      <c r="F1" s="101" t="s">
        <v>10</v>
      </c>
      <c r="G1" s="101" t="s">
        <v>88</v>
      </c>
      <c r="H1" s="101" t="s">
        <v>8</v>
      </c>
      <c r="I1" s="102" t="s">
        <v>1</v>
      </c>
      <c r="J1" s="102" t="s">
        <v>2</v>
      </c>
      <c r="K1" s="102" t="s">
        <v>3</v>
      </c>
      <c r="L1" s="102" t="s">
        <v>4</v>
      </c>
      <c r="M1" s="102" t="s">
        <v>5</v>
      </c>
      <c r="N1" s="102" t="s">
        <v>6</v>
      </c>
      <c r="O1" s="102" t="s">
        <v>87</v>
      </c>
      <c r="P1" s="102" t="s">
        <v>95</v>
      </c>
      <c r="Q1" s="102" t="s">
        <v>7</v>
      </c>
      <c r="R1" s="102" t="s">
        <v>93</v>
      </c>
      <c r="S1" s="101" t="s">
        <v>8</v>
      </c>
      <c r="T1" s="101" t="s">
        <v>92</v>
      </c>
      <c r="U1" s="101" t="s">
        <v>9</v>
      </c>
      <c r="V1" s="101" t="s">
        <v>10</v>
      </c>
      <c r="W1" s="101" t="s">
        <v>26</v>
      </c>
      <c r="X1" s="101" t="s">
        <v>15</v>
      </c>
      <c r="Y1" s="101" t="s">
        <v>17</v>
      </c>
      <c r="Z1" s="101" t="s">
        <v>16</v>
      </c>
      <c r="AA1" s="101" t="s">
        <v>13</v>
      </c>
      <c r="AB1" s="101" t="s">
        <v>14</v>
      </c>
      <c r="AC1" s="101" t="s">
        <v>18</v>
      </c>
      <c r="AD1" s="101" t="s">
        <v>91</v>
      </c>
      <c r="AE1" s="101" t="s">
        <v>80</v>
      </c>
      <c r="AQ1" s="62" t="s">
        <v>71</v>
      </c>
      <c r="AR1" s="63" t="s">
        <v>72</v>
      </c>
      <c r="AT1" s="7" t="s">
        <v>25</v>
      </c>
      <c r="AU1" s="7" t="s">
        <v>10</v>
      </c>
      <c r="AV1"/>
      <c r="AW1"/>
      <c r="AX1"/>
      <c r="AY1"/>
    </row>
    <row r="2" spans="1:51" x14ac:dyDescent="0.25">
      <c r="A2" s="6">
        <v>44564</v>
      </c>
      <c r="B2" t="str">
        <f t="shared" ref="B2:B65" si="0">PROPER(TEXT(A2,"mmmm"))</f>
        <v>Enero</v>
      </c>
      <c r="C2" s="1" t="s">
        <v>97</v>
      </c>
      <c r="D2" s="58" t="str">
        <f>VLOOKUP(Datos!$C2,$AQ$2:$AR$41,2,0)</f>
        <v>Centro</v>
      </c>
      <c r="E2" s="1">
        <v>23080</v>
      </c>
      <c r="F2" s="1" t="str">
        <f t="array" ref="F2">_xlfn.IFS(H2=0,"Alta sin facturar",H2&gt;2,"Cliente",H2&gt;0,"Cliente nuevo")</f>
        <v>Alta sin facturar</v>
      </c>
      <c r="G2" s="1"/>
      <c r="H2" s="1">
        <f>COUNTIF(I2:P2,"&gt;0")</f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89">
        <v>0</v>
      </c>
      <c r="O2" s="89">
        <v>0</v>
      </c>
      <c r="P2" s="89">
        <v>0</v>
      </c>
      <c r="Q2" s="54">
        <f t="shared" ref="Q2:Q65" si="1">SUBTOTAL(109,I2:P2)</f>
        <v>0</v>
      </c>
      <c r="R2" s="89"/>
      <c r="S2" s="92">
        <f>COUNTIF(I2:P2,"&gt;0")</f>
        <v>0</v>
      </c>
      <c r="T2" s="59">
        <f t="shared" ref="T2:T65" si="2">Q2-R2</f>
        <v>0</v>
      </c>
      <c r="U2" s="60">
        <f t="shared" ref="U2:U65" si="3">IF(Q2=0,0,R2/Q2)</f>
        <v>0</v>
      </c>
      <c r="V2" s="59" t="str">
        <f t="array" ref="V2">_xlfn.IFS(S2=0,"Alta sin facturar",S2&gt;2,"Cliente",S2&gt;0,"Cliente nuevo")</f>
        <v>Alta sin facturar</v>
      </c>
      <c r="W2" s="59" t="str">
        <f>IF(T2&lt;1,"Sin pago","Ha pagado")</f>
        <v>Sin pago</v>
      </c>
      <c r="X2" s="3"/>
      <c r="Y2" s="3"/>
      <c r="Z2" s="3"/>
      <c r="AA2" s="3"/>
      <c r="AB2" s="3"/>
      <c r="AC2" s="3"/>
      <c r="AD2" s="3"/>
      <c r="AE2" s="3"/>
      <c r="AG2" s="7" t="s">
        <v>47</v>
      </c>
      <c r="AH2" t="s">
        <v>113</v>
      </c>
      <c r="AI2"/>
      <c r="AJ2"/>
      <c r="AK2"/>
      <c r="AL2"/>
      <c r="AM2"/>
      <c r="AN2"/>
      <c r="AQ2" s="61" t="s">
        <v>62</v>
      </c>
      <c r="AR2" s="61" t="s">
        <v>108</v>
      </c>
      <c r="AT2" s="7" t="s">
        <v>47</v>
      </c>
      <c r="AU2" t="s">
        <v>21</v>
      </c>
      <c r="AV2" t="s">
        <v>23</v>
      </c>
      <c r="AW2" t="s">
        <v>22</v>
      </c>
      <c r="AX2" t="s">
        <v>20</v>
      </c>
      <c r="AY2"/>
    </row>
    <row r="3" spans="1:51" x14ac:dyDescent="0.25">
      <c r="A3" s="6">
        <v>44564</v>
      </c>
      <c r="B3" t="str">
        <f t="shared" si="0"/>
        <v>Enero</v>
      </c>
      <c r="C3" s="1" t="s">
        <v>41</v>
      </c>
      <c r="D3" s="58" t="str">
        <f>VLOOKUP(Datos!$C3,$AQ$2:$AR$41,2,0)</f>
        <v>Centro</v>
      </c>
      <c r="E3" s="1">
        <v>23081</v>
      </c>
      <c r="F3" s="1" t="str">
        <f t="array" ref="F3">_xlfn.IFS(H3=0,"Alta sin facturar",H3&gt;2,"Cliente",H3&gt;0,"Cliente nuevo")</f>
        <v>Cliente</v>
      </c>
      <c r="G3" s="1"/>
      <c r="H3" s="1">
        <f t="shared" ref="H3:H66" si="4">COUNTIF(I3:P3,"&gt;0")</f>
        <v>8</v>
      </c>
      <c r="I3" s="2">
        <v>5336</v>
      </c>
      <c r="J3" s="2">
        <v>5744.3200000000024</v>
      </c>
      <c r="K3" s="2">
        <v>9239.4000000000015</v>
      </c>
      <c r="L3" s="2">
        <v>8745.2400000000034</v>
      </c>
      <c r="M3" s="2">
        <v>6961.16</v>
      </c>
      <c r="N3" s="89">
        <v>8067.8</v>
      </c>
      <c r="O3" s="89">
        <v>9052.64</v>
      </c>
      <c r="P3" s="89">
        <v>8302.1199999999953</v>
      </c>
      <c r="Q3" s="54">
        <f t="shared" si="1"/>
        <v>61448.680000000008</v>
      </c>
      <c r="R3" s="89">
        <v>228.52</v>
      </c>
      <c r="S3" s="92">
        <f t="shared" ref="S3:S66" si="5">COUNTIF(I3:P3,"&gt;0")</f>
        <v>8</v>
      </c>
      <c r="T3" s="59">
        <f t="shared" si="2"/>
        <v>61220.160000000011</v>
      </c>
      <c r="U3" s="60">
        <f t="shared" si="3"/>
        <v>3.7188756536348701E-3</v>
      </c>
      <c r="V3" s="59" t="str">
        <f t="array" ref="V3">_xlfn.IFS(S3=0,"Alta sin facturar",S3&gt;2,"Cliente",S3&gt;0,"Cliente nuevo")</f>
        <v>Cliente</v>
      </c>
      <c r="W3" s="59" t="str">
        <f t="shared" ref="W3:W66" si="6">IF(T3&lt;1,"Sin pago","Ha pagado")</f>
        <v>Ha pagado</v>
      </c>
      <c r="X3" s="3"/>
      <c r="Y3" s="3"/>
      <c r="Z3" s="3"/>
      <c r="AA3" s="3"/>
      <c r="AB3" s="3"/>
      <c r="AC3" s="3"/>
      <c r="AD3" s="3"/>
      <c r="AE3" s="3"/>
      <c r="AL3"/>
      <c r="AM3"/>
      <c r="AN3"/>
      <c r="AO3"/>
      <c r="AP3"/>
      <c r="AQ3" s="61" t="s">
        <v>110</v>
      </c>
      <c r="AR3" s="61" t="s">
        <v>107</v>
      </c>
      <c r="AT3" s="8" t="s">
        <v>32</v>
      </c>
      <c r="AU3" s="42">
        <v>0</v>
      </c>
      <c r="AV3" s="67">
        <v>36884.51999999999</v>
      </c>
      <c r="AW3" s="67">
        <v>3048.48</v>
      </c>
      <c r="AX3" s="67">
        <v>39932.999999999993</v>
      </c>
      <c r="AY3"/>
    </row>
    <row r="4" spans="1:51" x14ac:dyDescent="0.25">
      <c r="A4" s="6">
        <v>44564</v>
      </c>
      <c r="B4" t="str">
        <f t="shared" si="0"/>
        <v>Enero</v>
      </c>
      <c r="C4" s="1" t="s">
        <v>41</v>
      </c>
      <c r="D4" s="58" t="str">
        <f>VLOOKUP(Datos!$C4,$AQ$2:$AR$41,2,0)</f>
        <v>Centro</v>
      </c>
      <c r="E4" s="1">
        <v>23082</v>
      </c>
      <c r="F4" s="1" t="str">
        <f t="array" ref="F4">_xlfn.IFS(H4=0,"Alta sin facturar",H4&gt;2,"Cliente",H4&gt;0,"Cliente nuevo")</f>
        <v>Alta sin facturar</v>
      </c>
      <c r="G4" s="1"/>
      <c r="H4" s="1">
        <f t="shared" si="4"/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89">
        <v>0</v>
      </c>
      <c r="O4" s="89">
        <v>0</v>
      </c>
      <c r="P4" s="89">
        <v>0</v>
      </c>
      <c r="Q4" s="54">
        <f t="shared" si="1"/>
        <v>0</v>
      </c>
      <c r="R4" s="89"/>
      <c r="S4" s="92">
        <f t="shared" si="5"/>
        <v>0</v>
      </c>
      <c r="T4" s="59">
        <f t="shared" si="2"/>
        <v>0</v>
      </c>
      <c r="U4" s="60">
        <f t="shared" si="3"/>
        <v>0</v>
      </c>
      <c r="V4" s="59" t="str">
        <f t="array" ref="V4">_xlfn.IFS(S4=0,"Alta sin facturar",S4&gt;2,"Cliente",S4&gt;0,"Cliente nuevo")</f>
        <v>Alta sin facturar</v>
      </c>
      <c r="W4" s="59" t="str">
        <f t="shared" si="6"/>
        <v>Sin pago</v>
      </c>
      <c r="X4" s="3"/>
      <c r="Y4" s="3"/>
      <c r="Z4" s="3"/>
      <c r="AA4" s="3"/>
      <c r="AB4" s="3"/>
      <c r="AC4" s="3"/>
      <c r="AD4" s="3"/>
      <c r="AE4" s="3"/>
      <c r="AG4" s="7" t="s">
        <v>53</v>
      </c>
      <c r="AH4" s="7" t="s">
        <v>10</v>
      </c>
      <c r="AI4"/>
      <c r="AJ4"/>
      <c r="AK4"/>
      <c r="AL4"/>
      <c r="AM4"/>
      <c r="AN4"/>
      <c r="AO4"/>
      <c r="AP4"/>
      <c r="AQ4" s="61" t="s">
        <v>111</v>
      </c>
      <c r="AR4" s="61" t="s">
        <v>107</v>
      </c>
      <c r="AT4" s="8" t="s">
        <v>40</v>
      </c>
      <c r="AU4" s="42">
        <v>0</v>
      </c>
      <c r="AV4" s="67">
        <v>27668.320000000018</v>
      </c>
      <c r="AW4" s="67">
        <v>56562.759999999995</v>
      </c>
      <c r="AX4" s="67">
        <v>84231.080000000016</v>
      </c>
      <c r="AY4"/>
    </row>
    <row r="5" spans="1:51" x14ac:dyDescent="0.25">
      <c r="A5" s="6">
        <v>44565</v>
      </c>
      <c r="B5" t="str">
        <f t="shared" si="0"/>
        <v>Enero</v>
      </c>
      <c r="C5" s="1" t="s">
        <v>66</v>
      </c>
      <c r="D5" s="58" t="str">
        <f>VLOOKUP(Datos!$C5,$AQ$2:$AR$41,2,0)</f>
        <v>Sur</v>
      </c>
      <c r="E5" s="1">
        <v>23083</v>
      </c>
      <c r="F5" s="1" t="str">
        <f t="array" ref="F5">_xlfn.IFS(H5=0,"Alta sin facturar",H5&gt;2,"Cliente",H5&gt;0,"Cliente nuevo")</f>
        <v>Cliente nuevo</v>
      </c>
      <c r="G5" s="1"/>
      <c r="H5" s="1">
        <f t="shared" si="4"/>
        <v>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89">
        <v>690.2</v>
      </c>
      <c r="O5" s="89">
        <v>0</v>
      </c>
      <c r="P5" s="89">
        <v>1372.2799999999997</v>
      </c>
      <c r="Q5" s="54">
        <f t="shared" si="1"/>
        <v>2062.4799999999996</v>
      </c>
      <c r="R5" s="89">
        <v>302.76</v>
      </c>
      <c r="S5" s="92">
        <f t="shared" si="5"/>
        <v>2</v>
      </c>
      <c r="T5" s="59">
        <f t="shared" si="2"/>
        <v>1759.7199999999996</v>
      </c>
      <c r="U5" s="60">
        <f t="shared" si="3"/>
        <v>0.14679415073115862</v>
      </c>
      <c r="V5" s="59" t="str">
        <f t="array" ref="V5">_xlfn.IFS(S5=0,"Alta sin facturar",S5&gt;2,"Cliente",S5&gt;0,"Cliente nuevo")</f>
        <v>Cliente nuevo</v>
      </c>
      <c r="W5" s="59" t="str">
        <f t="shared" si="6"/>
        <v>Ha pagado</v>
      </c>
      <c r="X5" s="3"/>
      <c r="Y5" s="3"/>
      <c r="Z5" s="3"/>
      <c r="AA5" s="3"/>
      <c r="AB5" s="3"/>
      <c r="AC5" s="3"/>
      <c r="AD5" s="3"/>
      <c r="AE5" s="3"/>
      <c r="AG5" s="7" t="s">
        <v>19</v>
      </c>
      <c r="AH5" t="s">
        <v>21</v>
      </c>
      <c r="AI5" t="s">
        <v>22</v>
      </c>
      <c r="AJ5" t="s">
        <v>23</v>
      </c>
      <c r="AK5" t="s">
        <v>20</v>
      </c>
      <c r="AL5"/>
      <c r="AM5"/>
      <c r="AN5"/>
      <c r="AO5"/>
      <c r="AP5"/>
      <c r="AQ5" s="61" t="s">
        <v>43</v>
      </c>
      <c r="AR5" s="61" t="s">
        <v>107</v>
      </c>
      <c r="AT5" s="8" t="s">
        <v>100</v>
      </c>
      <c r="AU5" s="42">
        <v>0</v>
      </c>
      <c r="AV5" s="67"/>
      <c r="AW5" s="67"/>
      <c r="AX5" s="67">
        <v>0</v>
      </c>
      <c r="AY5"/>
    </row>
    <row r="6" spans="1:51" x14ac:dyDescent="0.25">
      <c r="A6" s="6">
        <v>44565</v>
      </c>
      <c r="B6" t="str">
        <f t="shared" si="0"/>
        <v>Enero</v>
      </c>
      <c r="C6" s="1" t="s">
        <v>75</v>
      </c>
      <c r="D6" s="58" t="str">
        <f>VLOOKUP(Datos!$C6,$AQ$2:$AR$41,2,0)</f>
        <v>Centro</v>
      </c>
      <c r="E6" s="1">
        <v>23084</v>
      </c>
      <c r="F6" s="1" t="str">
        <f t="array" ref="F6">_xlfn.IFS(H6=0,"Alta sin facturar",H6&gt;2,"Cliente",H6&gt;0,"Cliente nuevo")</f>
        <v>Cliente nuevo</v>
      </c>
      <c r="G6" s="1"/>
      <c r="H6" s="1">
        <f t="shared" si="4"/>
        <v>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89">
        <v>9320.6</v>
      </c>
      <c r="O6" s="89">
        <v>0</v>
      </c>
      <c r="P6" s="89">
        <v>221.55999999999997</v>
      </c>
      <c r="Q6" s="54">
        <f t="shared" si="1"/>
        <v>9542.16</v>
      </c>
      <c r="R6" s="89">
        <v>324.8</v>
      </c>
      <c r="S6" s="92">
        <f t="shared" si="5"/>
        <v>2</v>
      </c>
      <c r="T6" s="59">
        <f t="shared" si="2"/>
        <v>9217.36</v>
      </c>
      <c r="U6" s="60">
        <f t="shared" si="3"/>
        <v>3.4038414782397282E-2</v>
      </c>
      <c r="V6" s="59" t="str">
        <f t="array" ref="V6">_xlfn.IFS(S6=0,"Alta sin facturar",S6&gt;2,"Cliente",S6&gt;0,"Cliente nuevo")</f>
        <v>Cliente nuevo</v>
      </c>
      <c r="W6" s="59" t="str">
        <f t="shared" si="6"/>
        <v>Ha pagado</v>
      </c>
      <c r="X6" s="3"/>
      <c r="Y6" s="3"/>
      <c r="Z6" s="3"/>
      <c r="AA6" s="3"/>
      <c r="AB6" s="3"/>
      <c r="AC6" s="3"/>
      <c r="AD6" s="3"/>
      <c r="AE6" s="3"/>
      <c r="AG6" s="8" t="s">
        <v>1</v>
      </c>
      <c r="AH6">
        <v>55</v>
      </c>
      <c r="AI6">
        <v>42</v>
      </c>
      <c r="AJ6">
        <v>35</v>
      </c>
      <c r="AK6">
        <v>132</v>
      </c>
      <c r="AL6"/>
      <c r="AM6"/>
      <c r="AN6"/>
      <c r="AO6"/>
      <c r="AP6"/>
      <c r="AQ6" s="61" t="s">
        <v>40</v>
      </c>
      <c r="AR6" s="61" t="s">
        <v>107</v>
      </c>
      <c r="AT6" s="8" t="s">
        <v>34</v>
      </c>
      <c r="AU6" s="42">
        <v>0</v>
      </c>
      <c r="AV6" s="67">
        <v>26464.239999999994</v>
      </c>
      <c r="AW6" s="67">
        <v>809691.59999999986</v>
      </c>
      <c r="AX6" s="67">
        <v>836155.83999999985</v>
      </c>
      <c r="AY6"/>
    </row>
    <row r="7" spans="1:51" x14ac:dyDescent="0.25">
      <c r="A7" s="6">
        <v>44565</v>
      </c>
      <c r="B7" t="str">
        <f t="shared" si="0"/>
        <v>Enero</v>
      </c>
      <c r="C7" s="1" t="s">
        <v>31</v>
      </c>
      <c r="D7" s="58" t="str">
        <f>VLOOKUP(Datos!$C7,$AQ$2:$AR$41,2,0)</f>
        <v>Centro</v>
      </c>
      <c r="E7" s="1">
        <v>23085</v>
      </c>
      <c r="F7" s="1" t="str">
        <f t="array" ref="F7">_xlfn.IFS(H7=0,"Alta sin facturar",H7&gt;2,"Cliente",H7&gt;0,"Cliente nuevo")</f>
        <v>Alta sin facturar</v>
      </c>
      <c r="G7" s="1"/>
      <c r="H7" s="1">
        <f t="shared" si="4"/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89">
        <v>0</v>
      </c>
      <c r="O7" s="89">
        <v>0</v>
      </c>
      <c r="P7" s="89">
        <v>0</v>
      </c>
      <c r="Q7" s="54">
        <f t="shared" si="1"/>
        <v>0</v>
      </c>
      <c r="R7" s="89">
        <v>8700</v>
      </c>
      <c r="S7" s="92">
        <f t="shared" si="5"/>
        <v>0</v>
      </c>
      <c r="T7" s="59">
        <f t="shared" si="2"/>
        <v>-8700</v>
      </c>
      <c r="U7" s="60">
        <f t="shared" si="3"/>
        <v>0</v>
      </c>
      <c r="V7" s="59" t="str">
        <f t="array" ref="V7">_xlfn.IFS(S7=0,"Alta sin facturar",S7&gt;2,"Cliente",S7&gt;0,"Cliente nuevo")</f>
        <v>Alta sin facturar</v>
      </c>
      <c r="W7" s="59" t="str">
        <f t="shared" si="6"/>
        <v>Sin pago</v>
      </c>
      <c r="X7" s="3"/>
      <c r="Y7" s="3"/>
      <c r="Z7" s="3"/>
      <c r="AA7" s="3"/>
      <c r="AB7" s="3"/>
      <c r="AC7" s="3"/>
      <c r="AD7" s="3"/>
      <c r="AE7" s="3"/>
      <c r="AG7" s="8" t="s">
        <v>2</v>
      </c>
      <c r="AH7">
        <v>28</v>
      </c>
      <c r="AI7">
        <v>28</v>
      </c>
      <c r="AJ7">
        <v>23</v>
      </c>
      <c r="AK7">
        <v>79</v>
      </c>
      <c r="AL7"/>
      <c r="AM7"/>
      <c r="AN7"/>
      <c r="AO7"/>
      <c r="AP7"/>
      <c r="AQ7" s="61" t="s">
        <v>75</v>
      </c>
      <c r="AR7" s="61" t="s">
        <v>107</v>
      </c>
      <c r="AT7" s="8" t="s">
        <v>38</v>
      </c>
      <c r="AU7" s="42">
        <v>0</v>
      </c>
      <c r="AV7" s="67">
        <v>21475.079999999998</v>
      </c>
      <c r="AW7" s="67">
        <v>97147.68</v>
      </c>
      <c r="AX7" s="67">
        <v>118622.76</v>
      </c>
      <c r="AY7"/>
    </row>
    <row r="8" spans="1:51" x14ac:dyDescent="0.25">
      <c r="A8" s="6">
        <v>44567</v>
      </c>
      <c r="B8" t="str">
        <f t="shared" si="0"/>
        <v>Enero</v>
      </c>
      <c r="C8" s="1" t="s">
        <v>35</v>
      </c>
      <c r="D8" s="58" t="str">
        <f>VLOOKUP(Datos!$C8,$AQ$2:$AR$41,2,0)</f>
        <v>Centro</v>
      </c>
      <c r="E8" s="1">
        <v>23086</v>
      </c>
      <c r="F8" s="1" t="str">
        <f t="array" ref="F8">_xlfn.IFS(H8=0,"Alta sin facturar",H8&gt;2,"Cliente",H8&gt;0,"Cliente nuevo")</f>
        <v>Cliente</v>
      </c>
      <c r="G8" s="1"/>
      <c r="H8" s="1">
        <f t="shared" si="4"/>
        <v>4</v>
      </c>
      <c r="I8" s="2">
        <v>2.3199999999999998</v>
      </c>
      <c r="J8" s="2">
        <v>0</v>
      </c>
      <c r="K8" s="2">
        <v>0</v>
      </c>
      <c r="L8" s="2">
        <v>0</v>
      </c>
      <c r="M8" s="2">
        <v>290</v>
      </c>
      <c r="N8" s="89">
        <v>21460</v>
      </c>
      <c r="O8" s="89">
        <v>870</v>
      </c>
      <c r="P8" s="89">
        <v>0</v>
      </c>
      <c r="Q8" s="54">
        <f t="shared" si="1"/>
        <v>22622.32</v>
      </c>
      <c r="R8" s="89">
        <v>3480</v>
      </c>
      <c r="S8" s="92">
        <f t="shared" si="5"/>
        <v>4</v>
      </c>
      <c r="T8" s="59">
        <f t="shared" si="2"/>
        <v>19142.32</v>
      </c>
      <c r="U8" s="60">
        <f t="shared" si="3"/>
        <v>0.1538303763716542</v>
      </c>
      <c r="V8" s="59" t="str">
        <f t="array" ref="V8">_xlfn.IFS(S8=0,"Alta sin facturar",S8&gt;2,"Cliente",S8&gt;0,"Cliente nuevo")</f>
        <v>Cliente</v>
      </c>
      <c r="W8" s="59" t="str">
        <f t="shared" si="6"/>
        <v>Ha pagado</v>
      </c>
      <c r="X8" s="3"/>
      <c r="Y8" s="3"/>
      <c r="Z8" s="3"/>
      <c r="AA8" s="3"/>
      <c r="AB8" s="3"/>
      <c r="AC8" s="3"/>
      <c r="AD8" s="3"/>
      <c r="AE8" s="3"/>
      <c r="AG8" s="8" t="s">
        <v>3</v>
      </c>
      <c r="AH8">
        <v>33</v>
      </c>
      <c r="AI8">
        <v>37</v>
      </c>
      <c r="AJ8">
        <v>24</v>
      </c>
      <c r="AK8">
        <v>94</v>
      </c>
      <c r="AL8"/>
      <c r="AM8"/>
      <c r="AN8"/>
      <c r="AO8"/>
      <c r="AP8"/>
      <c r="AQ8" s="61" t="s">
        <v>97</v>
      </c>
      <c r="AR8" s="61" t="s">
        <v>107</v>
      </c>
      <c r="AT8" s="8" t="s">
        <v>39</v>
      </c>
      <c r="AU8" s="42">
        <v>0</v>
      </c>
      <c r="AV8" s="67">
        <v>85880.60000000002</v>
      </c>
      <c r="AW8" s="67">
        <v>295964.71999999997</v>
      </c>
      <c r="AX8" s="67">
        <v>381845.32</v>
      </c>
      <c r="AY8"/>
    </row>
    <row r="9" spans="1:51" x14ac:dyDescent="0.25">
      <c r="A9" s="6">
        <v>44567</v>
      </c>
      <c r="B9" t="str">
        <f t="shared" si="0"/>
        <v>Enero</v>
      </c>
      <c r="C9" s="1" t="s">
        <v>31</v>
      </c>
      <c r="D9" s="58" t="str">
        <f>VLOOKUP(Datos!$C9,$AQ$2:$AR$41,2,0)</f>
        <v>Centro</v>
      </c>
      <c r="E9" s="1">
        <v>23087</v>
      </c>
      <c r="F9" s="1" t="str">
        <f t="array" ref="F9">_xlfn.IFS(H9=0,"Alta sin facturar",H9&gt;2,"Cliente",H9&gt;0,"Cliente nuevo")</f>
        <v>Cliente</v>
      </c>
      <c r="G9" s="1"/>
      <c r="H9" s="1">
        <f t="shared" si="4"/>
        <v>5</v>
      </c>
      <c r="I9" s="2">
        <v>1624</v>
      </c>
      <c r="J9" s="2">
        <v>0</v>
      </c>
      <c r="K9" s="2">
        <v>0</v>
      </c>
      <c r="L9" s="2">
        <v>869.99999999999989</v>
      </c>
      <c r="M9" s="2">
        <v>0</v>
      </c>
      <c r="N9" s="89">
        <v>5684</v>
      </c>
      <c r="O9" s="89">
        <v>869.99999999999989</v>
      </c>
      <c r="P9" s="89">
        <v>1392</v>
      </c>
      <c r="Q9" s="54">
        <f t="shared" si="1"/>
        <v>10440</v>
      </c>
      <c r="R9" s="89">
        <v>2494</v>
      </c>
      <c r="S9" s="92">
        <f t="shared" si="5"/>
        <v>5</v>
      </c>
      <c r="T9" s="59">
        <f t="shared" si="2"/>
        <v>7946</v>
      </c>
      <c r="U9" s="60">
        <f t="shared" si="3"/>
        <v>0.2388888888888889</v>
      </c>
      <c r="V9" s="59" t="str">
        <f t="array" ref="V9">_xlfn.IFS(S9=0,"Alta sin facturar",S9&gt;2,"Cliente",S9&gt;0,"Cliente nuevo")</f>
        <v>Cliente</v>
      </c>
      <c r="W9" s="59" t="str">
        <f t="shared" si="6"/>
        <v>Ha pagado</v>
      </c>
      <c r="X9" s="3"/>
      <c r="Y9" s="3"/>
      <c r="Z9" s="3"/>
      <c r="AA9" s="3"/>
      <c r="AB9" s="3"/>
      <c r="AC9" s="3"/>
      <c r="AD9" s="3"/>
      <c r="AE9" s="3"/>
      <c r="AG9" s="8" t="s">
        <v>4</v>
      </c>
      <c r="AH9">
        <v>18</v>
      </c>
      <c r="AI9">
        <v>36</v>
      </c>
      <c r="AJ9">
        <v>22</v>
      </c>
      <c r="AK9">
        <v>76</v>
      </c>
      <c r="AL9"/>
      <c r="AM9"/>
      <c r="AN9"/>
      <c r="AO9"/>
      <c r="AP9"/>
      <c r="AQ9" s="61" t="s">
        <v>60</v>
      </c>
      <c r="AR9" s="61" t="s">
        <v>108</v>
      </c>
      <c r="AT9" s="8" t="s">
        <v>42</v>
      </c>
      <c r="AU9" s="42">
        <v>0</v>
      </c>
      <c r="AV9" s="67">
        <v>14687.919999999993</v>
      </c>
      <c r="AW9" s="67">
        <v>248640.2</v>
      </c>
      <c r="AX9" s="67">
        <v>263328.12</v>
      </c>
      <c r="AY9"/>
    </row>
    <row r="10" spans="1:51" x14ac:dyDescent="0.25">
      <c r="A10" s="6">
        <v>44567</v>
      </c>
      <c r="B10" t="str">
        <f t="shared" si="0"/>
        <v>Enero</v>
      </c>
      <c r="C10" s="1" t="s">
        <v>39</v>
      </c>
      <c r="D10" s="58" t="str">
        <f>VLOOKUP(Datos!$C10,$AQ$2:$AR$41,2,0)</f>
        <v>Sur</v>
      </c>
      <c r="E10" s="1">
        <v>23088</v>
      </c>
      <c r="F10" s="1" t="str">
        <f t="array" ref="F10">_xlfn.IFS(H10=0,"Alta sin facturar",H10&gt;2,"Cliente",H10&gt;0,"Cliente nuevo")</f>
        <v>Alta sin facturar</v>
      </c>
      <c r="G10" s="1"/>
      <c r="H10" s="1">
        <f t="shared" si="4"/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89">
        <v>0</v>
      </c>
      <c r="O10" s="89">
        <v>0</v>
      </c>
      <c r="P10" s="89">
        <v>0</v>
      </c>
      <c r="Q10" s="54">
        <f t="shared" si="1"/>
        <v>0</v>
      </c>
      <c r="R10" s="89"/>
      <c r="S10" s="92">
        <f t="shared" si="5"/>
        <v>0</v>
      </c>
      <c r="T10" s="59">
        <f t="shared" si="2"/>
        <v>0</v>
      </c>
      <c r="U10" s="60">
        <f t="shared" si="3"/>
        <v>0</v>
      </c>
      <c r="V10" s="59" t="str">
        <f t="array" ref="V10">_xlfn.IFS(S10=0,"Alta sin facturar",S10&gt;2,"Cliente",S10&gt;0,"Cliente nuevo")</f>
        <v>Alta sin facturar</v>
      </c>
      <c r="W10" s="59" t="str">
        <f t="shared" si="6"/>
        <v>Sin pago</v>
      </c>
      <c r="X10" s="3"/>
      <c r="Y10" s="3"/>
      <c r="Z10" s="3"/>
      <c r="AA10" s="3"/>
      <c r="AB10" s="3"/>
      <c r="AC10" s="3"/>
      <c r="AD10" s="3"/>
      <c r="AE10" s="3"/>
      <c r="AG10" s="8" t="s">
        <v>5</v>
      </c>
      <c r="AH10">
        <v>20</v>
      </c>
      <c r="AI10">
        <v>31</v>
      </c>
      <c r="AJ10">
        <v>26</v>
      </c>
      <c r="AK10">
        <v>77</v>
      </c>
      <c r="AL10"/>
      <c r="AM10"/>
      <c r="AN10"/>
      <c r="AO10"/>
      <c r="AP10"/>
      <c r="AQ10" s="61" t="s">
        <v>66</v>
      </c>
      <c r="AR10" s="61" t="s">
        <v>109</v>
      </c>
      <c r="AT10" s="8" t="s">
        <v>37</v>
      </c>
      <c r="AU10" s="42">
        <v>0</v>
      </c>
      <c r="AV10" s="67">
        <v>5936.88</v>
      </c>
      <c r="AW10" s="67">
        <v>111306.64000000001</v>
      </c>
      <c r="AX10" s="67">
        <v>117243.52000000002</v>
      </c>
      <c r="AY10"/>
    </row>
    <row r="11" spans="1:51" x14ac:dyDescent="0.25">
      <c r="A11" s="6">
        <v>44567</v>
      </c>
      <c r="B11" t="str">
        <f t="shared" si="0"/>
        <v>Enero</v>
      </c>
      <c r="C11" s="1" t="s">
        <v>66</v>
      </c>
      <c r="D11" s="58" t="str">
        <f>VLOOKUP(Datos!$C11,$AQ$2:$AR$41,2,0)</f>
        <v>Sur</v>
      </c>
      <c r="E11" s="1">
        <v>23089</v>
      </c>
      <c r="F11" s="1" t="str">
        <f t="array" ref="F11">_xlfn.IFS(H11=0,"Alta sin facturar",H11&gt;2,"Cliente",H11&gt;0,"Cliente nuevo")</f>
        <v>Cliente nuevo</v>
      </c>
      <c r="G11" s="1"/>
      <c r="H11" s="1">
        <f t="shared" si="4"/>
        <v>2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89">
        <v>2304.92</v>
      </c>
      <c r="O11" s="89">
        <v>0</v>
      </c>
      <c r="P11" s="89">
        <v>1083.44</v>
      </c>
      <c r="Q11" s="54">
        <f t="shared" si="1"/>
        <v>3388.36</v>
      </c>
      <c r="R11" s="89">
        <v>428.03999999999996</v>
      </c>
      <c r="S11" s="92">
        <f t="shared" si="5"/>
        <v>2</v>
      </c>
      <c r="T11" s="59">
        <f t="shared" si="2"/>
        <v>2960.32</v>
      </c>
      <c r="U11" s="60">
        <f t="shared" si="3"/>
        <v>0.1263266004792879</v>
      </c>
      <c r="V11" s="59" t="str">
        <f t="array" ref="V11">_xlfn.IFS(S11=0,"Alta sin facturar",S11&gt;2,"Cliente",S11&gt;0,"Cliente nuevo")</f>
        <v>Cliente nuevo</v>
      </c>
      <c r="W11" s="59" t="str">
        <f t="shared" si="6"/>
        <v>Ha pagado</v>
      </c>
      <c r="X11" s="3"/>
      <c r="Y11" s="3"/>
      <c r="Z11" s="3"/>
      <c r="AA11" s="3"/>
      <c r="AB11" s="3"/>
      <c r="AC11" s="3"/>
      <c r="AD11" s="3"/>
      <c r="AE11" s="3"/>
      <c r="AG11" s="8" t="s">
        <v>6</v>
      </c>
      <c r="AH11">
        <v>27</v>
      </c>
      <c r="AI11">
        <v>24</v>
      </c>
      <c r="AJ11">
        <v>50</v>
      </c>
      <c r="AK11">
        <v>101</v>
      </c>
      <c r="AL11"/>
      <c r="AM11"/>
      <c r="AN11"/>
      <c r="AO11"/>
      <c r="AP11"/>
      <c r="AQ11" s="61" t="s">
        <v>34</v>
      </c>
      <c r="AR11" s="61" t="s">
        <v>108</v>
      </c>
      <c r="AT11" s="8" t="s">
        <v>33</v>
      </c>
      <c r="AU11" s="42">
        <v>0</v>
      </c>
      <c r="AV11" s="67">
        <v>99958.36000000003</v>
      </c>
      <c r="AW11" s="67"/>
      <c r="AX11" s="67">
        <v>99958.36000000003</v>
      </c>
      <c r="AY11"/>
    </row>
    <row r="12" spans="1:51" x14ac:dyDescent="0.25">
      <c r="A12" s="6">
        <v>44567</v>
      </c>
      <c r="B12" t="str">
        <f t="shared" si="0"/>
        <v>Enero</v>
      </c>
      <c r="C12" s="1" t="s">
        <v>61</v>
      </c>
      <c r="D12" s="58" t="str">
        <f>VLOOKUP(Datos!$C12,$AQ$2:$AR$41,2,0)</f>
        <v>Centro</v>
      </c>
      <c r="E12" s="1">
        <v>23090</v>
      </c>
      <c r="F12" s="1" t="str">
        <f t="array" ref="F12">_xlfn.IFS(H12=0,"Alta sin facturar",H12&gt;2,"Cliente",H12&gt;0,"Cliente nuevo")</f>
        <v>Alta sin facturar</v>
      </c>
      <c r="G12" s="1"/>
      <c r="H12" s="1">
        <f t="shared" si="4"/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89">
        <v>0</v>
      </c>
      <c r="O12" s="89">
        <v>0</v>
      </c>
      <c r="P12" s="89">
        <v>0</v>
      </c>
      <c r="Q12" s="54">
        <f t="shared" si="1"/>
        <v>0</v>
      </c>
      <c r="R12" s="89"/>
      <c r="S12" s="92">
        <f t="shared" si="5"/>
        <v>0</v>
      </c>
      <c r="T12" s="59">
        <f t="shared" si="2"/>
        <v>0</v>
      </c>
      <c r="U12" s="60">
        <f t="shared" si="3"/>
        <v>0</v>
      </c>
      <c r="V12" s="59" t="str">
        <f t="array" ref="V12">_xlfn.IFS(S12=0,"Alta sin facturar",S12&gt;2,"Cliente",S12&gt;0,"Cliente nuevo")</f>
        <v>Alta sin facturar</v>
      </c>
      <c r="W12" s="59" t="str">
        <f t="shared" si="6"/>
        <v>Sin pago</v>
      </c>
      <c r="X12" s="3"/>
      <c r="Y12" s="3"/>
      <c r="Z12" s="3"/>
      <c r="AA12" s="3"/>
      <c r="AB12" s="3"/>
      <c r="AC12" s="3"/>
      <c r="AD12" s="3"/>
      <c r="AE12" s="3"/>
      <c r="AG12" s="8" t="s">
        <v>87</v>
      </c>
      <c r="AH12">
        <v>36</v>
      </c>
      <c r="AI12"/>
      <c r="AJ12">
        <v>56</v>
      </c>
      <c r="AK12">
        <v>92</v>
      </c>
      <c r="AL12"/>
      <c r="AM12"/>
      <c r="AN12"/>
      <c r="AO12"/>
      <c r="AP12"/>
      <c r="AQ12" s="61" t="s">
        <v>65</v>
      </c>
      <c r="AR12" s="61" t="s">
        <v>107</v>
      </c>
      <c r="AT12" s="8" t="s">
        <v>36</v>
      </c>
      <c r="AU12" s="42">
        <v>0</v>
      </c>
      <c r="AV12" s="67">
        <v>69149.919999999998</v>
      </c>
      <c r="AW12" s="67">
        <v>187642.75999999998</v>
      </c>
      <c r="AX12" s="67">
        <v>256792.68</v>
      </c>
      <c r="AY12"/>
    </row>
    <row r="13" spans="1:51" x14ac:dyDescent="0.25">
      <c r="A13" s="6">
        <v>44567</v>
      </c>
      <c r="B13" t="str">
        <f t="shared" si="0"/>
        <v>Enero</v>
      </c>
      <c r="C13" s="1" t="s">
        <v>31</v>
      </c>
      <c r="D13" s="58" t="str">
        <f>VLOOKUP(Datos!$C13,$AQ$2:$AR$41,2,0)</f>
        <v>Centro</v>
      </c>
      <c r="E13" s="1">
        <v>23091</v>
      </c>
      <c r="F13" s="1" t="str">
        <f t="array" ref="F13">_xlfn.IFS(H13=0,"Alta sin facturar",H13&gt;2,"Cliente",H13&gt;0,"Cliente nuevo")</f>
        <v>Cliente</v>
      </c>
      <c r="G13" s="1"/>
      <c r="H13" s="1">
        <f t="shared" si="4"/>
        <v>3</v>
      </c>
      <c r="I13" s="2">
        <v>0</v>
      </c>
      <c r="J13" s="2">
        <v>0</v>
      </c>
      <c r="K13" s="2">
        <v>747.04</v>
      </c>
      <c r="L13" s="2">
        <v>174</v>
      </c>
      <c r="M13" s="2">
        <v>0</v>
      </c>
      <c r="N13" s="89">
        <v>1624</v>
      </c>
      <c r="O13" s="89">
        <v>0</v>
      </c>
      <c r="P13" s="89">
        <v>0</v>
      </c>
      <c r="Q13" s="54">
        <f t="shared" si="1"/>
        <v>2545.04</v>
      </c>
      <c r="R13" s="89">
        <v>2371.04</v>
      </c>
      <c r="S13" s="92">
        <f t="shared" si="5"/>
        <v>3</v>
      </c>
      <c r="T13" s="59">
        <f t="shared" si="2"/>
        <v>174</v>
      </c>
      <c r="U13" s="60">
        <f t="shared" si="3"/>
        <v>0.93163172288058338</v>
      </c>
      <c r="V13" s="59" t="str">
        <f t="array" ref="V13">_xlfn.IFS(S13=0,"Alta sin facturar",S13&gt;2,"Cliente",S13&gt;0,"Cliente nuevo")</f>
        <v>Cliente</v>
      </c>
      <c r="W13" s="59" t="str">
        <f t="shared" si="6"/>
        <v>Ha pagado</v>
      </c>
      <c r="X13" s="3"/>
      <c r="Y13" s="3"/>
      <c r="Z13" s="3"/>
      <c r="AA13" s="3"/>
      <c r="AB13" s="3"/>
      <c r="AC13" s="3"/>
      <c r="AD13" s="3"/>
      <c r="AE13" s="3"/>
      <c r="AG13" s="8" t="s">
        <v>95</v>
      </c>
      <c r="AH13">
        <v>62</v>
      </c>
      <c r="AI13"/>
      <c r="AJ13">
        <v>13</v>
      </c>
      <c r="AK13">
        <v>75</v>
      </c>
      <c r="AL13"/>
      <c r="AM13"/>
      <c r="AN13"/>
      <c r="AO13"/>
      <c r="AP13"/>
      <c r="AQ13" s="61" t="s">
        <v>78</v>
      </c>
      <c r="AR13" s="61" t="s">
        <v>107</v>
      </c>
      <c r="AT13" s="8" t="s">
        <v>41</v>
      </c>
      <c r="AU13" s="42">
        <v>0</v>
      </c>
      <c r="AV13" s="67">
        <v>2702.8</v>
      </c>
      <c r="AW13" s="67">
        <v>215327.32</v>
      </c>
      <c r="AX13" s="67">
        <v>218030.12</v>
      </c>
      <c r="AY13"/>
    </row>
    <row r="14" spans="1:51" x14ac:dyDescent="0.25">
      <c r="A14" s="6">
        <v>44567</v>
      </c>
      <c r="B14" t="str">
        <f t="shared" si="0"/>
        <v>Enero</v>
      </c>
      <c r="C14" s="1" t="s">
        <v>62</v>
      </c>
      <c r="D14" s="58" t="str">
        <f>VLOOKUP(Datos!$C14,$AQ$2:$AR$41,2,0)</f>
        <v>Norte</v>
      </c>
      <c r="E14" s="1">
        <v>23092</v>
      </c>
      <c r="F14" s="1" t="str">
        <f t="array" ref="F14">_xlfn.IFS(H14=0,"Alta sin facturar",H14&gt;2,"Cliente",H14&gt;0,"Cliente nuevo")</f>
        <v>Cliente</v>
      </c>
      <c r="G14" s="1"/>
      <c r="H14" s="1">
        <f t="shared" si="4"/>
        <v>8</v>
      </c>
      <c r="I14" s="2">
        <v>205253.88000000006</v>
      </c>
      <c r="J14" s="2">
        <v>380995.04000000091</v>
      </c>
      <c r="K14" s="2">
        <v>335546.24000000028</v>
      </c>
      <c r="L14" s="2">
        <v>351265.4000000009</v>
      </c>
      <c r="M14" s="2">
        <v>292277.0799999999</v>
      </c>
      <c r="N14" s="89">
        <v>453933.52</v>
      </c>
      <c r="O14" s="89">
        <v>387232.36000000197</v>
      </c>
      <c r="P14" s="89">
        <v>313720.83999999997</v>
      </c>
      <c r="Q14" s="54">
        <f t="shared" si="1"/>
        <v>2720224.3600000041</v>
      </c>
      <c r="R14" s="89">
        <v>841165.88000000012</v>
      </c>
      <c r="S14" s="92">
        <f t="shared" si="5"/>
        <v>8</v>
      </c>
      <c r="T14" s="59">
        <f t="shared" si="2"/>
        <v>1879058.4800000039</v>
      </c>
      <c r="U14" s="60">
        <f t="shared" si="3"/>
        <v>0.30922665511310943</v>
      </c>
      <c r="V14" s="59" t="str">
        <f t="array" ref="V14">_xlfn.IFS(S14=0,"Alta sin facturar",S14&gt;2,"Cliente",S14&gt;0,"Cliente nuevo")</f>
        <v>Cliente</v>
      </c>
      <c r="W14" s="59" t="str">
        <f t="shared" si="6"/>
        <v>Ha pagado</v>
      </c>
      <c r="X14" s="3"/>
      <c r="Y14" s="3"/>
      <c r="Z14" s="3"/>
      <c r="AA14" s="3"/>
      <c r="AB14" s="3"/>
      <c r="AC14" s="3"/>
      <c r="AD14" s="3"/>
      <c r="AE14" s="3"/>
      <c r="AG14" s="8" t="s">
        <v>20</v>
      </c>
      <c r="AH14">
        <v>279</v>
      </c>
      <c r="AI14">
        <v>198</v>
      </c>
      <c r="AJ14">
        <v>249</v>
      </c>
      <c r="AK14">
        <v>726</v>
      </c>
      <c r="AL14"/>
      <c r="AM14"/>
      <c r="AN14"/>
      <c r="AO14"/>
      <c r="AP14"/>
      <c r="AQ14" s="61" t="s">
        <v>38</v>
      </c>
      <c r="AR14" s="61" t="s">
        <v>107</v>
      </c>
      <c r="AT14" s="69" t="s">
        <v>31</v>
      </c>
      <c r="AU14" s="70">
        <v>0</v>
      </c>
      <c r="AV14" s="71">
        <v>49410.199999999983</v>
      </c>
      <c r="AW14" s="71">
        <v>374457.28000000009</v>
      </c>
      <c r="AX14" s="71">
        <v>423867.4800000001</v>
      </c>
      <c r="AY14"/>
    </row>
    <row r="15" spans="1:51" x14ac:dyDescent="0.25">
      <c r="A15" s="6">
        <v>44567</v>
      </c>
      <c r="B15" t="str">
        <f t="shared" si="0"/>
        <v>Enero</v>
      </c>
      <c r="C15" s="1" t="s">
        <v>60</v>
      </c>
      <c r="D15" s="58" t="str">
        <f>VLOOKUP(Datos!$C15,$AQ$2:$AR$41,2,0)</f>
        <v>Norte</v>
      </c>
      <c r="E15" s="1">
        <v>23093</v>
      </c>
      <c r="F15" s="1" t="str">
        <f t="array" ref="F15">_xlfn.IFS(H15=0,"Alta sin facturar",H15&gt;2,"Cliente",H15&gt;0,"Cliente nuevo")</f>
        <v>Alta sin facturar</v>
      </c>
      <c r="G15" s="1"/>
      <c r="H15" s="1">
        <f t="shared" si="4"/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89">
        <v>0</v>
      </c>
      <c r="O15" s="89">
        <v>0</v>
      </c>
      <c r="P15" s="89">
        <v>0</v>
      </c>
      <c r="Q15" s="54">
        <f t="shared" si="1"/>
        <v>0</v>
      </c>
      <c r="R15" s="90"/>
      <c r="S15" s="92">
        <f t="shared" si="5"/>
        <v>0</v>
      </c>
      <c r="T15" s="59">
        <f t="shared" si="2"/>
        <v>0</v>
      </c>
      <c r="U15" s="60">
        <f t="shared" si="3"/>
        <v>0</v>
      </c>
      <c r="V15" s="59" t="str">
        <f t="array" ref="V15">_xlfn.IFS(S15=0,"Alta sin facturar",S15&gt;2,"Cliente",S15&gt;0,"Cliente nuevo")</f>
        <v>Alta sin facturar</v>
      </c>
      <c r="W15" s="59" t="str">
        <f t="shared" si="6"/>
        <v>Sin pago</v>
      </c>
      <c r="X15" s="3"/>
      <c r="Y15" s="3"/>
      <c r="Z15" s="3"/>
      <c r="AA15" s="3"/>
      <c r="AB15" s="3"/>
      <c r="AC15" s="3"/>
      <c r="AD15" s="3"/>
      <c r="AE15" s="3"/>
      <c r="AP15"/>
      <c r="AQ15" s="61" t="s">
        <v>67</v>
      </c>
      <c r="AR15" s="61" t="s">
        <v>108</v>
      </c>
      <c r="AT15" s="69" t="s">
        <v>35</v>
      </c>
      <c r="AU15" s="70">
        <v>0</v>
      </c>
      <c r="AV15" s="71">
        <v>12541.92</v>
      </c>
      <c r="AW15" s="71">
        <v>759737.93999999936</v>
      </c>
      <c r="AX15" s="71">
        <v>772279.8599999994</v>
      </c>
      <c r="AY15"/>
    </row>
    <row r="16" spans="1:51" x14ac:dyDescent="0.25">
      <c r="A16" s="6">
        <v>44568</v>
      </c>
      <c r="B16" t="str">
        <f t="shared" si="0"/>
        <v>Enero</v>
      </c>
      <c r="C16" s="1" t="s">
        <v>75</v>
      </c>
      <c r="D16" s="58" t="str">
        <f>VLOOKUP(Datos!$C16,$AQ$2:$AR$41,2,0)</f>
        <v>Centro</v>
      </c>
      <c r="E16" s="1">
        <v>23094</v>
      </c>
      <c r="F16" s="1" t="str">
        <f t="array" ref="F16">_xlfn.IFS(H16=0,"Alta sin facturar",H16&gt;2,"Cliente",H16&gt;0,"Cliente nuevo")</f>
        <v>Cliente</v>
      </c>
      <c r="G16" s="1"/>
      <c r="H16" s="1">
        <f t="shared" si="4"/>
        <v>3</v>
      </c>
      <c r="I16" s="2">
        <v>0</v>
      </c>
      <c r="J16" s="2">
        <v>0</v>
      </c>
      <c r="K16" s="2">
        <v>5800</v>
      </c>
      <c r="L16" s="2">
        <v>11600</v>
      </c>
      <c r="M16" s="2">
        <v>0</v>
      </c>
      <c r="N16" s="89">
        <v>262392</v>
      </c>
      <c r="O16" s="89">
        <v>0</v>
      </c>
      <c r="P16" s="89">
        <v>0</v>
      </c>
      <c r="Q16" s="54">
        <f t="shared" si="1"/>
        <v>279792</v>
      </c>
      <c r="R16" s="89">
        <v>49590</v>
      </c>
      <c r="S16" s="92">
        <f t="shared" si="5"/>
        <v>3</v>
      </c>
      <c r="T16" s="59">
        <f t="shared" si="2"/>
        <v>230202</v>
      </c>
      <c r="U16" s="60">
        <f t="shared" si="3"/>
        <v>0.17723880597014927</v>
      </c>
      <c r="V16" s="59" t="str">
        <f t="array" ref="V16">_xlfn.IFS(S16=0,"Alta sin facturar",S16&gt;2,"Cliente",S16&gt;0,"Cliente nuevo")</f>
        <v>Cliente</v>
      </c>
      <c r="W16" s="59" t="str">
        <f t="shared" si="6"/>
        <v>Ha pagado</v>
      </c>
      <c r="X16" s="3"/>
      <c r="Y16" s="3"/>
      <c r="Z16" s="3"/>
      <c r="AA16" s="3"/>
      <c r="AB16" s="3"/>
      <c r="AC16" s="3"/>
      <c r="AD16" s="3"/>
      <c r="AE16" s="3"/>
      <c r="AP16"/>
      <c r="AQ16" s="61" t="s">
        <v>33</v>
      </c>
      <c r="AR16" s="61" t="s">
        <v>68</v>
      </c>
      <c r="AT16" s="69" t="s">
        <v>62</v>
      </c>
      <c r="AU16" s="70">
        <v>0</v>
      </c>
      <c r="AV16" s="71">
        <v>70870.199999999953</v>
      </c>
      <c r="AW16" s="71">
        <v>2877402.0400000042</v>
      </c>
      <c r="AX16" s="71">
        <v>2948272.2400000039</v>
      </c>
      <c r="AY16"/>
    </row>
    <row r="17" spans="1:51" x14ac:dyDescent="0.25">
      <c r="A17" s="6">
        <v>44568</v>
      </c>
      <c r="B17" t="str">
        <f t="shared" si="0"/>
        <v>Enero</v>
      </c>
      <c r="C17" s="1" t="s">
        <v>65</v>
      </c>
      <c r="D17" s="58" t="str">
        <f>VLOOKUP(Datos!$C17,$AQ$2:$AR$41,2,0)</f>
        <v>Centro</v>
      </c>
      <c r="E17" s="1">
        <v>23095</v>
      </c>
      <c r="F17" s="1" t="str">
        <f t="array" ref="F17">_xlfn.IFS(H17=0,"Alta sin facturar",H17&gt;2,"Cliente",H17&gt;0,"Cliente nuevo")</f>
        <v>Cliente</v>
      </c>
      <c r="G17" s="1"/>
      <c r="H17" s="1">
        <f t="shared" si="4"/>
        <v>3</v>
      </c>
      <c r="I17" s="2">
        <v>534.76</v>
      </c>
      <c r="J17" s="2">
        <v>869.99999999999989</v>
      </c>
      <c r="K17" s="2">
        <v>0</v>
      </c>
      <c r="L17" s="2">
        <v>0</v>
      </c>
      <c r="M17" s="2">
        <v>0</v>
      </c>
      <c r="N17" s="89">
        <v>1102</v>
      </c>
      <c r="O17" s="89">
        <v>0</v>
      </c>
      <c r="P17" s="89">
        <v>0</v>
      </c>
      <c r="Q17" s="54">
        <f t="shared" si="1"/>
        <v>2506.7599999999998</v>
      </c>
      <c r="R17" s="89">
        <v>1102</v>
      </c>
      <c r="S17" s="92">
        <f t="shared" si="5"/>
        <v>3</v>
      </c>
      <c r="T17" s="59">
        <f t="shared" si="2"/>
        <v>1404.7599999999998</v>
      </c>
      <c r="U17" s="60">
        <f t="shared" si="3"/>
        <v>0.43961129106894958</v>
      </c>
      <c r="V17" s="59" t="str">
        <f t="array" ref="V17">_xlfn.IFS(S17=0,"Alta sin facturar",S17&gt;2,"Cliente",S17&gt;0,"Cliente nuevo")</f>
        <v>Cliente</v>
      </c>
      <c r="W17" s="59" t="str">
        <f t="shared" si="6"/>
        <v>Ha pagado</v>
      </c>
      <c r="X17" s="3"/>
      <c r="Y17" s="3"/>
      <c r="Z17" s="3"/>
      <c r="AA17" s="3"/>
      <c r="AB17" s="3"/>
      <c r="AC17" s="3"/>
      <c r="AD17" s="3"/>
      <c r="AE17" s="3"/>
      <c r="AG17" s="7" t="s">
        <v>47</v>
      </c>
      <c r="AH17" t="s">
        <v>113</v>
      </c>
      <c r="AI17"/>
      <c r="AJ17"/>
      <c r="AK17"/>
      <c r="AL17"/>
      <c r="AM17"/>
      <c r="AN17"/>
      <c r="AO17"/>
      <c r="AP17"/>
      <c r="AQ17" s="61" t="s">
        <v>98</v>
      </c>
      <c r="AR17" s="61" t="s">
        <v>108</v>
      </c>
      <c r="AT17" s="8" t="s">
        <v>59</v>
      </c>
      <c r="AU17" s="42">
        <v>0</v>
      </c>
      <c r="AV17" s="67">
        <v>104077.52</v>
      </c>
      <c r="AW17" s="67">
        <v>357601.32</v>
      </c>
      <c r="AX17" s="67">
        <v>461678.84</v>
      </c>
      <c r="AY17"/>
    </row>
    <row r="18" spans="1:51" x14ac:dyDescent="0.25">
      <c r="A18" s="6">
        <v>44569</v>
      </c>
      <c r="B18" t="str">
        <f t="shared" si="0"/>
        <v>Enero</v>
      </c>
      <c r="C18" s="1" t="s">
        <v>35</v>
      </c>
      <c r="D18" s="58" t="str">
        <f>VLOOKUP(Datos!$C18,$AQ$2:$AR$41,2,0)</f>
        <v>Centro</v>
      </c>
      <c r="E18" s="1">
        <v>23096</v>
      </c>
      <c r="F18" s="1" t="str">
        <f t="array" ref="F18">_xlfn.IFS(H18=0,"Alta sin facturar",H18&gt;2,"Cliente",H18&gt;0,"Cliente nuevo")</f>
        <v>Alta sin facturar</v>
      </c>
      <c r="G18" s="1"/>
      <c r="H18" s="1">
        <f t="shared" si="4"/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89">
        <v>0</v>
      </c>
      <c r="O18" s="89">
        <v>0</v>
      </c>
      <c r="P18" s="89">
        <v>0</v>
      </c>
      <c r="Q18" s="54">
        <f t="shared" si="1"/>
        <v>0</v>
      </c>
      <c r="R18" s="89">
        <v>928</v>
      </c>
      <c r="S18" s="92">
        <f t="shared" si="5"/>
        <v>0</v>
      </c>
      <c r="T18" s="59">
        <f t="shared" si="2"/>
        <v>-928</v>
      </c>
      <c r="U18" s="60">
        <f t="shared" si="3"/>
        <v>0</v>
      </c>
      <c r="V18" s="59" t="str">
        <f t="array" ref="V18">_xlfn.IFS(S18=0,"Alta sin facturar",S18&gt;2,"Cliente",S18&gt;0,"Cliente nuevo")</f>
        <v>Alta sin facturar</v>
      </c>
      <c r="W18" s="59" t="str">
        <f t="shared" si="6"/>
        <v>Sin pago</v>
      </c>
      <c r="X18" s="3"/>
      <c r="Y18" s="3"/>
      <c r="Z18" s="3"/>
      <c r="AA18" s="3"/>
      <c r="AB18" s="3"/>
      <c r="AC18" s="3"/>
      <c r="AD18" s="3"/>
      <c r="AE18" s="3"/>
      <c r="AG18"/>
      <c r="AH18"/>
      <c r="AI18"/>
      <c r="AJ18"/>
      <c r="AK18"/>
      <c r="AL18"/>
      <c r="AM18"/>
      <c r="AN18"/>
      <c r="AO18"/>
      <c r="AP18"/>
      <c r="AQ18" s="61" t="s">
        <v>39</v>
      </c>
      <c r="AR18" s="61" t="s">
        <v>109</v>
      </c>
      <c r="AT18" s="8" t="s">
        <v>67</v>
      </c>
      <c r="AU18" s="42">
        <v>0</v>
      </c>
      <c r="AV18" s="67">
        <v>21712.88000000003</v>
      </c>
      <c r="AW18" s="67">
        <v>64984.36</v>
      </c>
      <c r="AX18" s="67">
        <v>86697.240000000034</v>
      </c>
      <c r="AY18"/>
    </row>
    <row r="19" spans="1:51" x14ac:dyDescent="0.25">
      <c r="A19" s="6">
        <v>44569</v>
      </c>
      <c r="B19" t="str">
        <f t="shared" si="0"/>
        <v>Enero</v>
      </c>
      <c r="C19" s="1" t="s">
        <v>59</v>
      </c>
      <c r="D19" s="58" t="str">
        <f>VLOOKUP(Datos!$C19,$AQ$2:$AR$41,2,0)</f>
        <v>Magallanes</v>
      </c>
      <c r="E19" s="1">
        <v>23097</v>
      </c>
      <c r="F19" s="1" t="str">
        <f t="array" ref="F19">_xlfn.IFS(H19=0,"Alta sin facturar",H19&gt;2,"Cliente",H19&gt;0,"Cliente nuevo")</f>
        <v>Alta sin facturar</v>
      </c>
      <c r="G19" s="1"/>
      <c r="H19" s="1">
        <f t="shared" si="4"/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89">
        <v>0</v>
      </c>
      <c r="O19" s="89">
        <v>0</v>
      </c>
      <c r="P19" s="89">
        <v>0</v>
      </c>
      <c r="Q19" s="54">
        <f t="shared" si="1"/>
        <v>0</v>
      </c>
      <c r="R19" s="89">
        <v>10211.48</v>
      </c>
      <c r="S19" s="92">
        <f t="shared" si="5"/>
        <v>0</v>
      </c>
      <c r="T19" s="59">
        <f t="shared" si="2"/>
        <v>-10211.48</v>
      </c>
      <c r="U19" s="60">
        <f t="shared" si="3"/>
        <v>0</v>
      </c>
      <c r="V19" s="59" t="str">
        <f t="array" ref="V19">_xlfn.IFS(S19=0,"Alta sin facturar",S19&gt;2,"Cliente",S19&gt;0,"Cliente nuevo")</f>
        <v>Alta sin facturar</v>
      </c>
      <c r="W19" s="59" t="str">
        <f t="shared" si="6"/>
        <v>Sin pago</v>
      </c>
      <c r="X19" s="3"/>
      <c r="Y19" s="3"/>
      <c r="Z19" s="3"/>
      <c r="AA19" s="3"/>
      <c r="AB19" s="3"/>
      <c r="AC19" s="3"/>
      <c r="AD19" s="3"/>
      <c r="AE19" s="3"/>
      <c r="AG19" s="7" t="s">
        <v>94</v>
      </c>
      <c r="AH19" s="7" t="s">
        <v>10</v>
      </c>
      <c r="AI19"/>
      <c r="AJ19"/>
      <c r="AK19"/>
      <c r="AL19"/>
      <c r="AM19"/>
      <c r="AN19"/>
      <c r="AO19"/>
      <c r="AP19"/>
      <c r="AQ19" s="61" t="s">
        <v>42</v>
      </c>
      <c r="AR19" s="61" t="s">
        <v>108</v>
      </c>
      <c r="AT19" s="69" t="s">
        <v>66</v>
      </c>
      <c r="AU19" s="70">
        <v>0</v>
      </c>
      <c r="AV19" s="71">
        <v>312603.75999999983</v>
      </c>
      <c r="AW19" s="71"/>
      <c r="AX19" s="71">
        <v>312603.75999999983</v>
      </c>
      <c r="AY19"/>
    </row>
    <row r="20" spans="1:51" x14ac:dyDescent="0.25">
      <c r="A20" s="6">
        <v>44569</v>
      </c>
      <c r="B20" t="str">
        <f t="shared" si="0"/>
        <v>Enero</v>
      </c>
      <c r="C20" s="1" t="s">
        <v>59</v>
      </c>
      <c r="D20" s="58" t="str">
        <f>VLOOKUP(Datos!$C20,$AQ$2:$AR$41,2,0)</f>
        <v>Magallanes</v>
      </c>
      <c r="E20" s="1">
        <v>23098</v>
      </c>
      <c r="F20" s="1" t="str">
        <f t="array" ref="F20">_xlfn.IFS(H20=0,"Alta sin facturar",H20&gt;2,"Cliente",H20&gt;0,"Cliente nuevo")</f>
        <v>Alta sin facturar</v>
      </c>
      <c r="G20" s="1"/>
      <c r="H20" s="1">
        <f t="shared" si="4"/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89">
        <v>0</v>
      </c>
      <c r="O20" s="89">
        <v>0</v>
      </c>
      <c r="P20" s="89">
        <v>0</v>
      </c>
      <c r="Q20" s="54">
        <f t="shared" si="1"/>
        <v>0</v>
      </c>
      <c r="R20" s="89">
        <v>24.36</v>
      </c>
      <c r="S20" s="92">
        <f t="shared" si="5"/>
        <v>0</v>
      </c>
      <c r="T20" s="59">
        <f t="shared" si="2"/>
        <v>-24.36</v>
      </c>
      <c r="U20" s="60">
        <f t="shared" si="3"/>
        <v>0</v>
      </c>
      <c r="V20" s="59" t="str">
        <f t="array" ref="V20">_xlfn.IFS(S20=0,"Alta sin facturar",S20&gt;2,"Cliente",S20&gt;0,"Cliente nuevo")</f>
        <v>Alta sin facturar</v>
      </c>
      <c r="W20" s="59" t="str">
        <f t="shared" si="6"/>
        <v>Sin pago</v>
      </c>
      <c r="X20" s="3"/>
      <c r="Y20" s="3"/>
      <c r="Z20" s="3"/>
      <c r="AA20" s="3"/>
      <c r="AB20" s="3"/>
      <c r="AC20" s="3"/>
      <c r="AD20" s="3"/>
      <c r="AE20" s="3"/>
      <c r="AG20" s="7" t="s">
        <v>19</v>
      </c>
      <c r="AH20" t="s">
        <v>21</v>
      </c>
      <c r="AI20" t="s">
        <v>22</v>
      </c>
      <c r="AJ20" t="s">
        <v>23</v>
      </c>
      <c r="AK20" t="s">
        <v>20</v>
      </c>
      <c r="AL20"/>
      <c r="AM20"/>
      <c r="AN20"/>
      <c r="AO20"/>
      <c r="AP20"/>
      <c r="AQ20" s="61" t="s">
        <v>90</v>
      </c>
      <c r="AR20" s="61" t="s">
        <v>107</v>
      </c>
      <c r="AT20" s="8" t="s">
        <v>60</v>
      </c>
      <c r="AU20" s="42">
        <v>0</v>
      </c>
      <c r="AV20" s="67">
        <v>12380.680000000002</v>
      </c>
      <c r="AW20" s="67">
        <v>323878.96000000002</v>
      </c>
      <c r="AX20" s="67">
        <v>336259.64</v>
      </c>
      <c r="AY20"/>
    </row>
    <row r="21" spans="1:51" x14ac:dyDescent="0.25">
      <c r="A21" s="6">
        <v>44569</v>
      </c>
      <c r="B21" t="str">
        <f t="shared" si="0"/>
        <v>Enero</v>
      </c>
      <c r="C21" s="1" t="s">
        <v>59</v>
      </c>
      <c r="D21" s="58" t="str">
        <f>VLOOKUP(Datos!$C21,$AQ$2:$AR$41,2,0)</f>
        <v>Magallanes</v>
      </c>
      <c r="E21" s="1">
        <v>23099</v>
      </c>
      <c r="F21" s="1" t="str">
        <f t="array" ref="F21">_xlfn.IFS(H21=0,"Alta sin facturar",H21&gt;2,"Cliente",H21&gt;0,"Cliente nuevo")</f>
        <v>Cliente</v>
      </c>
      <c r="G21" s="1"/>
      <c r="H21" s="1">
        <f t="shared" si="4"/>
        <v>6</v>
      </c>
      <c r="I21" s="2">
        <v>0</v>
      </c>
      <c r="J21" s="2">
        <v>348</v>
      </c>
      <c r="K21" s="2">
        <v>0</v>
      </c>
      <c r="L21" s="2">
        <v>696</v>
      </c>
      <c r="M21" s="2">
        <v>115.99999999999999</v>
      </c>
      <c r="N21" s="89">
        <v>395.56</v>
      </c>
      <c r="O21" s="89">
        <v>627.55999999999995</v>
      </c>
      <c r="P21" s="89">
        <v>4127.28</v>
      </c>
      <c r="Q21" s="54">
        <f t="shared" si="1"/>
        <v>6310.4</v>
      </c>
      <c r="R21" s="89">
        <v>696</v>
      </c>
      <c r="S21" s="92">
        <f t="shared" si="5"/>
        <v>6</v>
      </c>
      <c r="T21" s="59">
        <f t="shared" si="2"/>
        <v>5614.4</v>
      </c>
      <c r="U21" s="60">
        <f t="shared" si="3"/>
        <v>0.11029411764705883</v>
      </c>
      <c r="V21" s="59" t="str">
        <f t="array" ref="V21">_xlfn.IFS(S21=0,"Alta sin facturar",S21&gt;2,"Cliente",S21&gt;0,"Cliente nuevo")</f>
        <v>Cliente</v>
      </c>
      <c r="W21" s="59" t="str">
        <f t="shared" si="6"/>
        <v>Ha pagado</v>
      </c>
      <c r="X21" s="3"/>
      <c r="Y21" s="3"/>
      <c r="Z21" s="3"/>
      <c r="AA21" s="3"/>
      <c r="AB21" s="3"/>
      <c r="AC21" s="3"/>
      <c r="AD21" s="3"/>
      <c r="AE21" s="3"/>
      <c r="AG21" s="8" t="s">
        <v>1</v>
      </c>
      <c r="AH21" s="9">
        <v>0</v>
      </c>
      <c r="AI21" s="9">
        <v>4216487.4800000051</v>
      </c>
      <c r="AJ21" s="9">
        <v>239243.04000000007</v>
      </c>
      <c r="AK21" s="9">
        <v>4455730.5200000051</v>
      </c>
      <c r="AL21"/>
      <c r="AM21"/>
      <c r="AN21"/>
      <c r="AO21"/>
      <c r="AP21"/>
      <c r="AQ21" s="61" t="s">
        <v>36</v>
      </c>
      <c r="AR21" s="61" t="s">
        <v>68</v>
      </c>
      <c r="AT21" s="8" t="s">
        <v>64</v>
      </c>
      <c r="AU21" s="42">
        <v>0</v>
      </c>
      <c r="AV21" s="67">
        <v>15404.80000000001</v>
      </c>
      <c r="AW21" s="67">
        <v>235913.84000000008</v>
      </c>
      <c r="AX21" s="67">
        <v>251318.6400000001</v>
      </c>
      <c r="AY21"/>
    </row>
    <row r="22" spans="1:51" x14ac:dyDescent="0.25">
      <c r="A22" s="6">
        <v>44571</v>
      </c>
      <c r="B22" t="str">
        <f t="shared" si="0"/>
        <v>Enero</v>
      </c>
      <c r="C22" s="1" t="s">
        <v>35</v>
      </c>
      <c r="D22" s="58" t="str">
        <f>VLOOKUP(Datos!$C22,$AQ$2:$AR$41,2,0)</f>
        <v>Centro</v>
      </c>
      <c r="E22" s="1">
        <v>23100</v>
      </c>
      <c r="F22" s="1" t="str">
        <f t="array" ref="F22">_xlfn.IFS(H22=0,"Alta sin facturar",H22&gt;2,"Cliente",H22&gt;0,"Cliente nuevo")</f>
        <v>Alta sin facturar</v>
      </c>
      <c r="G22" s="1"/>
      <c r="H22" s="1">
        <f t="shared" si="4"/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89">
        <v>0</v>
      </c>
      <c r="O22" s="89">
        <v>0</v>
      </c>
      <c r="P22" s="89">
        <v>0</v>
      </c>
      <c r="Q22" s="54">
        <f t="shared" si="1"/>
        <v>0</v>
      </c>
      <c r="R22" s="89"/>
      <c r="S22" s="92">
        <f t="shared" si="5"/>
        <v>0</v>
      </c>
      <c r="T22" s="59">
        <f t="shared" si="2"/>
        <v>0</v>
      </c>
      <c r="U22" s="60">
        <f t="shared" si="3"/>
        <v>0</v>
      </c>
      <c r="V22" s="59" t="str">
        <f t="array" ref="V22">_xlfn.IFS(S22=0,"Alta sin facturar",S22&gt;2,"Cliente",S22&gt;0,"Cliente nuevo")</f>
        <v>Alta sin facturar</v>
      </c>
      <c r="W22" s="59" t="str">
        <f t="shared" si="6"/>
        <v>Sin pago</v>
      </c>
      <c r="X22" s="3"/>
      <c r="Y22" s="3"/>
      <c r="Z22" s="3"/>
      <c r="AA22" s="3"/>
      <c r="AB22" s="3"/>
      <c r="AC22" s="3"/>
      <c r="AD22" s="3"/>
      <c r="AE22" s="3"/>
      <c r="AG22" s="8" t="s">
        <v>2</v>
      </c>
      <c r="AH22" s="9">
        <v>0</v>
      </c>
      <c r="AI22" s="9">
        <v>923884.3199999996</v>
      </c>
      <c r="AJ22" s="9">
        <v>139022.52000000002</v>
      </c>
      <c r="AK22" s="9">
        <v>1062906.8399999996</v>
      </c>
      <c r="AL22"/>
      <c r="AM22"/>
      <c r="AN22"/>
      <c r="AO22"/>
      <c r="AP22"/>
      <c r="AQ22" s="61" t="s">
        <v>89</v>
      </c>
      <c r="AR22" s="61" t="s">
        <v>107</v>
      </c>
      <c r="AT22" s="8" t="s">
        <v>65</v>
      </c>
      <c r="AU22" s="42">
        <v>0</v>
      </c>
      <c r="AV22" s="67">
        <v>19062.280000000006</v>
      </c>
      <c r="AW22" s="67">
        <v>14363.119999999999</v>
      </c>
      <c r="AX22" s="67">
        <v>33425.400000000009</v>
      </c>
      <c r="AY22"/>
    </row>
    <row r="23" spans="1:51" x14ac:dyDescent="0.25">
      <c r="A23" s="6">
        <v>44571</v>
      </c>
      <c r="B23" t="str">
        <f t="shared" si="0"/>
        <v>Enero</v>
      </c>
      <c r="C23" s="1" t="s">
        <v>35</v>
      </c>
      <c r="D23" s="58" t="str">
        <f>VLOOKUP(Datos!$C23,$AQ$2:$AR$41,2,0)</f>
        <v>Centro</v>
      </c>
      <c r="E23" s="1">
        <v>23101</v>
      </c>
      <c r="F23" s="1" t="str">
        <f t="array" ref="F23">_xlfn.IFS(H23=0,"Alta sin facturar",H23&gt;2,"Cliente",H23&gt;0,"Cliente nuevo")</f>
        <v>Alta sin facturar</v>
      </c>
      <c r="G23" s="1"/>
      <c r="H23" s="1">
        <f t="shared" si="4"/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89">
        <v>0</v>
      </c>
      <c r="O23" s="89">
        <v>0</v>
      </c>
      <c r="P23" s="89">
        <v>0</v>
      </c>
      <c r="Q23" s="54">
        <f t="shared" si="1"/>
        <v>0</v>
      </c>
      <c r="R23" s="89">
        <v>0</v>
      </c>
      <c r="S23" s="92">
        <f t="shared" si="5"/>
        <v>0</v>
      </c>
      <c r="T23" s="59">
        <f t="shared" si="2"/>
        <v>0</v>
      </c>
      <c r="U23" s="60">
        <f t="shared" si="3"/>
        <v>0</v>
      </c>
      <c r="V23" s="59" t="str">
        <f t="array" ref="V23">_xlfn.IFS(S23=0,"Alta sin facturar",S23&gt;2,"Cliente",S23&gt;0,"Cliente nuevo")</f>
        <v>Alta sin facturar</v>
      </c>
      <c r="W23" s="59" t="str">
        <f t="shared" si="6"/>
        <v>Sin pago</v>
      </c>
      <c r="X23" s="3"/>
      <c r="Y23" s="3"/>
      <c r="Z23" s="3"/>
      <c r="AA23" s="3"/>
      <c r="AB23" s="3"/>
      <c r="AC23" s="3"/>
      <c r="AD23" s="3"/>
      <c r="AE23" s="3"/>
      <c r="AG23" s="8" t="s">
        <v>3</v>
      </c>
      <c r="AH23" s="9">
        <v>0</v>
      </c>
      <c r="AI23" s="9">
        <v>964667.6</v>
      </c>
      <c r="AJ23" s="9">
        <v>98967.72</v>
      </c>
      <c r="AK23" s="9">
        <v>1063635.32</v>
      </c>
      <c r="AL23"/>
      <c r="AM23"/>
      <c r="AN23"/>
      <c r="AO23"/>
      <c r="AP23"/>
      <c r="AQ23" s="61" t="s">
        <v>103</v>
      </c>
      <c r="AR23" s="61" t="s">
        <v>108</v>
      </c>
      <c r="AT23" s="8" t="s">
        <v>61</v>
      </c>
      <c r="AU23" s="42">
        <v>0</v>
      </c>
      <c r="AV23" s="67">
        <v>29568.249199999998</v>
      </c>
      <c r="AW23" s="67">
        <v>49393.95999999997</v>
      </c>
      <c r="AX23" s="67">
        <v>78962.209199999968</v>
      </c>
      <c r="AY23"/>
    </row>
    <row r="24" spans="1:51" x14ac:dyDescent="0.25">
      <c r="A24" s="6">
        <v>44571</v>
      </c>
      <c r="B24" t="str">
        <f t="shared" si="0"/>
        <v>Enero</v>
      </c>
      <c r="C24" s="1" t="s">
        <v>41</v>
      </c>
      <c r="D24" s="58" t="str">
        <f>VLOOKUP(Datos!$C24,$AQ$2:$AR$41,2,0)</f>
        <v>Centro</v>
      </c>
      <c r="E24" s="1">
        <v>23102</v>
      </c>
      <c r="F24" s="1" t="str">
        <f t="array" ref="F24">_xlfn.IFS(H24=0,"Alta sin facturar",H24&gt;2,"Cliente",H24&gt;0,"Cliente nuevo")</f>
        <v>Cliente</v>
      </c>
      <c r="G24" s="1"/>
      <c r="H24" s="1">
        <f t="shared" si="4"/>
        <v>7</v>
      </c>
      <c r="I24" s="2">
        <v>725</v>
      </c>
      <c r="J24" s="2">
        <v>0</v>
      </c>
      <c r="K24" s="2">
        <v>3528.7200000000003</v>
      </c>
      <c r="L24" s="2">
        <v>5274.5199999999986</v>
      </c>
      <c r="M24" s="2">
        <v>2395.3999999999996</v>
      </c>
      <c r="N24" s="89">
        <v>1633.2800000000002</v>
      </c>
      <c r="O24" s="89">
        <v>5761.7199999999984</v>
      </c>
      <c r="P24" s="89">
        <v>7464.6</v>
      </c>
      <c r="Q24" s="54">
        <f t="shared" si="1"/>
        <v>26783.239999999998</v>
      </c>
      <c r="R24" s="89">
        <v>0</v>
      </c>
      <c r="S24" s="92">
        <f t="shared" si="5"/>
        <v>7</v>
      </c>
      <c r="T24" s="59">
        <f t="shared" si="2"/>
        <v>26783.239999999998</v>
      </c>
      <c r="U24" s="60">
        <f t="shared" si="3"/>
        <v>0</v>
      </c>
      <c r="V24" s="59" t="str">
        <f t="array" ref="V24">_xlfn.IFS(S24=0,"Alta sin facturar",S24&gt;2,"Cliente",S24&gt;0,"Cliente nuevo")</f>
        <v>Cliente</v>
      </c>
      <c r="W24" s="59" t="str">
        <f t="shared" si="6"/>
        <v>Ha pagado</v>
      </c>
      <c r="X24" s="3"/>
      <c r="Y24" s="3"/>
      <c r="Z24" s="3"/>
      <c r="AA24" s="3"/>
      <c r="AB24" s="3"/>
      <c r="AC24" s="3"/>
      <c r="AD24" s="3"/>
      <c r="AE24" s="3"/>
      <c r="AG24" s="8" t="s">
        <v>4</v>
      </c>
      <c r="AH24" s="9">
        <v>0</v>
      </c>
      <c r="AI24" s="9">
        <v>1000965.7400000001</v>
      </c>
      <c r="AJ24" s="9">
        <v>43425.609200000006</v>
      </c>
      <c r="AK24" s="9">
        <v>1044391.3492000001</v>
      </c>
      <c r="AL24"/>
      <c r="AM24"/>
      <c r="AN24"/>
      <c r="AO24"/>
      <c r="AP24"/>
      <c r="AQ24" s="61" t="s">
        <v>61</v>
      </c>
      <c r="AR24" s="61" t="s">
        <v>107</v>
      </c>
      <c r="AT24" s="8" t="s">
        <v>63</v>
      </c>
      <c r="AU24" s="42">
        <v>0</v>
      </c>
      <c r="AV24" s="67">
        <v>81.199999999999989</v>
      </c>
      <c r="AW24" s="67">
        <v>252877.6800000002</v>
      </c>
      <c r="AX24" s="67">
        <v>252958.88000000021</v>
      </c>
      <c r="AY24"/>
    </row>
    <row r="25" spans="1:51" x14ac:dyDescent="0.25">
      <c r="A25" s="6">
        <v>44571</v>
      </c>
      <c r="B25" t="str">
        <f t="shared" si="0"/>
        <v>Enero</v>
      </c>
      <c r="C25" s="1" t="s">
        <v>41</v>
      </c>
      <c r="D25" s="58" t="str">
        <f>VLOOKUP(Datos!$C25,$AQ$2:$AR$41,2,0)</f>
        <v>Centro</v>
      </c>
      <c r="E25" s="1">
        <v>23103</v>
      </c>
      <c r="F25" s="1" t="str">
        <f t="array" ref="F25">_xlfn.IFS(H25=0,"Alta sin facturar",H25&gt;2,"Cliente",H25&gt;0,"Cliente nuevo")</f>
        <v>Cliente</v>
      </c>
      <c r="G25" s="1"/>
      <c r="H25" s="1">
        <f t="shared" si="4"/>
        <v>4</v>
      </c>
      <c r="I25" s="2">
        <v>0</v>
      </c>
      <c r="J25" s="2">
        <v>0</v>
      </c>
      <c r="K25" s="2">
        <v>812</v>
      </c>
      <c r="L25" s="2">
        <v>0</v>
      </c>
      <c r="M25" s="2">
        <v>0</v>
      </c>
      <c r="N25" s="89">
        <v>9686</v>
      </c>
      <c r="O25" s="89">
        <v>1739.9999999999998</v>
      </c>
      <c r="P25" s="89">
        <v>1739.9999999999998</v>
      </c>
      <c r="Q25" s="54">
        <f t="shared" si="1"/>
        <v>13978</v>
      </c>
      <c r="R25" s="89">
        <v>0</v>
      </c>
      <c r="S25" s="92">
        <f t="shared" si="5"/>
        <v>4</v>
      </c>
      <c r="T25" s="59">
        <f t="shared" si="2"/>
        <v>13978</v>
      </c>
      <c r="U25" s="60">
        <f t="shared" si="3"/>
        <v>0</v>
      </c>
      <c r="V25" s="59" t="str">
        <f t="array" ref="V25">_xlfn.IFS(S25=0,"Alta sin facturar",S25&gt;2,"Cliente",S25&gt;0,"Cliente nuevo")</f>
        <v>Cliente</v>
      </c>
      <c r="W25" s="59" t="str">
        <f t="shared" si="6"/>
        <v>Ha pagado</v>
      </c>
      <c r="X25" s="3"/>
      <c r="Y25" s="3"/>
      <c r="Z25" s="3"/>
      <c r="AA25" s="3"/>
      <c r="AB25" s="3"/>
      <c r="AC25" s="3"/>
      <c r="AD25" s="3"/>
      <c r="AE25" s="3"/>
      <c r="AG25" s="8" t="s">
        <v>5</v>
      </c>
      <c r="AH25" s="9">
        <v>0</v>
      </c>
      <c r="AI25" s="9">
        <v>523948.80000000016</v>
      </c>
      <c r="AJ25" s="9">
        <v>285948.11999999994</v>
      </c>
      <c r="AK25" s="9">
        <v>809896.92000000016</v>
      </c>
      <c r="AL25"/>
      <c r="AM25"/>
      <c r="AN25"/>
      <c r="AO25"/>
      <c r="AP25"/>
      <c r="AQ25" s="61" t="s">
        <v>68</v>
      </c>
      <c r="AR25" s="61" t="s">
        <v>68</v>
      </c>
      <c r="AT25" s="8" t="s">
        <v>43</v>
      </c>
      <c r="AU25" s="42">
        <v>0</v>
      </c>
      <c r="AV25" s="67">
        <v>92933.39999999998</v>
      </c>
      <c r="AW25" s="67"/>
      <c r="AX25" s="67">
        <v>92933.39999999998</v>
      </c>
      <c r="AY25"/>
    </row>
    <row r="26" spans="1:51" x14ac:dyDescent="0.25">
      <c r="A26" s="6">
        <v>44571</v>
      </c>
      <c r="B26" t="str">
        <f t="shared" si="0"/>
        <v>Enero</v>
      </c>
      <c r="C26" s="1" t="s">
        <v>60</v>
      </c>
      <c r="D26" s="58" t="str">
        <f>VLOOKUP(Datos!$C26,$AQ$2:$AR$41,2,0)</f>
        <v>Norte</v>
      </c>
      <c r="E26" s="1">
        <v>23104</v>
      </c>
      <c r="F26" s="1" t="str">
        <f t="array" ref="F26">_xlfn.IFS(H26=0,"Alta sin facturar",H26&gt;2,"Cliente",H26&gt;0,"Cliente nuevo")</f>
        <v>Cliente</v>
      </c>
      <c r="G26" s="1"/>
      <c r="H26" s="1">
        <f t="shared" si="4"/>
        <v>6</v>
      </c>
      <c r="I26" s="2">
        <v>0</v>
      </c>
      <c r="J26" s="2">
        <v>1252.8</v>
      </c>
      <c r="K26" s="2">
        <v>0</v>
      </c>
      <c r="L26" s="2">
        <v>3949.7999999999988</v>
      </c>
      <c r="M26" s="2">
        <v>7078.3200000000024</v>
      </c>
      <c r="N26" s="89">
        <v>3289.76</v>
      </c>
      <c r="O26" s="89">
        <v>2485.88</v>
      </c>
      <c r="P26" s="89">
        <v>3384.88</v>
      </c>
      <c r="Q26" s="54">
        <f t="shared" si="1"/>
        <v>21441.440000000002</v>
      </c>
      <c r="R26" s="89">
        <v>0</v>
      </c>
      <c r="S26" s="92">
        <f t="shared" si="5"/>
        <v>6</v>
      </c>
      <c r="T26" s="59">
        <f t="shared" si="2"/>
        <v>21441.440000000002</v>
      </c>
      <c r="U26" s="60">
        <f t="shared" si="3"/>
        <v>0</v>
      </c>
      <c r="V26" s="59" t="str">
        <f t="array" ref="V26">_xlfn.IFS(S26=0,"Alta sin facturar",S26&gt;2,"Cliente",S26&gt;0,"Cliente nuevo")</f>
        <v>Cliente</v>
      </c>
      <c r="W26" s="59" t="str">
        <f t="shared" si="6"/>
        <v>Ha pagado</v>
      </c>
      <c r="X26" s="3"/>
      <c r="Y26" s="3"/>
      <c r="Z26" s="3"/>
      <c r="AA26" s="3"/>
      <c r="AB26" s="3"/>
      <c r="AC26" s="3"/>
      <c r="AD26" s="3"/>
      <c r="AE26" s="3"/>
      <c r="AG26" s="8" t="s">
        <v>6</v>
      </c>
      <c r="AH26" s="9">
        <v>0</v>
      </c>
      <c r="AI26" s="9">
        <v>422584.52</v>
      </c>
      <c r="AJ26" s="9">
        <v>231706.51999999996</v>
      </c>
      <c r="AK26" s="9">
        <v>654291.04</v>
      </c>
      <c r="AL26"/>
      <c r="AM26"/>
      <c r="AN26"/>
      <c r="AO26"/>
      <c r="AP26"/>
      <c r="AQ26" s="61" t="s">
        <v>32</v>
      </c>
      <c r="AR26" s="61" t="s">
        <v>108</v>
      </c>
      <c r="AT26" s="69" t="s">
        <v>75</v>
      </c>
      <c r="AU26" s="70">
        <v>0</v>
      </c>
      <c r="AV26" s="71">
        <v>39543.24</v>
      </c>
      <c r="AW26" s="71">
        <v>279792</v>
      </c>
      <c r="AX26" s="71">
        <v>319335.24</v>
      </c>
      <c r="AY26"/>
    </row>
    <row r="27" spans="1:51" x14ac:dyDescent="0.25">
      <c r="A27" s="6">
        <v>44572</v>
      </c>
      <c r="B27" t="str">
        <f t="shared" si="0"/>
        <v>Enero</v>
      </c>
      <c r="C27" s="1" t="s">
        <v>89</v>
      </c>
      <c r="D27" s="58" t="str">
        <f>VLOOKUP(Datos!$C27,$AQ$2:$AR$41,2,0)</f>
        <v>Centro</v>
      </c>
      <c r="E27" s="1">
        <v>23105</v>
      </c>
      <c r="F27" s="1" t="str">
        <f t="array" ref="F27">_xlfn.IFS(H27=0,"Alta sin facturar",H27&gt;2,"Cliente",H27&gt;0,"Cliente nuevo")</f>
        <v>Cliente nuevo</v>
      </c>
      <c r="G27" s="1"/>
      <c r="H27" s="1">
        <f t="shared" si="4"/>
        <v>2</v>
      </c>
      <c r="I27" s="2">
        <v>0</v>
      </c>
      <c r="J27" s="2">
        <v>0</v>
      </c>
      <c r="K27" s="2">
        <v>0</v>
      </c>
      <c r="L27" s="2">
        <v>580</v>
      </c>
      <c r="M27" s="2">
        <v>0</v>
      </c>
      <c r="N27" s="89">
        <v>580</v>
      </c>
      <c r="O27" s="89">
        <v>0</v>
      </c>
      <c r="P27" s="89">
        <v>0</v>
      </c>
      <c r="Q27" s="54">
        <f t="shared" si="1"/>
        <v>1160</v>
      </c>
      <c r="R27" s="89">
        <v>0</v>
      </c>
      <c r="S27" s="92">
        <f t="shared" si="5"/>
        <v>2</v>
      </c>
      <c r="T27" s="59">
        <f t="shared" si="2"/>
        <v>1160</v>
      </c>
      <c r="U27" s="60">
        <f t="shared" si="3"/>
        <v>0</v>
      </c>
      <c r="V27" s="59" t="str">
        <f t="array" ref="V27">_xlfn.IFS(S27=0,"Alta sin facturar",S27&gt;2,"Cliente",S27&gt;0,"Cliente nuevo")</f>
        <v>Cliente nuevo</v>
      </c>
      <c r="W27" s="59" t="str">
        <f t="shared" si="6"/>
        <v>Ha pagado</v>
      </c>
      <c r="X27" s="3"/>
      <c r="Y27" s="3"/>
      <c r="Z27" s="3"/>
      <c r="AA27" s="3"/>
      <c r="AB27" s="3"/>
      <c r="AC27" s="3"/>
      <c r="AD27" s="3"/>
      <c r="AE27" s="3"/>
      <c r="AG27" s="8" t="s">
        <v>87</v>
      </c>
      <c r="AH27" s="9">
        <v>0</v>
      </c>
      <c r="AI27" s="9"/>
      <c r="AJ27" s="9">
        <v>251399.84000000005</v>
      </c>
      <c r="AK27" s="9">
        <v>251399.84000000005</v>
      </c>
      <c r="AL27"/>
      <c r="AM27"/>
      <c r="AN27"/>
      <c r="AO27"/>
      <c r="AP27"/>
      <c r="AQ27" s="61" t="s">
        <v>73</v>
      </c>
      <c r="AR27" s="61" t="s">
        <v>108</v>
      </c>
      <c r="AT27" s="8" t="s">
        <v>76</v>
      </c>
      <c r="AU27" s="42">
        <v>0</v>
      </c>
      <c r="AV27" s="67">
        <v>4796.6000000000004</v>
      </c>
      <c r="AW27" s="67"/>
      <c r="AX27" s="67">
        <v>4796.6000000000004</v>
      </c>
      <c r="AY27"/>
    </row>
    <row r="28" spans="1:51" x14ac:dyDescent="0.25">
      <c r="A28" s="6">
        <v>44572</v>
      </c>
      <c r="B28" t="str">
        <f t="shared" si="0"/>
        <v>Enero</v>
      </c>
      <c r="C28" s="1" t="s">
        <v>35</v>
      </c>
      <c r="D28" s="58" t="str">
        <f>VLOOKUP(Datos!$C28,$AQ$2:$AR$41,2,0)</f>
        <v>Centro</v>
      </c>
      <c r="E28" s="1">
        <v>23106</v>
      </c>
      <c r="F28" s="1" t="str">
        <f t="array" ref="F28">_xlfn.IFS(H28=0,"Alta sin facturar",H28&gt;2,"Cliente",H28&gt;0,"Cliente nuevo")</f>
        <v>Alta sin facturar</v>
      </c>
      <c r="G28" s="1"/>
      <c r="H28" s="1">
        <f t="shared" si="4"/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89">
        <v>0</v>
      </c>
      <c r="O28" s="89">
        <v>0</v>
      </c>
      <c r="P28" s="89">
        <v>0</v>
      </c>
      <c r="Q28" s="54">
        <f t="shared" si="1"/>
        <v>0</v>
      </c>
      <c r="R28" s="89"/>
      <c r="S28" s="92">
        <f t="shared" si="5"/>
        <v>0</v>
      </c>
      <c r="T28" s="59">
        <f t="shared" si="2"/>
        <v>0</v>
      </c>
      <c r="U28" s="60">
        <f t="shared" si="3"/>
        <v>0</v>
      </c>
      <c r="V28" s="59" t="str">
        <f t="array" ref="V28">_xlfn.IFS(S28=0,"Alta sin facturar",S28&gt;2,"Cliente",S28&gt;0,"Cliente nuevo")</f>
        <v>Alta sin facturar</v>
      </c>
      <c r="W28" s="59" t="str">
        <f t="shared" si="6"/>
        <v>Sin pago</v>
      </c>
      <c r="X28" s="3"/>
      <c r="Y28" s="3"/>
      <c r="Z28" s="3"/>
      <c r="AA28" s="3"/>
      <c r="AB28" s="3"/>
      <c r="AC28" s="3"/>
      <c r="AD28" s="3"/>
      <c r="AE28" s="3"/>
      <c r="AG28" s="8" t="s">
        <v>95</v>
      </c>
      <c r="AH28" s="9">
        <v>0</v>
      </c>
      <c r="AI28" s="9"/>
      <c r="AJ28" s="9">
        <v>24922.6</v>
      </c>
      <c r="AK28" s="9">
        <v>24922.6</v>
      </c>
      <c r="AL28"/>
      <c r="AM28"/>
      <c r="AN28"/>
      <c r="AO28"/>
      <c r="AP28"/>
      <c r="AQ28" s="61" t="s">
        <v>102</v>
      </c>
      <c r="AR28" s="61" t="s">
        <v>109</v>
      </c>
      <c r="AT28" s="8" t="s">
        <v>78</v>
      </c>
      <c r="AU28" s="42">
        <v>0</v>
      </c>
      <c r="AV28" s="67">
        <v>10832.079999999998</v>
      </c>
      <c r="AW28" s="67">
        <v>5533.2000000000007</v>
      </c>
      <c r="AX28" s="67">
        <v>16365.279999999999</v>
      </c>
      <c r="AY28"/>
    </row>
    <row r="29" spans="1:51" x14ac:dyDescent="0.25">
      <c r="A29" s="6">
        <v>44572</v>
      </c>
      <c r="B29" t="str">
        <f t="shared" si="0"/>
        <v>Enero</v>
      </c>
      <c r="C29" s="1" t="s">
        <v>34</v>
      </c>
      <c r="D29" s="58" t="str">
        <f>VLOOKUP(Datos!$C29,$AQ$2:$AR$41,2,0)</f>
        <v>Norte</v>
      </c>
      <c r="E29" s="1">
        <v>23107</v>
      </c>
      <c r="F29" s="1" t="str">
        <f t="array" ref="F29">_xlfn.IFS(H29=0,"Alta sin facturar",H29&gt;2,"Cliente",H29&gt;0,"Cliente nuevo")</f>
        <v>Cliente</v>
      </c>
      <c r="G29" s="1"/>
      <c r="H29" s="1">
        <f t="shared" si="4"/>
        <v>8</v>
      </c>
      <c r="I29" s="2">
        <v>34333.680000000008</v>
      </c>
      <c r="J29" s="2">
        <v>22338.120000000017</v>
      </c>
      <c r="K29" s="2">
        <v>34126.040000000008</v>
      </c>
      <c r="L29" s="2">
        <v>26899.240000000013</v>
      </c>
      <c r="M29" s="2">
        <v>17278.200000000004</v>
      </c>
      <c r="N29" s="89">
        <v>46328.08</v>
      </c>
      <c r="O29" s="89">
        <v>24364.64000000001</v>
      </c>
      <c r="P29" s="89">
        <v>22100.320000000018</v>
      </c>
      <c r="Q29" s="54">
        <f t="shared" si="1"/>
        <v>227768.32000000007</v>
      </c>
      <c r="R29" s="89">
        <v>15179.76</v>
      </c>
      <c r="S29" s="92">
        <f t="shared" si="5"/>
        <v>8</v>
      </c>
      <c r="T29" s="59">
        <f t="shared" si="2"/>
        <v>212588.56000000006</v>
      </c>
      <c r="U29" s="60">
        <f t="shared" si="3"/>
        <v>6.6645616036505845E-2</v>
      </c>
      <c r="V29" s="59" t="str">
        <f t="array" ref="V29">_xlfn.IFS(S29=0,"Alta sin facturar",S29&gt;2,"Cliente",S29&gt;0,"Cliente nuevo")</f>
        <v>Cliente</v>
      </c>
      <c r="W29" s="59" t="str">
        <f t="shared" si="6"/>
        <v>Ha pagado</v>
      </c>
      <c r="X29" s="3"/>
      <c r="Y29" s="3"/>
      <c r="Z29" s="3"/>
      <c r="AA29" s="3"/>
      <c r="AB29" s="3"/>
      <c r="AC29" s="3"/>
      <c r="AD29" s="3"/>
      <c r="AE29" s="3"/>
      <c r="AG29" s="8" t="s">
        <v>20</v>
      </c>
      <c r="AH29" s="9">
        <v>0</v>
      </c>
      <c r="AI29" s="9">
        <v>8052538.4600000046</v>
      </c>
      <c r="AJ29" s="9">
        <v>1314635.9692000002</v>
      </c>
      <c r="AK29" s="9">
        <v>9367174.4292000066</v>
      </c>
      <c r="AL29"/>
      <c r="AO29"/>
      <c r="AP29"/>
      <c r="AQ29" s="61" t="s">
        <v>59</v>
      </c>
      <c r="AR29" s="61" t="s">
        <v>68</v>
      </c>
      <c r="AT29" s="8" t="s">
        <v>74</v>
      </c>
      <c r="AU29" s="42">
        <v>0</v>
      </c>
      <c r="AV29" s="67">
        <v>14593.96</v>
      </c>
      <c r="AW29" s="67"/>
      <c r="AX29" s="67">
        <v>14593.96</v>
      </c>
      <c r="AY29"/>
    </row>
    <row r="30" spans="1:51" x14ac:dyDescent="0.25">
      <c r="A30" s="6">
        <v>44572</v>
      </c>
      <c r="B30" t="str">
        <f t="shared" si="0"/>
        <v>Enero</v>
      </c>
      <c r="C30" s="1" t="s">
        <v>35</v>
      </c>
      <c r="D30" s="58" t="str">
        <f>VLOOKUP(Datos!$C30,$AQ$2:$AR$41,2,0)</f>
        <v>Centro</v>
      </c>
      <c r="E30" s="1">
        <v>23108</v>
      </c>
      <c r="F30" s="1" t="str">
        <f t="array" ref="F30">_xlfn.IFS(H30=0,"Alta sin facturar",H30&gt;2,"Cliente",H30&gt;0,"Cliente nuevo")</f>
        <v>Cliente</v>
      </c>
      <c r="G30" s="1"/>
      <c r="H30" s="1">
        <f t="shared" si="4"/>
        <v>7</v>
      </c>
      <c r="I30" s="2">
        <v>0</v>
      </c>
      <c r="J30" s="2">
        <v>2148.3199999999997</v>
      </c>
      <c r="K30" s="2">
        <v>1717.96</v>
      </c>
      <c r="L30" s="2">
        <v>909.43999999999983</v>
      </c>
      <c r="M30" s="2">
        <v>1039.3599999999999</v>
      </c>
      <c r="N30" s="89">
        <v>6173.5199999999995</v>
      </c>
      <c r="O30" s="89">
        <v>1209.8799999999999</v>
      </c>
      <c r="P30" s="89">
        <v>2263.16</v>
      </c>
      <c r="Q30" s="54">
        <f t="shared" si="1"/>
        <v>15461.639999999998</v>
      </c>
      <c r="R30" s="89">
        <v>0</v>
      </c>
      <c r="S30" s="92">
        <f t="shared" si="5"/>
        <v>7</v>
      </c>
      <c r="T30" s="59">
        <f t="shared" si="2"/>
        <v>15461.639999999998</v>
      </c>
      <c r="U30" s="60">
        <f t="shared" si="3"/>
        <v>0</v>
      </c>
      <c r="V30" s="59" t="str">
        <f t="array" ref="V30">_xlfn.IFS(S30=0,"Alta sin facturar",S30&gt;2,"Cliente",S30&gt;0,"Cliente nuevo")</f>
        <v>Cliente</v>
      </c>
      <c r="W30" s="59" t="str">
        <f t="shared" si="6"/>
        <v>Ha pagado</v>
      </c>
      <c r="X30" s="3"/>
      <c r="Y30" s="3"/>
      <c r="Z30" s="3"/>
      <c r="AA30" s="3"/>
      <c r="AB30" s="3"/>
      <c r="AC30" s="3"/>
      <c r="AD30" s="3"/>
      <c r="AE30" s="3"/>
      <c r="AG30" s="8"/>
      <c r="AH30" s="9"/>
      <c r="AI30" s="9"/>
      <c r="AJ30" s="9"/>
      <c r="AK30" s="9"/>
      <c r="AL30"/>
      <c r="AO30"/>
      <c r="AP30"/>
      <c r="AQ30" s="61" t="s">
        <v>31</v>
      </c>
      <c r="AR30" s="61" t="s">
        <v>107</v>
      </c>
      <c r="AT30" s="8" t="s">
        <v>89</v>
      </c>
      <c r="AU30" s="42">
        <v>0</v>
      </c>
      <c r="AV30" s="67">
        <v>37791.639999999992</v>
      </c>
      <c r="AW30" s="67">
        <v>181559.72</v>
      </c>
      <c r="AX30" s="67">
        <v>219351.36</v>
      </c>
      <c r="AY30"/>
    </row>
    <row r="31" spans="1:51" x14ac:dyDescent="0.25">
      <c r="A31" s="6">
        <v>44573</v>
      </c>
      <c r="B31" t="str">
        <f t="shared" si="0"/>
        <v>Enero</v>
      </c>
      <c r="C31" s="1" t="s">
        <v>66</v>
      </c>
      <c r="D31" s="58" t="str">
        <f>VLOOKUP(Datos!$C31,$AQ$2:$AR$41,2,0)</f>
        <v>Sur</v>
      </c>
      <c r="E31" s="1">
        <v>23109</v>
      </c>
      <c r="F31" s="1" t="str">
        <f t="array" ref="F31">_xlfn.IFS(H31=0,"Alta sin facturar",H31&gt;2,"Cliente",H31&gt;0,"Cliente nuevo")</f>
        <v>Cliente nuevo</v>
      </c>
      <c r="G31" s="1"/>
      <c r="H31" s="1">
        <f t="shared" si="4"/>
        <v>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89">
        <v>546.36</v>
      </c>
      <c r="O31" s="89">
        <v>0</v>
      </c>
      <c r="P31" s="89">
        <v>222.71999999999997</v>
      </c>
      <c r="Q31" s="54">
        <f t="shared" si="1"/>
        <v>769.07999999999993</v>
      </c>
      <c r="R31" s="89">
        <v>291.16000000000003</v>
      </c>
      <c r="S31" s="92">
        <f t="shared" si="5"/>
        <v>2</v>
      </c>
      <c r="T31" s="59">
        <f t="shared" si="2"/>
        <v>477.9199999999999</v>
      </c>
      <c r="U31" s="60">
        <f t="shared" si="3"/>
        <v>0.37858220211161392</v>
      </c>
      <c r="V31" s="59" t="str">
        <f t="array" ref="V31">_xlfn.IFS(S31=0,"Alta sin facturar",S31&gt;2,"Cliente",S31&gt;0,"Cliente nuevo")</f>
        <v>Cliente nuevo</v>
      </c>
      <c r="W31" s="59" t="str">
        <f t="shared" si="6"/>
        <v>Ha pagado</v>
      </c>
      <c r="X31" s="3"/>
      <c r="Y31" s="3"/>
      <c r="Z31" s="3"/>
      <c r="AA31" s="3"/>
      <c r="AB31" s="3"/>
      <c r="AC31" s="3"/>
      <c r="AD31" s="3"/>
      <c r="AE31" s="3"/>
      <c r="AG31" s="7" t="s">
        <v>26</v>
      </c>
      <c r="AH31" t="s">
        <v>28</v>
      </c>
      <c r="AI31" s="97"/>
      <c r="AO31"/>
      <c r="AP31"/>
      <c r="AQ31" s="61" t="s">
        <v>96</v>
      </c>
      <c r="AR31" s="61" t="s">
        <v>107</v>
      </c>
      <c r="AT31" s="8" t="s">
        <v>97</v>
      </c>
      <c r="AU31" s="42">
        <v>0</v>
      </c>
      <c r="AV31" s="67">
        <v>36221</v>
      </c>
      <c r="AW31" s="67">
        <v>76814.039999999979</v>
      </c>
      <c r="AX31" s="67">
        <v>113035.03999999998</v>
      </c>
    </row>
    <row r="32" spans="1:51" x14ac:dyDescent="0.25">
      <c r="A32" s="6">
        <v>44573</v>
      </c>
      <c r="B32" t="str">
        <f t="shared" si="0"/>
        <v>Enero</v>
      </c>
      <c r="C32" s="1" t="s">
        <v>63</v>
      </c>
      <c r="D32" s="58" t="str">
        <f>VLOOKUP(Datos!$C32,$AQ$2:$AR$41,2,0)</f>
        <v>Centro</v>
      </c>
      <c r="E32" s="1">
        <v>23110</v>
      </c>
      <c r="F32" s="1" t="str">
        <f t="array" ref="F32">_xlfn.IFS(H32=0,"Alta sin facturar",H32&gt;2,"Cliente",H32&gt;0,"Cliente nuevo")</f>
        <v>Cliente</v>
      </c>
      <c r="G32" s="1"/>
      <c r="H32" s="1">
        <f t="shared" si="4"/>
        <v>6</v>
      </c>
      <c r="I32" s="2">
        <v>487.2</v>
      </c>
      <c r="J32" s="2">
        <v>629.87999999999988</v>
      </c>
      <c r="K32" s="2">
        <v>1485.9599999999998</v>
      </c>
      <c r="L32" s="2">
        <v>434.99999999999994</v>
      </c>
      <c r="M32" s="2">
        <v>403.67999999999995</v>
      </c>
      <c r="N32" s="89">
        <v>351.48</v>
      </c>
      <c r="O32" s="89">
        <v>0</v>
      </c>
      <c r="P32" s="89">
        <v>0</v>
      </c>
      <c r="Q32" s="54">
        <f t="shared" si="1"/>
        <v>3793.2</v>
      </c>
      <c r="R32" s="89">
        <v>857.24</v>
      </c>
      <c r="S32" s="92">
        <f t="shared" si="5"/>
        <v>6</v>
      </c>
      <c r="T32" s="59">
        <f t="shared" si="2"/>
        <v>2935.96</v>
      </c>
      <c r="U32" s="60">
        <f t="shared" si="3"/>
        <v>0.22599388379204893</v>
      </c>
      <c r="V32" s="59" t="str">
        <f t="array" ref="V32">_xlfn.IFS(S32=0,"Alta sin facturar",S32&gt;2,"Cliente",S32&gt;0,"Cliente nuevo")</f>
        <v>Cliente</v>
      </c>
      <c r="W32" s="59" t="str">
        <f t="shared" si="6"/>
        <v>Ha pagado</v>
      </c>
      <c r="X32" s="3"/>
      <c r="Y32" s="3"/>
      <c r="Z32" s="3"/>
      <c r="AA32" s="3"/>
      <c r="AB32" s="3"/>
      <c r="AC32" s="3"/>
      <c r="AD32" s="3"/>
      <c r="AE32" s="3"/>
      <c r="AG32" s="7" t="s">
        <v>47</v>
      </c>
      <c r="AH32" t="s">
        <v>113</v>
      </c>
      <c r="AI32"/>
      <c r="AJ32" s="9"/>
      <c r="AK32" s="10"/>
      <c r="AL32"/>
      <c r="AM32"/>
      <c r="AN32"/>
      <c r="AO32"/>
      <c r="AP32"/>
      <c r="AQ32" s="61" t="s">
        <v>112</v>
      </c>
      <c r="AR32" s="61" t="s">
        <v>109</v>
      </c>
      <c r="AT32" s="8" t="s">
        <v>102</v>
      </c>
      <c r="AU32" s="42">
        <v>0</v>
      </c>
      <c r="AV32" s="67">
        <v>39401.720000000008</v>
      </c>
      <c r="AW32" s="67">
        <v>172896.84000000003</v>
      </c>
      <c r="AX32" s="67">
        <v>212298.56000000003</v>
      </c>
    </row>
    <row r="33" spans="1:50" x14ac:dyDescent="0.25">
      <c r="A33" s="6">
        <v>44573</v>
      </c>
      <c r="B33" t="str">
        <f t="shared" si="0"/>
        <v>Enero</v>
      </c>
      <c r="C33" s="1" t="s">
        <v>89</v>
      </c>
      <c r="D33" s="58" t="str">
        <f>VLOOKUP(Datos!$C33,$AQ$2:$AR$41,2,0)</f>
        <v>Centro</v>
      </c>
      <c r="E33" s="1">
        <v>23111</v>
      </c>
      <c r="F33" s="1" t="str">
        <f t="array" ref="F33">_xlfn.IFS(H33=0,"Alta sin facturar",H33&gt;2,"Cliente",H33&gt;0,"Cliente nuevo")</f>
        <v>Alta sin facturar</v>
      </c>
      <c r="G33" s="1"/>
      <c r="H33" s="1">
        <f t="shared" si="4"/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89">
        <v>0</v>
      </c>
      <c r="O33" s="89">
        <v>0</v>
      </c>
      <c r="P33" s="89">
        <v>0</v>
      </c>
      <c r="Q33" s="54">
        <f t="shared" si="1"/>
        <v>0</v>
      </c>
      <c r="R33" s="89"/>
      <c r="S33" s="92">
        <f t="shared" si="5"/>
        <v>0</v>
      </c>
      <c r="T33" s="59">
        <f t="shared" si="2"/>
        <v>0</v>
      </c>
      <c r="U33" s="60">
        <f t="shared" si="3"/>
        <v>0</v>
      </c>
      <c r="V33" s="59" t="str">
        <f t="array" ref="V33">_xlfn.IFS(S33=0,"Alta sin facturar",S33&gt;2,"Cliente",S33&gt;0,"Cliente nuevo")</f>
        <v>Alta sin facturar</v>
      </c>
      <c r="W33" s="59" t="str">
        <f t="shared" si="6"/>
        <v>Sin pago</v>
      </c>
      <c r="X33" s="3"/>
      <c r="Y33" s="3"/>
      <c r="Z33" s="3"/>
      <c r="AA33" s="3"/>
      <c r="AB33" s="3"/>
      <c r="AC33" s="3"/>
      <c r="AD33" s="3"/>
      <c r="AE33" s="3"/>
      <c r="AG33"/>
      <c r="AH33"/>
      <c r="AI33"/>
      <c r="AJ33"/>
      <c r="AK33"/>
      <c r="AL33"/>
      <c r="AM33"/>
      <c r="AN33"/>
      <c r="AO33"/>
      <c r="AP33"/>
      <c r="AQ33" s="61" t="s">
        <v>105</v>
      </c>
      <c r="AR33" s="61" t="s">
        <v>108</v>
      </c>
      <c r="AT33" s="8" t="s">
        <v>105</v>
      </c>
      <c r="AU33" s="42">
        <v>0</v>
      </c>
      <c r="AV33" s="67"/>
      <c r="AW33" s="67"/>
      <c r="AX33" s="67">
        <v>0</v>
      </c>
    </row>
    <row r="34" spans="1:50" x14ac:dyDescent="0.25">
      <c r="A34" s="6">
        <v>44573</v>
      </c>
      <c r="B34" t="str">
        <f t="shared" si="0"/>
        <v>Enero</v>
      </c>
      <c r="C34" s="1" t="s">
        <v>75</v>
      </c>
      <c r="D34" s="58" t="str">
        <f>VLOOKUP(Datos!$C34,$AQ$2:$AR$41,2,0)</f>
        <v>Centro</v>
      </c>
      <c r="E34" s="1">
        <v>23112</v>
      </c>
      <c r="F34" s="1" t="str">
        <f t="array" ref="F34">_xlfn.IFS(H34=0,"Alta sin facturar",H34&gt;2,"Cliente",H34&gt;0,"Cliente nuevo")</f>
        <v>Alta sin facturar</v>
      </c>
      <c r="G34" s="1"/>
      <c r="H34" s="1">
        <f t="shared" si="4"/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89">
        <v>0</v>
      </c>
      <c r="O34" s="89">
        <v>0</v>
      </c>
      <c r="P34" s="89">
        <v>0</v>
      </c>
      <c r="Q34" s="54">
        <f t="shared" si="1"/>
        <v>0</v>
      </c>
      <c r="R34" s="89"/>
      <c r="S34" s="92">
        <f t="shared" si="5"/>
        <v>0</v>
      </c>
      <c r="T34" s="59">
        <f t="shared" si="2"/>
        <v>0</v>
      </c>
      <c r="U34" s="60">
        <f t="shared" si="3"/>
        <v>0</v>
      </c>
      <c r="V34" s="59" t="str">
        <f t="array" ref="V34">_xlfn.IFS(S34=0,"Alta sin facturar",S34&gt;2,"Cliente",S34&gt;0,"Cliente nuevo")</f>
        <v>Alta sin facturar</v>
      </c>
      <c r="W34" s="59" t="str">
        <f t="shared" si="6"/>
        <v>Sin pago</v>
      </c>
      <c r="X34" s="3"/>
      <c r="Y34" s="3"/>
      <c r="Z34" s="3"/>
      <c r="AA34" s="3"/>
      <c r="AB34" s="3"/>
      <c r="AC34" s="3"/>
      <c r="AD34" s="3"/>
      <c r="AE34" s="3"/>
      <c r="AG34" s="7" t="s">
        <v>79</v>
      </c>
      <c r="AH34" s="7" t="s">
        <v>30</v>
      </c>
      <c r="AI34"/>
      <c r="AJ34"/>
      <c r="AK34"/>
      <c r="AL34"/>
      <c r="AM34"/>
      <c r="AN34"/>
      <c r="AO34"/>
      <c r="AP34"/>
      <c r="AQ34" s="61" t="s">
        <v>104</v>
      </c>
      <c r="AR34" s="61" t="s">
        <v>108</v>
      </c>
      <c r="AT34" s="8" t="s">
        <v>103</v>
      </c>
      <c r="AU34" s="42">
        <v>0</v>
      </c>
      <c r="AV34" s="67"/>
      <c r="AW34" s="67"/>
      <c r="AX34" s="67">
        <v>0</v>
      </c>
    </row>
    <row r="35" spans="1:50" x14ac:dyDescent="0.25">
      <c r="A35" s="6">
        <v>44573</v>
      </c>
      <c r="B35" t="str">
        <f t="shared" si="0"/>
        <v>Enero</v>
      </c>
      <c r="C35" s="1" t="s">
        <v>75</v>
      </c>
      <c r="D35" s="58" t="str">
        <f>VLOOKUP(Datos!$C35,$AQ$2:$AR$41,2,0)</f>
        <v>Centro</v>
      </c>
      <c r="E35" s="1">
        <v>23113</v>
      </c>
      <c r="F35" s="1" t="str">
        <f t="array" ref="F35">_xlfn.IFS(H35=0,"Alta sin facturar",H35&gt;2,"Cliente",H35&gt;0,"Cliente nuevo")</f>
        <v>Alta sin facturar</v>
      </c>
      <c r="G35" s="1"/>
      <c r="H35" s="1">
        <f t="shared" si="4"/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89">
        <v>0</v>
      </c>
      <c r="O35" s="89">
        <v>0</v>
      </c>
      <c r="P35" s="89">
        <v>0</v>
      </c>
      <c r="Q35" s="54">
        <f t="shared" si="1"/>
        <v>0</v>
      </c>
      <c r="R35" s="89"/>
      <c r="S35" s="92">
        <f t="shared" si="5"/>
        <v>0</v>
      </c>
      <c r="T35" s="59">
        <f t="shared" si="2"/>
        <v>0</v>
      </c>
      <c r="U35" s="60">
        <f t="shared" si="3"/>
        <v>0</v>
      </c>
      <c r="V35" s="59" t="str">
        <f t="array" ref="V35">_xlfn.IFS(S35=0,"Alta sin facturar",S35&gt;2,"Cliente",S35&gt;0,"Cliente nuevo")</f>
        <v>Alta sin facturar</v>
      </c>
      <c r="W35" s="59" t="str">
        <f t="shared" si="6"/>
        <v>Sin pago</v>
      </c>
      <c r="X35" s="3"/>
      <c r="Y35" s="3"/>
      <c r="Z35" s="3"/>
      <c r="AA35" s="3"/>
      <c r="AB35" s="3"/>
      <c r="AC35" s="3"/>
      <c r="AD35" s="3"/>
      <c r="AE35" s="3"/>
      <c r="AG35" s="7" t="s">
        <v>10</v>
      </c>
      <c r="AH35" t="s">
        <v>1</v>
      </c>
      <c r="AI35" t="s">
        <v>2</v>
      </c>
      <c r="AJ35" t="s">
        <v>3</v>
      </c>
      <c r="AK35" t="s">
        <v>4</v>
      </c>
      <c r="AL35" t="s">
        <v>5</v>
      </c>
      <c r="AM35" t="s">
        <v>6</v>
      </c>
      <c r="AN35" t="s">
        <v>20</v>
      </c>
      <c r="AO35"/>
      <c r="AP35"/>
      <c r="AQ35" s="61" t="s">
        <v>63</v>
      </c>
      <c r="AR35" s="61" t="s">
        <v>107</v>
      </c>
      <c r="AT35" s="8" t="s">
        <v>104</v>
      </c>
      <c r="AU35" s="42">
        <v>0</v>
      </c>
      <c r="AV35" s="67"/>
      <c r="AW35" s="67"/>
      <c r="AX35" s="67">
        <v>0</v>
      </c>
    </row>
    <row r="36" spans="1:50" x14ac:dyDescent="0.25">
      <c r="A36" s="6">
        <v>44573</v>
      </c>
      <c r="B36" t="str">
        <f t="shared" si="0"/>
        <v>Enero</v>
      </c>
      <c r="C36" s="1" t="s">
        <v>39</v>
      </c>
      <c r="D36" s="58" t="str">
        <f>VLOOKUP(Datos!$C36,$AQ$2:$AR$41,2,0)</f>
        <v>Sur</v>
      </c>
      <c r="E36" s="1">
        <v>23114</v>
      </c>
      <c r="F36" s="1" t="str">
        <f t="array" ref="F36">_xlfn.IFS(H36=0,"Alta sin facturar",H36&gt;2,"Cliente",H36&gt;0,"Cliente nuevo")</f>
        <v>Cliente nuevo</v>
      </c>
      <c r="G36" s="1"/>
      <c r="H36" s="1">
        <f t="shared" si="4"/>
        <v>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89">
        <v>91.64</v>
      </c>
      <c r="O36" s="89">
        <v>0</v>
      </c>
      <c r="P36" s="89">
        <v>366.56</v>
      </c>
      <c r="Q36" s="54">
        <f t="shared" si="1"/>
        <v>458.2</v>
      </c>
      <c r="R36" s="89">
        <v>0</v>
      </c>
      <c r="S36" s="92">
        <f t="shared" si="5"/>
        <v>2</v>
      </c>
      <c r="T36" s="59">
        <f t="shared" si="2"/>
        <v>458.2</v>
      </c>
      <c r="U36" s="60">
        <f t="shared" si="3"/>
        <v>0</v>
      </c>
      <c r="V36" s="59" t="str">
        <f t="array" ref="V36">_xlfn.IFS(S36=0,"Alta sin facturar",S36&gt;2,"Cliente",S36&gt;0,"Cliente nuevo")</f>
        <v>Cliente nuevo</v>
      </c>
      <c r="W36" s="59" t="str">
        <f t="shared" si="6"/>
        <v>Ha pagado</v>
      </c>
      <c r="X36" s="3"/>
      <c r="Y36" s="3"/>
      <c r="Z36" s="3"/>
      <c r="AA36" s="3"/>
      <c r="AB36" s="3"/>
      <c r="AC36" s="3"/>
      <c r="AD36" s="3"/>
      <c r="AE36" s="3"/>
      <c r="AG36" s="8" t="s">
        <v>21</v>
      </c>
      <c r="AH36" s="100">
        <v>13</v>
      </c>
      <c r="AI36" s="100">
        <v>14</v>
      </c>
      <c r="AJ36" s="100">
        <v>21</v>
      </c>
      <c r="AK36" s="100">
        <v>14</v>
      </c>
      <c r="AL36" s="100">
        <v>11</v>
      </c>
      <c r="AM36" s="100">
        <v>14</v>
      </c>
      <c r="AN36" s="100">
        <v>87</v>
      </c>
      <c r="AO36"/>
      <c r="AP36"/>
      <c r="AQ36" s="61" t="s">
        <v>41</v>
      </c>
      <c r="AR36" s="61" t="s">
        <v>107</v>
      </c>
      <c r="AT36"/>
      <c r="AU36"/>
      <c r="AV36"/>
      <c r="AW36"/>
      <c r="AX36"/>
    </row>
    <row r="37" spans="1:50" x14ac:dyDescent="0.25">
      <c r="A37" s="6">
        <v>44573</v>
      </c>
      <c r="B37" t="str">
        <f t="shared" si="0"/>
        <v>Enero</v>
      </c>
      <c r="C37" s="1" t="s">
        <v>89</v>
      </c>
      <c r="D37" s="58" t="str">
        <f>VLOOKUP(Datos!$C37,$AQ$2:$AR$41,2,0)</f>
        <v>Centro</v>
      </c>
      <c r="E37" s="1">
        <v>23115</v>
      </c>
      <c r="F37" s="1" t="str">
        <f t="array" ref="F37">_xlfn.IFS(H37=0,"Alta sin facturar",H37&gt;2,"Cliente",H37&gt;0,"Cliente nuevo")</f>
        <v>Cliente nuevo</v>
      </c>
      <c r="G37" s="1"/>
      <c r="H37" s="1">
        <f t="shared" si="4"/>
        <v>1</v>
      </c>
      <c r="I37" s="2">
        <v>0</v>
      </c>
      <c r="J37" s="2">
        <v>0</v>
      </c>
      <c r="K37" s="2">
        <v>0</v>
      </c>
      <c r="L37" s="2">
        <v>3424.3199999999997</v>
      </c>
      <c r="M37" s="2">
        <v>0</v>
      </c>
      <c r="N37" s="89">
        <v>0</v>
      </c>
      <c r="O37" s="89">
        <v>0</v>
      </c>
      <c r="P37" s="89">
        <v>0</v>
      </c>
      <c r="Q37" s="54">
        <f t="shared" si="1"/>
        <v>3424.3199999999997</v>
      </c>
      <c r="R37" s="89">
        <v>290</v>
      </c>
      <c r="S37" s="92">
        <f t="shared" si="5"/>
        <v>1</v>
      </c>
      <c r="T37" s="59">
        <f t="shared" si="2"/>
        <v>3134.3199999999997</v>
      </c>
      <c r="U37" s="60">
        <f t="shared" si="3"/>
        <v>8.4688346883468837E-2</v>
      </c>
      <c r="V37" s="59" t="str">
        <f t="array" ref="V37">_xlfn.IFS(S37=0,"Alta sin facturar",S37&gt;2,"Cliente",S37&gt;0,"Cliente nuevo")</f>
        <v>Cliente nuevo</v>
      </c>
      <c r="W37" s="59" t="str">
        <f t="shared" si="6"/>
        <v>Ha pagado</v>
      </c>
      <c r="X37" s="3"/>
      <c r="Y37" s="3"/>
      <c r="Z37" s="3"/>
      <c r="AA37" s="3"/>
      <c r="AB37" s="3"/>
      <c r="AC37" s="3"/>
      <c r="AD37" s="3"/>
      <c r="AE37" s="3"/>
      <c r="AG37" s="8" t="s">
        <v>22</v>
      </c>
      <c r="AH37" s="100">
        <v>53</v>
      </c>
      <c r="AI37" s="100">
        <v>27</v>
      </c>
      <c r="AJ37" s="100">
        <v>33</v>
      </c>
      <c r="AK37" s="100">
        <v>25</v>
      </c>
      <c r="AL37" s="100">
        <v>10</v>
      </c>
      <c r="AM37" s="100">
        <v>0</v>
      </c>
      <c r="AN37" s="100">
        <v>148</v>
      </c>
      <c r="AO37"/>
      <c r="AP37"/>
      <c r="AQ37" s="61" t="s">
        <v>64</v>
      </c>
      <c r="AR37" s="61" t="s">
        <v>108</v>
      </c>
      <c r="AT37"/>
      <c r="AU37"/>
      <c r="AV37"/>
      <c r="AW37"/>
      <c r="AX37"/>
    </row>
    <row r="38" spans="1:50" x14ac:dyDescent="0.25">
      <c r="A38" s="6">
        <v>44573</v>
      </c>
      <c r="B38" t="str">
        <f t="shared" si="0"/>
        <v>Enero</v>
      </c>
      <c r="C38" s="1" t="s">
        <v>41</v>
      </c>
      <c r="D38" s="58" t="str">
        <f>VLOOKUP(Datos!$C38,$AQ$2:$AR$41,2,0)</f>
        <v>Centro</v>
      </c>
      <c r="E38" s="1">
        <v>23116</v>
      </c>
      <c r="F38" s="1" t="str">
        <f t="array" ref="F38">_xlfn.IFS(H38=0,"Alta sin facturar",H38&gt;2,"Cliente",H38&gt;0,"Cliente nuevo")</f>
        <v>Cliente</v>
      </c>
      <c r="G38" s="1"/>
      <c r="H38" s="1">
        <f t="shared" si="4"/>
        <v>3</v>
      </c>
      <c r="I38" s="2">
        <v>276.08</v>
      </c>
      <c r="J38" s="2">
        <v>310.88</v>
      </c>
      <c r="K38" s="2">
        <v>926.8399999999998</v>
      </c>
      <c r="L38" s="2">
        <v>0</v>
      </c>
      <c r="M38" s="2">
        <v>0</v>
      </c>
      <c r="N38" s="89">
        <v>0</v>
      </c>
      <c r="O38" s="89">
        <v>0</v>
      </c>
      <c r="P38" s="89">
        <v>0</v>
      </c>
      <c r="Q38" s="54">
        <f t="shared" si="1"/>
        <v>1513.7999999999997</v>
      </c>
      <c r="R38" s="89">
        <v>0</v>
      </c>
      <c r="S38" s="92">
        <f t="shared" si="5"/>
        <v>3</v>
      </c>
      <c r="T38" s="59">
        <f t="shared" si="2"/>
        <v>1513.7999999999997</v>
      </c>
      <c r="U38" s="60">
        <f t="shared" si="3"/>
        <v>0</v>
      </c>
      <c r="V38" s="59" t="str">
        <f t="array" ref="V38">_xlfn.IFS(S38=0,"Alta sin facturar",S38&gt;2,"Cliente",S38&gt;0,"Cliente nuevo")</f>
        <v>Cliente</v>
      </c>
      <c r="W38" s="59" t="str">
        <f t="shared" si="6"/>
        <v>Ha pagado</v>
      </c>
      <c r="X38" s="3"/>
      <c r="Y38" s="3"/>
      <c r="Z38" s="3"/>
      <c r="AA38" s="3"/>
      <c r="AB38" s="3"/>
      <c r="AC38" s="3"/>
      <c r="AD38" s="3"/>
      <c r="AE38" s="3"/>
      <c r="AG38" s="8" t="s">
        <v>23</v>
      </c>
      <c r="AH38" s="100">
        <v>13</v>
      </c>
      <c r="AI38" s="100">
        <v>13</v>
      </c>
      <c r="AJ38" s="100">
        <v>8</v>
      </c>
      <c r="AK38" s="100">
        <v>17</v>
      </c>
      <c r="AL38" s="100">
        <v>29</v>
      </c>
      <c r="AM38" s="100">
        <v>49</v>
      </c>
      <c r="AN38" s="100">
        <v>129</v>
      </c>
      <c r="AO38"/>
      <c r="AP38"/>
      <c r="AQ38" s="61" t="s">
        <v>74</v>
      </c>
      <c r="AR38" s="61" t="s">
        <v>109</v>
      </c>
      <c r="AT38"/>
      <c r="AU38"/>
      <c r="AV38"/>
      <c r="AW38"/>
      <c r="AX38"/>
    </row>
    <row r="39" spans="1:50" x14ac:dyDescent="0.25">
      <c r="A39" s="6">
        <v>44574</v>
      </c>
      <c r="B39" t="str">
        <f t="shared" si="0"/>
        <v>Enero</v>
      </c>
      <c r="C39" s="1" t="s">
        <v>36</v>
      </c>
      <c r="D39" s="58" t="str">
        <f>VLOOKUP(Datos!$C39,$AQ$2:$AR$41,2,0)</f>
        <v>Magallanes</v>
      </c>
      <c r="E39" s="1">
        <v>23117</v>
      </c>
      <c r="F39" s="1" t="str">
        <f t="array" ref="F39">_xlfn.IFS(H39=0,"Alta sin facturar",H39&gt;2,"Cliente",H39&gt;0,"Cliente nuevo")</f>
        <v>Cliente</v>
      </c>
      <c r="G39" s="1"/>
      <c r="H39" s="1">
        <f t="shared" si="4"/>
        <v>5</v>
      </c>
      <c r="I39" s="2">
        <v>0</v>
      </c>
      <c r="J39" s="2">
        <v>371.2</v>
      </c>
      <c r="K39" s="2">
        <v>0</v>
      </c>
      <c r="L39" s="2">
        <v>0</v>
      </c>
      <c r="M39" s="2">
        <v>280.71999999999997</v>
      </c>
      <c r="N39" s="89">
        <v>1968.52</v>
      </c>
      <c r="O39" s="89">
        <v>3811.7599999999993</v>
      </c>
      <c r="P39" s="89">
        <v>2569.3999999999996</v>
      </c>
      <c r="Q39" s="54">
        <f t="shared" si="1"/>
        <v>9001.5999999999985</v>
      </c>
      <c r="R39" s="89">
        <v>1856</v>
      </c>
      <c r="S39" s="92">
        <f t="shared" si="5"/>
        <v>5</v>
      </c>
      <c r="T39" s="59">
        <f t="shared" si="2"/>
        <v>7145.5999999999985</v>
      </c>
      <c r="U39" s="60">
        <f t="shared" si="3"/>
        <v>0.20618556701030932</v>
      </c>
      <c r="V39" s="59" t="str">
        <f t="array" ref="V39">_xlfn.IFS(S39=0,"Alta sin facturar",S39&gt;2,"Cliente",S39&gt;0,"Cliente nuevo")</f>
        <v>Cliente</v>
      </c>
      <c r="W39" s="59" t="str">
        <f t="shared" si="6"/>
        <v>Ha pagado</v>
      </c>
      <c r="X39" s="3"/>
      <c r="Y39" s="3"/>
      <c r="Z39" s="3"/>
      <c r="AA39" s="3"/>
      <c r="AB39" s="3"/>
      <c r="AC39" s="3"/>
      <c r="AD39" s="3"/>
      <c r="AE39" s="3"/>
      <c r="AG39" s="8" t="s">
        <v>20</v>
      </c>
      <c r="AH39" s="100">
        <v>79</v>
      </c>
      <c r="AI39" s="100">
        <v>54</v>
      </c>
      <c r="AJ39" s="100">
        <v>62</v>
      </c>
      <c r="AK39" s="100">
        <v>56</v>
      </c>
      <c r="AL39" s="100">
        <v>50</v>
      </c>
      <c r="AM39" s="100">
        <v>63</v>
      </c>
      <c r="AN39" s="100">
        <v>364</v>
      </c>
      <c r="AO39"/>
      <c r="AP39"/>
      <c r="AQ39" s="61" t="s">
        <v>37</v>
      </c>
      <c r="AR39" s="61" t="s">
        <v>108</v>
      </c>
    </row>
    <row r="40" spans="1:50" x14ac:dyDescent="0.25">
      <c r="A40" s="6">
        <v>44574</v>
      </c>
      <c r="B40" t="str">
        <f t="shared" si="0"/>
        <v>Enero</v>
      </c>
      <c r="C40" s="1" t="s">
        <v>31</v>
      </c>
      <c r="D40" s="58" t="str">
        <f>VLOOKUP(Datos!$C40,$AQ$2:$AR$41,2,0)</f>
        <v>Centro</v>
      </c>
      <c r="E40" s="1">
        <v>23118</v>
      </c>
      <c r="F40" s="1" t="str">
        <f t="array" ref="F40">_xlfn.IFS(H40=0,"Alta sin facturar",H40&gt;2,"Cliente",H40&gt;0,"Cliente nuevo")</f>
        <v>Cliente nuevo</v>
      </c>
      <c r="G40" s="1"/>
      <c r="H40" s="1">
        <f t="shared" si="4"/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89">
        <v>12992</v>
      </c>
      <c r="O40" s="89">
        <v>0</v>
      </c>
      <c r="P40" s="89">
        <v>0</v>
      </c>
      <c r="Q40" s="54">
        <f t="shared" si="1"/>
        <v>12992</v>
      </c>
      <c r="R40" s="89">
        <v>0</v>
      </c>
      <c r="S40" s="92">
        <f t="shared" si="5"/>
        <v>1</v>
      </c>
      <c r="T40" s="59">
        <f t="shared" si="2"/>
        <v>12992</v>
      </c>
      <c r="U40" s="60">
        <f t="shared" si="3"/>
        <v>0</v>
      </c>
      <c r="V40" s="59" t="str">
        <f t="array" ref="V40">_xlfn.IFS(S40=0,"Alta sin facturar",S40&gt;2,"Cliente",S40&gt;0,"Cliente nuevo")</f>
        <v>Cliente nuevo</v>
      </c>
      <c r="W40" s="59" t="str">
        <f t="shared" si="6"/>
        <v>Ha pagado</v>
      </c>
      <c r="X40" s="3"/>
      <c r="Y40" s="3"/>
      <c r="Z40" s="3"/>
      <c r="AA40" s="3"/>
      <c r="AB40" s="3"/>
      <c r="AC40" s="3"/>
      <c r="AD40" s="3"/>
      <c r="AE40" s="3"/>
      <c r="AG40" s="8"/>
      <c r="AH40" s="100"/>
      <c r="AI40" s="100"/>
      <c r="AJ40" s="100"/>
      <c r="AK40" s="100"/>
      <c r="AL40" s="100"/>
      <c r="AM40" s="100"/>
      <c r="AN40" s="100"/>
      <c r="AO40" s="100"/>
      <c r="AP40"/>
      <c r="AQ40" s="61" t="s">
        <v>76</v>
      </c>
      <c r="AR40" s="61" t="s">
        <v>109</v>
      </c>
    </row>
    <row r="41" spans="1:50" x14ac:dyDescent="0.25">
      <c r="A41" s="6">
        <v>44574</v>
      </c>
      <c r="B41" t="str">
        <f t="shared" si="0"/>
        <v>Enero</v>
      </c>
      <c r="C41" s="1" t="s">
        <v>41</v>
      </c>
      <c r="D41" s="58" t="str">
        <f>VLOOKUP(Datos!$C41,$AQ$2:$AR$41,2,0)</f>
        <v>Centro</v>
      </c>
      <c r="E41" s="1">
        <v>23119</v>
      </c>
      <c r="F41" s="1" t="str">
        <f t="array" ref="F41">_xlfn.IFS(H41=0,"Alta sin facturar",H41&gt;2,"Cliente",H41&gt;0,"Cliente nuevo")</f>
        <v>Alta sin facturar</v>
      </c>
      <c r="G41" s="1"/>
      <c r="H41" s="1">
        <f t="shared" si="4"/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89">
        <v>0</v>
      </c>
      <c r="O41" s="89">
        <v>0</v>
      </c>
      <c r="P41" s="89">
        <v>0</v>
      </c>
      <c r="Q41" s="54">
        <f t="shared" si="1"/>
        <v>0</v>
      </c>
      <c r="R41" s="89"/>
      <c r="S41" s="92">
        <f t="shared" si="5"/>
        <v>0</v>
      </c>
      <c r="T41" s="59">
        <f t="shared" si="2"/>
        <v>0</v>
      </c>
      <c r="U41" s="60">
        <f t="shared" si="3"/>
        <v>0</v>
      </c>
      <c r="V41" s="59" t="str">
        <f t="array" ref="V41">_xlfn.IFS(S41=0,"Alta sin facturar",S41&gt;2,"Cliente",S41&gt;0,"Cliente nuevo")</f>
        <v>Alta sin facturar</v>
      </c>
      <c r="W41" s="59" t="str">
        <f t="shared" si="6"/>
        <v>Sin pago</v>
      </c>
      <c r="X41" s="3"/>
      <c r="Y41" s="3"/>
      <c r="Z41" s="3"/>
      <c r="AA41" s="3"/>
      <c r="AB41" s="3"/>
      <c r="AC41" s="3"/>
      <c r="AD41" s="3"/>
      <c r="AE41" s="3"/>
      <c r="AG41" s="7" t="s">
        <v>26</v>
      </c>
      <c r="AH41" t="s">
        <v>28</v>
      </c>
      <c r="AO41"/>
      <c r="AQ41" s="61" t="s">
        <v>35</v>
      </c>
      <c r="AR41" s="61" t="s">
        <v>107</v>
      </c>
    </row>
    <row r="42" spans="1:50" x14ac:dyDescent="0.25">
      <c r="A42" s="6">
        <v>44575</v>
      </c>
      <c r="B42" t="str">
        <f t="shared" si="0"/>
        <v>Enero</v>
      </c>
      <c r="C42" s="1" t="s">
        <v>66</v>
      </c>
      <c r="D42" s="58" t="str">
        <f>VLOOKUP(Datos!$C42,$AQ$2:$AR$41,2,0)</f>
        <v>Sur</v>
      </c>
      <c r="E42" s="1">
        <v>23120</v>
      </c>
      <c r="F42" s="1" t="str">
        <f t="array" ref="F42">_xlfn.IFS(H42=0,"Alta sin facturar",H42&gt;2,"Cliente",H42&gt;0,"Cliente nuevo")</f>
        <v>Cliente nuevo</v>
      </c>
      <c r="G42" s="1"/>
      <c r="H42" s="1">
        <f t="shared" si="4"/>
        <v>2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89">
        <v>13014.039999999999</v>
      </c>
      <c r="O42" s="89">
        <v>0</v>
      </c>
      <c r="P42" s="89">
        <v>2216.7599999999998</v>
      </c>
      <c r="Q42" s="54">
        <f t="shared" si="1"/>
        <v>15230.8</v>
      </c>
      <c r="R42" s="89">
        <v>5.28</v>
      </c>
      <c r="S42" s="92">
        <f t="shared" si="5"/>
        <v>2</v>
      </c>
      <c r="T42" s="59">
        <f t="shared" si="2"/>
        <v>15225.519999999999</v>
      </c>
      <c r="U42" s="60">
        <f t="shared" si="3"/>
        <v>3.4666596633138119E-4</v>
      </c>
      <c r="V42" s="59" t="str">
        <f t="array" ref="V42">_xlfn.IFS(S42=0,"Alta sin facturar",S42&gt;2,"Cliente",S42&gt;0,"Cliente nuevo")</f>
        <v>Cliente nuevo</v>
      </c>
      <c r="W42" s="59" t="str">
        <f t="shared" si="6"/>
        <v>Ha pagado</v>
      </c>
      <c r="X42" s="3"/>
      <c r="Y42" s="3"/>
      <c r="Z42" s="3"/>
      <c r="AA42" s="3"/>
      <c r="AB42" s="3"/>
      <c r="AC42" s="3"/>
      <c r="AD42" s="3"/>
      <c r="AE42" s="3"/>
      <c r="AG42" s="7" t="s">
        <v>47</v>
      </c>
      <c r="AH42" t="s">
        <v>113</v>
      </c>
      <c r="AI42" s="9"/>
      <c r="AJ42" s="9"/>
      <c r="AK42" s="10"/>
      <c r="AL42"/>
      <c r="AM42"/>
      <c r="AN42"/>
      <c r="AO42"/>
      <c r="AQ42"/>
      <c r="AR42"/>
    </row>
    <row r="43" spans="1:50" x14ac:dyDescent="0.25">
      <c r="A43" s="6">
        <v>44575</v>
      </c>
      <c r="B43" t="str">
        <f t="shared" si="0"/>
        <v>Enero</v>
      </c>
      <c r="C43" s="1" t="s">
        <v>62</v>
      </c>
      <c r="D43" s="58" t="str">
        <f>VLOOKUP(Datos!$C43,$AQ$2:$AR$41,2,0)</f>
        <v>Norte</v>
      </c>
      <c r="E43" s="1">
        <v>23121</v>
      </c>
      <c r="F43" s="1" t="str">
        <f t="array" ref="F43">_xlfn.IFS(H43=0,"Alta sin facturar",H43&gt;2,"Cliente",H43&gt;0,"Cliente nuevo")</f>
        <v>Alta sin facturar</v>
      </c>
      <c r="G43" s="1"/>
      <c r="H43" s="1">
        <f t="shared" si="4"/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89">
        <v>0</v>
      </c>
      <c r="O43" s="89">
        <v>0</v>
      </c>
      <c r="P43" s="89">
        <v>0</v>
      </c>
      <c r="Q43" s="54">
        <f t="shared" si="1"/>
        <v>0</v>
      </c>
      <c r="R43" s="89"/>
      <c r="S43" s="92">
        <f t="shared" si="5"/>
        <v>0</v>
      </c>
      <c r="T43" s="59">
        <f t="shared" si="2"/>
        <v>0</v>
      </c>
      <c r="U43" s="60">
        <f t="shared" si="3"/>
        <v>0</v>
      </c>
      <c r="V43" s="59" t="str">
        <f t="array" ref="V43">_xlfn.IFS(S43=0,"Alta sin facturar",S43&gt;2,"Cliente",S43&gt;0,"Cliente nuevo")</f>
        <v>Alta sin facturar</v>
      </c>
      <c r="W43" s="59" t="str">
        <f t="shared" si="6"/>
        <v>Sin pago</v>
      </c>
      <c r="X43" s="3"/>
      <c r="Y43" s="3"/>
      <c r="Z43" s="3"/>
      <c r="AA43" s="3"/>
      <c r="AB43" s="3"/>
      <c r="AC43" s="3"/>
      <c r="AD43" s="3"/>
      <c r="AE43" s="3"/>
      <c r="AG43"/>
      <c r="AH43"/>
      <c r="AI43"/>
      <c r="AJ43"/>
      <c r="AK43"/>
      <c r="AL43"/>
      <c r="AM43"/>
      <c r="AN43"/>
      <c r="AQ43"/>
      <c r="AR43"/>
    </row>
    <row r="44" spans="1:50" x14ac:dyDescent="0.25">
      <c r="A44" s="6">
        <v>44575</v>
      </c>
      <c r="B44" t="str">
        <f t="shared" si="0"/>
        <v>Enero</v>
      </c>
      <c r="C44" s="1" t="s">
        <v>36</v>
      </c>
      <c r="D44" s="58" t="str">
        <f>VLOOKUP(Datos!$C44,$AQ$2:$AR$41,2,0)</f>
        <v>Magallanes</v>
      </c>
      <c r="E44" s="1">
        <v>23122</v>
      </c>
      <c r="F44" s="1" t="str">
        <f t="array" ref="F44">_xlfn.IFS(H44=0,"Alta sin facturar",H44&gt;2,"Cliente",H44&gt;0,"Cliente nuevo")</f>
        <v>Alta sin facturar</v>
      </c>
      <c r="G44" s="1"/>
      <c r="H44" s="1">
        <f t="shared" si="4"/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89">
        <v>0</v>
      </c>
      <c r="O44" s="89">
        <v>0</v>
      </c>
      <c r="P44" s="89">
        <v>0</v>
      </c>
      <c r="Q44" s="54">
        <f t="shared" si="1"/>
        <v>0</v>
      </c>
      <c r="R44" s="89">
        <v>556.79999999999995</v>
      </c>
      <c r="S44" s="92">
        <f t="shared" si="5"/>
        <v>0</v>
      </c>
      <c r="T44" s="59">
        <f t="shared" si="2"/>
        <v>-556.79999999999995</v>
      </c>
      <c r="U44" s="60">
        <f t="shared" si="3"/>
        <v>0</v>
      </c>
      <c r="V44" s="59" t="str">
        <f t="array" ref="V44">_xlfn.IFS(S44=0,"Alta sin facturar",S44&gt;2,"Cliente",S44&gt;0,"Cliente nuevo")</f>
        <v>Alta sin facturar</v>
      </c>
      <c r="W44" s="59" t="str">
        <f t="shared" si="6"/>
        <v>Sin pago</v>
      </c>
      <c r="X44" s="3"/>
      <c r="Y44" s="3"/>
      <c r="Z44" s="3"/>
      <c r="AA44" s="3"/>
      <c r="AB44" s="3"/>
      <c r="AC44" s="3"/>
      <c r="AD44" s="3"/>
      <c r="AE44" s="3"/>
      <c r="AG44"/>
      <c r="AH44" s="7" t="s">
        <v>30</v>
      </c>
      <c r="AI44"/>
      <c r="AJ44"/>
      <c r="AK44"/>
      <c r="AL44"/>
      <c r="AM44"/>
      <c r="AN44"/>
      <c r="AO44"/>
      <c r="AQ44"/>
      <c r="AR44"/>
    </row>
    <row r="45" spans="1:50" x14ac:dyDescent="0.25">
      <c r="A45" s="6">
        <v>44575</v>
      </c>
      <c r="B45" t="str">
        <f t="shared" si="0"/>
        <v>Enero</v>
      </c>
      <c r="C45" s="1" t="s">
        <v>34</v>
      </c>
      <c r="D45" s="58" t="str">
        <f>VLOOKUP(Datos!$C45,$AQ$2:$AR$41,2,0)</f>
        <v>Norte</v>
      </c>
      <c r="E45" s="1">
        <v>23123</v>
      </c>
      <c r="F45" s="1" t="str">
        <f t="array" ref="F45">_xlfn.IFS(H45=0,"Alta sin facturar",H45&gt;2,"Cliente",H45&gt;0,"Cliente nuevo")</f>
        <v>Alta sin facturar</v>
      </c>
      <c r="G45" s="1"/>
      <c r="H45" s="1">
        <f t="shared" si="4"/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89">
        <v>0</v>
      </c>
      <c r="O45" s="89">
        <v>0</v>
      </c>
      <c r="P45" s="89">
        <v>0</v>
      </c>
      <c r="Q45" s="54">
        <f t="shared" si="1"/>
        <v>0</v>
      </c>
      <c r="R45" s="89"/>
      <c r="S45" s="92">
        <f t="shared" si="5"/>
        <v>0</v>
      </c>
      <c r="T45" s="59">
        <f t="shared" si="2"/>
        <v>0</v>
      </c>
      <c r="U45" s="60">
        <f t="shared" si="3"/>
        <v>0</v>
      </c>
      <c r="V45" s="59" t="str">
        <f t="array" ref="V45">_xlfn.IFS(S45=0,"Alta sin facturar",S45&gt;2,"Cliente",S45&gt;0,"Cliente nuevo")</f>
        <v>Alta sin facturar</v>
      </c>
      <c r="W45" s="59" t="str">
        <f t="shared" si="6"/>
        <v>Sin pago</v>
      </c>
      <c r="X45" s="3"/>
      <c r="Y45" s="3"/>
      <c r="Z45" s="3"/>
      <c r="AA45" s="3"/>
      <c r="AB45" s="3"/>
      <c r="AC45" s="3"/>
      <c r="AD45" s="3"/>
      <c r="AE45" s="3"/>
      <c r="AG45" s="7" t="s">
        <v>10</v>
      </c>
      <c r="AH45" t="s">
        <v>1</v>
      </c>
      <c r="AI45" t="s">
        <v>2</v>
      </c>
      <c r="AJ45" t="s">
        <v>3</v>
      </c>
      <c r="AK45" t="s">
        <v>4</v>
      </c>
      <c r="AL45" t="s">
        <v>5</v>
      </c>
      <c r="AM45" t="s">
        <v>6</v>
      </c>
      <c r="AN45" t="s">
        <v>20</v>
      </c>
      <c r="AO45"/>
      <c r="AQ45"/>
      <c r="AR45"/>
    </row>
    <row r="46" spans="1:50" x14ac:dyDescent="0.25">
      <c r="A46" s="6">
        <v>44575</v>
      </c>
      <c r="B46" t="str">
        <f t="shared" si="0"/>
        <v>Enero</v>
      </c>
      <c r="C46" s="1" t="s">
        <v>34</v>
      </c>
      <c r="D46" s="58" t="str">
        <f>VLOOKUP(Datos!$C46,$AQ$2:$AR$41,2,0)</f>
        <v>Norte</v>
      </c>
      <c r="E46" s="1">
        <v>23124</v>
      </c>
      <c r="F46" s="1" t="str">
        <f t="array" ref="F46">_xlfn.IFS(H46=0,"Alta sin facturar",H46&gt;2,"Cliente",H46&gt;0,"Cliente nuevo")</f>
        <v>Alta sin facturar</v>
      </c>
      <c r="G46" s="1"/>
      <c r="H46" s="1">
        <f t="shared" si="4"/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89">
        <v>0</v>
      </c>
      <c r="O46" s="89">
        <v>0</v>
      </c>
      <c r="P46" s="89">
        <v>0</v>
      </c>
      <c r="Q46" s="54">
        <f t="shared" si="1"/>
        <v>0</v>
      </c>
      <c r="R46" s="89"/>
      <c r="S46" s="92">
        <f t="shared" si="5"/>
        <v>0</v>
      </c>
      <c r="T46" s="59">
        <f t="shared" si="2"/>
        <v>0</v>
      </c>
      <c r="U46" s="60">
        <f t="shared" si="3"/>
        <v>0</v>
      </c>
      <c r="V46" s="59" t="str">
        <f t="array" ref="V46">_xlfn.IFS(S46=0,"Alta sin facturar",S46&gt;2,"Cliente",S46&gt;0,"Cliente nuevo")</f>
        <v>Alta sin facturar</v>
      </c>
      <c r="W46" s="59" t="str">
        <f t="shared" si="6"/>
        <v>Sin pago</v>
      </c>
      <c r="X46" s="3"/>
      <c r="Y46" s="3"/>
      <c r="Z46" s="3"/>
      <c r="AA46" s="3"/>
      <c r="AB46" s="3"/>
      <c r="AC46" s="3"/>
      <c r="AD46" s="3"/>
      <c r="AE46" s="3"/>
      <c r="AG46" s="8" t="s">
        <v>22</v>
      </c>
      <c r="AH46" s="9"/>
      <c r="AI46" s="9"/>
      <c r="AJ46" s="9"/>
      <c r="AK46" s="9"/>
      <c r="AL46" s="9"/>
      <c r="AM46" s="9"/>
      <c r="AN46" s="9"/>
      <c r="AO46"/>
      <c r="AQ46"/>
      <c r="AR46"/>
    </row>
    <row r="47" spans="1:50" x14ac:dyDescent="0.25">
      <c r="A47" s="6">
        <v>44575</v>
      </c>
      <c r="B47" t="str">
        <f t="shared" si="0"/>
        <v>Enero</v>
      </c>
      <c r="C47" s="1" t="s">
        <v>34</v>
      </c>
      <c r="D47" s="58" t="str">
        <f>VLOOKUP(Datos!$C47,$AQ$2:$AR$41,2,0)</f>
        <v>Norte</v>
      </c>
      <c r="E47" s="1">
        <v>23125</v>
      </c>
      <c r="F47" s="1" t="str">
        <f t="array" ref="F47">_xlfn.IFS(H47=0,"Alta sin facturar",H47&gt;2,"Cliente",H47&gt;0,"Cliente nuevo")</f>
        <v>Alta sin facturar</v>
      </c>
      <c r="G47" s="1"/>
      <c r="H47" s="1">
        <f t="shared" si="4"/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89">
        <v>0</v>
      </c>
      <c r="O47" s="89">
        <v>0</v>
      </c>
      <c r="P47" s="89">
        <v>0</v>
      </c>
      <c r="Q47" s="54">
        <f t="shared" si="1"/>
        <v>0</v>
      </c>
      <c r="R47" s="89"/>
      <c r="S47" s="92">
        <f t="shared" si="5"/>
        <v>0</v>
      </c>
      <c r="T47" s="59">
        <f t="shared" si="2"/>
        <v>0</v>
      </c>
      <c r="U47" s="60">
        <f t="shared" si="3"/>
        <v>0</v>
      </c>
      <c r="V47" s="59" t="str">
        <f t="array" ref="V47">_xlfn.IFS(S47=0,"Alta sin facturar",S47&gt;2,"Cliente",S47&gt;0,"Cliente nuevo")</f>
        <v>Alta sin facturar</v>
      </c>
      <c r="W47" s="59" t="str">
        <f t="shared" si="6"/>
        <v>Sin pago</v>
      </c>
      <c r="X47" s="3"/>
      <c r="Y47" s="3"/>
      <c r="Z47" s="3"/>
      <c r="AA47" s="3"/>
      <c r="AB47" s="3"/>
      <c r="AC47" s="3"/>
      <c r="AD47" s="3"/>
      <c r="AE47" s="3"/>
      <c r="AG47" s="8" t="s">
        <v>23</v>
      </c>
      <c r="AH47" s="9"/>
      <c r="AI47" s="9"/>
      <c r="AJ47" s="9"/>
      <c r="AK47" s="9"/>
      <c r="AL47" s="9"/>
      <c r="AM47" s="9"/>
      <c r="AN47" s="9"/>
      <c r="AO47"/>
      <c r="AQ47"/>
      <c r="AR47"/>
    </row>
    <row r="48" spans="1:50" x14ac:dyDescent="0.25">
      <c r="A48" s="6">
        <v>44575</v>
      </c>
      <c r="B48" t="str">
        <f t="shared" si="0"/>
        <v>Enero</v>
      </c>
      <c r="C48" s="1" t="s">
        <v>35</v>
      </c>
      <c r="D48" s="58" t="str">
        <f>VLOOKUP(Datos!$C48,$AQ$2:$AR$41,2,0)</f>
        <v>Centro</v>
      </c>
      <c r="E48" s="1">
        <v>23126</v>
      </c>
      <c r="F48" s="1" t="str">
        <f t="array" ref="F48">_xlfn.IFS(H48=0,"Alta sin facturar",H48&gt;2,"Cliente",H48&gt;0,"Cliente nuevo")</f>
        <v>Alta sin facturar</v>
      </c>
      <c r="G48" s="1"/>
      <c r="H48" s="1">
        <f t="shared" si="4"/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89">
        <v>0</v>
      </c>
      <c r="O48" s="89">
        <v>0</v>
      </c>
      <c r="P48" s="89">
        <v>0</v>
      </c>
      <c r="Q48" s="54">
        <f t="shared" si="1"/>
        <v>0</v>
      </c>
      <c r="R48" s="89"/>
      <c r="S48" s="92">
        <f t="shared" si="5"/>
        <v>0</v>
      </c>
      <c r="T48" s="59">
        <f t="shared" si="2"/>
        <v>0</v>
      </c>
      <c r="U48" s="60">
        <f t="shared" si="3"/>
        <v>0</v>
      </c>
      <c r="V48" s="59" t="str">
        <f t="array" ref="V48">_xlfn.IFS(S48=0,"Alta sin facturar",S48&gt;2,"Cliente",S48&gt;0,"Cliente nuevo")</f>
        <v>Alta sin facturar</v>
      </c>
      <c r="W48" s="59" t="str">
        <f t="shared" si="6"/>
        <v>Sin pago</v>
      </c>
      <c r="X48" s="3"/>
      <c r="Y48" s="3"/>
      <c r="Z48" s="3"/>
      <c r="AA48" s="3"/>
      <c r="AB48" s="3"/>
      <c r="AC48" s="3"/>
      <c r="AD48" s="3"/>
      <c r="AE48" s="3"/>
      <c r="AG48" s="8" t="s">
        <v>20</v>
      </c>
      <c r="AH48" s="9"/>
      <c r="AI48" s="9"/>
      <c r="AJ48" s="9"/>
      <c r="AK48" s="9"/>
      <c r="AL48" s="9"/>
      <c r="AM48" s="9"/>
      <c r="AN48" s="9"/>
      <c r="AO48"/>
      <c r="AQ48"/>
      <c r="AR48"/>
    </row>
    <row r="49" spans="1:155" x14ac:dyDescent="0.25">
      <c r="A49" s="6">
        <v>44575</v>
      </c>
      <c r="B49" t="str">
        <f t="shared" si="0"/>
        <v>Enero</v>
      </c>
      <c r="C49" s="1" t="s">
        <v>35</v>
      </c>
      <c r="D49" s="58" t="str">
        <f>VLOOKUP(Datos!$C49,$AQ$2:$AR$41,2,0)</f>
        <v>Centro</v>
      </c>
      <c r="E49" s="1">
        <v>23127</v>
      </c>
      <c r="F49" s="1" t="str">
        <f t="array" ref="F49">_xlfn.IFS(H49=0,"Alta sin facturar",H49&gt;2,"Cliente",H49&gt;0,"Cliente nuevo")</f>
        <v>Alta sin facturar</v>
      </c>
      <c r="G49" s="1"/>
      <c r="H49" s="1">
        <f t="shared" si="4"/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89">
        <v>0</v>
      </c>
      <c r="O49" s="89">
        <v>0</v>
      </c>
      <c r="P49" s="89">
        <v>0</v>
      </c>
      <c r="Q49" s="54">
        <f t="shared" si="1"/>
        <v>0</v>
      </c>
      <c r="R49" s="89">
        <v>0</v>
      </c>
      <c r="S49" s="92">
        <f t="shared" si="5"/>
        <v>0</v>
      </c>
      <c r="T49" s="59">
        <f t="shared" si="2"/>
        <v>0</v>
      </c>
      <c r="U49" s="60">
        <f t="shared" si="3"/>
        <v>0</v>
      </c>
      <c r="V49" s="59" t="str">
        <f t="array" ref="V49">_xlfn.IFS(S49=0,"Alta sin facturar",S49&gt;2,"Cliente",S49&gt;0,"Cliente nuevo")</f>
        <v>Alta sin facturar</v>
      </c>
      <c r="W49" s="59" t="str">
        <f t="shared" si="6"/>
        <v>Sin pago</v>
      </c>
      <c r="X49" s="3"/>
      <c r="Y49" s="3"/>
      <c r="Z49" s="3"/>
      <c r="AA49" s="3"/>
      <c r="AB49" s="3"/>
      <c r="AC49" s="3"/>
      <c r="AD49" s="3"/>
      <c r="AE49" s="3"/>
      <c r="AQ49"/>
      <c r="AR49"/>
    </row>
    <row r="50" spans="1:155" x14ac:dyDescent="0.25">
      <c r="A50" s="6">
        <v>44575</v>
      </c>
      <c r="B50" t="str">
        <f t="shared" si="0"/>
        <v>Enero</v>
      </c>
      <c r="C50" s="1" t="s">
        <v>64</v>
      </c>
      <c r="D50" s="58" t="str">
        <f>VLOOKUP(Datos!$C50,$AQ$2:$AR$41,2,0)</f>
        <v>Norte</v>
      </c>
      <c r="E50" s="1">
        <v>23128</v>
      </c>
      <c r="F50" s="1" t="str">
        <f t="array" ref="F50">_xlfn.IFS(H50=0,"Alta sin facturar",H50&gt;2,"Cliente",H50&gt;0,"Cliente nuevo")</f>
        <v>Cliente nuevo</v>
      </c>
      <c r="G50" s="1"/>
      <c r="H50" s="1">
        <f t="shared" si="4"/>
        <v>1</v>
      </c>
      <c r="I50" s="2">
        <v>0</v>
      </c>
      <c r="J50" s="2">
        <v>214.6</v>
      </c>
      <c r="K50" s="2">
        <v>0</v>
      </c>
      <c r="L50" s="2">
        <v>0</v>
      </c>
      <c r="M50" s="2">
        <v>0</v>
      </c>
      <c r="N50" s="89">
        <v>0</v>
      </c>
      <c r="O50" s="89">
        <v>0</v>
      </c>
      <c r="P50" s="89">
        <v>0</v>
      </c>
      <c r="Q50" s="54">
        <f t="shared" si="1"/>
        <v>214.6</v>
      </c>
      <c r="R50" s="89">
        <v>1484.8</v>
      </c>
      <c r="S50" s="92">
        <f t="shared" si="5"/>
        <v>1</v>
      </c>
      <c r="T50" s="59">
        <f t="shared" si="2"/>
        <v>-1270.2</v>
      </c>
      <c r="U50" s="60">
        <f t="shared" si="3"/>
        <v>6.9189189189189193</v>
      </c>
      <c r="V50" s="59" t="str">
        <f t="array" ref="V50">_xlfn.IFS(S50=0,"Alta sin facturar",S50&gt;2,"Cliente",S50&gt;0,"Cliente nuevo")</f>
        <v>Cliente nuevo</v>
      </c>
      <c r="W50" s="59" t="str">
        <f t="shared" si="6"/>
        <v>Sin pago</v>
      </c>
      <c r="X50" s="3"/>
      <c r="Y50" s="3"/>
      <c r="Z50" s="3"/>
      <c r="AA50" s="3"/>
      <c r="AB50" s="3"/>
      <c r="AC50" s="3"/>
      <c r="AD50" s="3"/>
      <c r="AE50" s="3"/>
      <c r="AH50" s="85" t="e">
        <f>Datos!AH56/(Datos!AH56+Datos!AH57)</f>
        <v>#DIV/0!</v>
      </c>
      <c r="AI50" t="str">
        <f>IF(Datos!AI56=0,"",IFERROR(Datos!AI56&amp;" - "&amp;TEXT(Datos!AI56/(Datos!AI56+Datos!AI58),"0.0%"),""))</f>
        <v/>
      </c>
      <c r="AQ50"/>
      <c r="AR50"/>
    </row>
    <row r="51" spans="1:155" x14ac:dyDescent="0.25">
      <c r="A51" s="6">
        <v>44575</v>
      </c>
      <c r="B51" t="str">
        <f t="shared" si="0"/>
        <v>Enero</v>
      </c>
      <c r="C51" s="1" t="s">
        <v>75</v>
      </c>
      <c r="D51" s="58" t="str">
        <f>VLOOKUP(Datos!$C51,$AQ$2:$AR$41,2,0)</f>
        <v>Centro</v>
      </c>
      <c r="E51" s="1">
        <v>23129</v>
      </c>
      <c r="F51" s="1" t="str">
        <f t="array" ref="F51">_xlfn.IFS(H51=0,"Alta sin facturar",H51&gt;2,"Cliente",H51&gt;0,"Cliente nuevo")</f>
        <v>Alta sin facturar</v>
      </c>
      <c r="G51" s="1"/>
      <c r="H51" s="1">
        <f t="shared" si="4"/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89">
        <v>0</v>
      </c>
      <c r="O51" s="89">
        <v>0</v>
      </c>
      <c r="P51" s="89">
        <v>0</v>
      </c>
      <c r="Q51" s="54">
        <f t="shared" si="1"/>
        <v>0</v>
      </c>
      <c r="R51" s="89"/>
      <c r="S51" s="92">
        <f t="shared" si="5"/>
        <v>0</v>
      </c>
      <c r="T51" s="59">
        <f t="shared" si="2"/>
        <v>0</v>
      </c>
      <c r="U51" s="60">
        <f t="shared" si="3"/>
        <v>0</v>
      </c>
      <c r="V51" s="59" t="str">
        <f t="array" ref="V51">_xlfn.IFS(S51=0,"Alta sin facturar",S51&gt;2,"Cliente",S51&gt;0,"Cliente nuevo")</f>
        <v>Alta sin facturar</v>
      </c>
      <c r="W51" s="59" t="str">
        <f t="shared" si="6"/>
        <v>Sin pago</v>
      </c>
      <c r="X51" s="3"/>
      <c r="Y51" s="3"/>
      <c r="Z51" s="3"/>
      <c r="AA51" s="3"/>
      <c r="AB51" s="3"/>
      <c r="AC51" s="3"/>
      <c r="AD51" s="3"/>
      <c r="AE51" s="3"/>
      <c r="AG51" s="7" t="s">
        <v>26</v>
      </c>
      <c r="AH51" t="s">
        <v>27</v>
      </c>
      <c r="AI51" s="98" t="e">
        <f>Datos!AI56/(Datos!AI56+Datos!AI57)</f>
        <v>#DIV/0!</v>
      </c>
      <c r="AQ51"/>
      <c r="AR51"/>
    </row>
    <row r="52" spans="1:155" x14ac:dyDescent="0.25">
      <c r="A52" s="6">
        <v>44575</v>
      </c>
      <c r="B52" t="str">
        <f t="shared" si="0"/>
        <v>Enero</v>
      </c>
      <c r="C52" s="1" t="s">
        <v>99</v>
      </c>
      <c r="D52" s="58" t="str">
        <f>VLOOKUP(Datos!$C52,$AQ$2:$AR$41,2,0)</f>
        <v>Centro</v>
      </c>
      <c r="E52" s="1">
        <v>23130</v>
      </c>
      <c r="F52" s="1" t="str">
        <f t="array" ref="F52">_xlfn.IFS(H52=0,"Alta sin facturar",H52&gt;2,"Cliente",H52&gt;0,"Cliente nuevo")</f>
        <v>Alta sin facturar</v>
      </c>
      <c r="G52" s="1"/>
      <c r="H52" s="1">
        <f t="shared" si="4"/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89">
        <v>0</v>
      </c>
      <c r="O52" s="89">
        <v>0</v>
      </c>
      <c r="P52" s="89">
        <v>0</v>
      </c>
      <c r="Q52" s="54">
        <f t="shared" si="1"/>
        <v>0</v>
      </c>
      <c r="R52" s="89"/>
      <c r="S52" s="92">
        <f t="shared" si="5"/>
        <v>0</v>
      </c>
      <c r="T52" s="59">
        <f t="shared" si="2"/>
        <v>0</v>
      </c>
      <c r="U52" s="60">
        <f t="shared" si="3"/>
        <v>0</v>
      </c>
      <c r="V52" s="59" t="str">
        <f t="array" ref="V52">_xlfn.IFS(S52=0,"Alta sin facturar",S52&gt;2,"Cliente",S52&gt;0,"Cliente nuevo")</f>
        <v>Alta sin facturar</v>
      </c>
      <c r="W52" s="59" t="str">
        <f t="shared" si="6"/>
        <v>Sin pago</v>
      </c>
      <c r="X52" s="3"/>
      <c r="Y52" s="3"/>
      <c r="Z52" s="3"/>
      <c r="AA52" s="3"/>
      <c r="AB52" s="3"/>
      <c r="AC52" s="3"/>
      <c r="AD52" s="3"/>
      <c r="AE52" s="3"/>
      <c r="AG52" s="7" t="s">
        <v>47</v>
      </c>
      <c r="AH52" t="s">
        <v>29</v>
      </c>
      <c r="AI52" s="98" t="e">
        <f>Datos!AI57/(Datos!AI56+Datos!AI57)</f>
        <v>#DIV/0!</v>
      </c>
      <c r="AJ52" s="9"/>
      <c r="AK52" s="10"/>
      <c r="AL52"/>
      <c r="AM52"/>
      <c r="AN52"/>
      <c r="AQ52"/>
      <c r="AR52"/>
    </row>
    <row r="53" spans="1:155" x14ac:dyDescent="0.25">
      <c r="A53" s="6">
        <v>44575</v>
      </c>
      <c r="B53" t="str">
        <f t="shared" si="0"/>
        <v>Enero</v>
      </c>
      <c r="C53" s="1" t="s">
        <v>99</v>
      </c>
      <c r="D53" s="58" t="str">
        <f>VLOOKUP(Datos!$C53,$AQ$2:$AR$41,2,0)</f>
        <v>Centro</v>
      </c>
      <c r="E53" s="1">
        <v>23131</v>
      </c>
      <c r="F53" s="1" t="str">
        <f t="array" ref="F53">_xlfn.IFS(H53=0,"Alta sin facturar",H53&gt;2,"Cliente",H53&gt;0,"Cliente nuevo")</f>
        <v>Alta sin facturar</v>
      </c>
      <c r="G53" s="1"/>
      <c r="H53" s="1">
        <f t="shared" si="4"/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89">
        <v>0</v>
      </c>
      <c r="O53" s="89">
        <v>0</v>
      </c>
      <c r="P53" s="89">
        <v>0</v>
      </c>
      <c r="Q53" s="54">
        <f t="shared" si="1"/>
        <v>0</v>
      </c>
      <c r="R53" s="89"/>
      <c r="S53" s="92">
        <f t="shared" si="5"/>
        <v>0</v>
      </c>
      <c r="T53" s="59">
        <f t="shared" si="2"/>
        <v>0</v>
      </c>
      <c r="U53" s="60">
        <f t="shared" si="3"/>
        <v>0</v>
      </c>
      <c r="V53" s="59" t="str">
        <f t="array" ref="V53">_xlfn.IFS(S53=0,"Alta sin facturar",S53&gt;2,"Cliente",S53&gt;0,"Cliente nuevo")</f>
        <v>Alta sin facturar</v>
      </c>
      <c r="W53" s="59" t="str">
        <f t="shared" si="6"/>
        <v>Sin pago</v>
      </c>
      <c r="X53" s="3"/>
      <c r="Y53" s="3"/>
      <c r="Z53" s="3"/>
      <c r="AA53" s="3"/>
      <c r="AB53" s="3"/>
      <c r="AC53" s="3"/>
      <c r="AD53" s="3"/>
      <c r="AE53" s="3"/>
      <c r="AG53"/>
      <c r="AH53" s="85"/>
      <c r="AI53" s="85" t="e">
        <f>Datos!AI57&amp;" "&amp;"- "&amp;TEXT(Datos!AI57/(Datos!AI56+Datos!AI57),"0.00%")</f>
        <v>#DIV/0!</v>
      </c>
      <c r="AJ53" s="85" t="e">
        <f>Datos!AJ57&amp;" "&amp;"- "&amp;TEXT(Datos!AJ57/(Datos!AJ56+Datos!AJ57),"0.00%")</f>
        <v>#DIV/0!</v>
      </c>
      <c r="AK53" t="str">
        <f>IF(Datos!AK57=0,"",IFERROR(Datos!AK57&amp;" - "&amp;TEXT(Datos!AK57/(Datos!AK57+Datos!AK37),"0.0%"),""))</f>
        <v/>
      </c>
      <c r="AL53" t="str">
        <f>IF(Datos!AL57=0,"",IFERROR(Datos!AL57&amp;" - "&amp;TEXT(Datos!AL57/(Datos!AL57+Datos!AL37),"0.0%"),""))</f>
        <v/>
      </c>
      <c r="AM53" t="str">
        <f>IF(Datos!AM57=0,"",IFERROR(Datos!AM57&amp;" - "&amp;TEXT(Datos!AM57/(Datos!AM57+Datos!AM37),"0.0%"),""))</f>
        <v/>
      </c>
      <c r="AN53"/>
      <c r="AQ53"/>
      <c r="AR53"/>
    </row>
    <row r="54" spans="1:155" x14ac:dyDescent="0.25">
      <c r="A54" s="6">
        <v>44576</v>
      </c>
      <c r="B54" t="str">
        <f t="shared" si="0"/>
        <v>Enero</v>
      </c>
      <c r="C54" s="1" t="s">
        <v>34</v>
      </c>
      <c r="D54" s="58" t="str">
        <f>VLOOKUP(Datos!$C54,$AQ$2:$AR$41,2,0)</f>
        <v>Norte</v>
      </c>
      <c r="E54" s="1">
        <v>23132</v>
      </c>
      <c r="F54" s="1" t="str">
        <f t="array" ref="F54">_xlfn.IFS(H54=0,"Alta sin facturar",H54&gt;2,"Cliente",H54&gt;0,"Cliente nuevo")</f>
        <v>Alta sin facturar</v>
      </c>
      <c r="G54" s="1"/>
      <c r="H54" s="1">
        <f t="shared" si="4"/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89">
        <v>0</v>
      </c>
      <c r="O54" s="89">
        <v>0</v>
      </c>
      <c r="P54" s="89">
        <v>0</v>
      </c>
      <c r="Q54" s="54">
        <f t="shared" si="1"/>
        <v>0</v>
      </c>
      <c r="R54" s="89"/>
      <c r="S54" s="92">
        <f t="shared" si="5"/>
        <v>0</v>
      </c>
      <c r="T54" s="59">
        <f t="shared" si="2"/>
        <v>0</v>
      </c>
      <c r="U54" s="60">
        <f t="shared" si="3"/>
        <v>0</v>
      </c>
      <c r="V54" s="59" t="str">
        <f t="array" ref="V54">_xlfn.IFS(S54=0,"Alta sin facturar",S54&gt;2,"Cliente",S54&gt;0,"Cliente nuevo")</f>
        <v>Alta sin facturar</v>
      </c>
      <c r="W54" s="59" t="str">
        <f t="shared" si="6"/>
        <v>Sin pago</v>
      </c>
      <c r="X54" s="3"/>
      <c r="Y54" s="3"/>
      <c r="Z54" s="3"/>
      <c r="AA54" s="3"/>
      <c r="AB54" s="3"/>
      <c r="AC54" s="3"/>
      <c r="AD54" s="3"/>
      <c r="AE54" s="3"/>
      <c r="AG54"/>
      <c r="AH54" s="7" t="s">
        <v>30</v>
      </c>
      <c r="AI54"/>
      <c r="AJ54"/>
      <c r="AK54"/>
      <c r="AL54"/>
      <c r="AM54"/>
      <c r="AN54"/>
      <c r="AQ54"/>
      <c r="AR54"/>
    </row>
    <row r="55" spans="1:155" x14ac:dyDescent="0.25">
      <c r="A55" s="6">
        <v>44576</v>
      </c>
      <c r="B55" t="str">
        <f t="shared" si="0"/>
        <v>Enero</v>
      </c>
      <c r="C55" s="1" t="s">
        <v>34</v>
      </c>
      <c r="D55" s="58" t="str">
        <f>VLOOKUP(Datos!$C55,$AQ$2:$AR$41,2,0)</f>
        <v>Norte</v>
      </c>
      <c r="E55" s="1">
        <v>23133</v>
      </c>
      <c r="F55" s="1" t="str">
        <f t="array" ref="F55">_xlfn.IFS(H55=0,"Alta sin facturar",H55&gt;2,"Cliente",H55&gt;0,"Cliente nuevo")</f>
        <v>Alta sin facturar</v>
      </c>
      <c r="G55" s="1"/>
      <c r="H55" s="1">
        <f t="shared" si="4"/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89">
        <v>0</v>
      </c>
      <c r="O55" s="89">
        <v>0</v>
      </c>
      <c r="P55" s="89">
        <v>0</v>
      </c>
      <c r="Q55" s="54">
        <f t="shared" si="1"/>
        <v>0</v>
      </c>
      <c r="R55" s="89">
        <v>1624</v>
      </c>
      <c r="S55" s="92">
        <f t="shared" si="5"/>
        <v>0</v>
      </c>
      <c r="T55" s="59">
        <f t="shared" si="2"/>
        <v>-1624</v>
      </c>
      <c r="U55" s="60">
        <f t="shared" si="3"/>
        <v>0</v>
      </c>
      <c r="V55" s="59" t="str">
        <f t="array" ref="V55">_xlfn.IFS(S55=0,"Alta sin facturar",S55&gt;2,"Cliente",S55&gt;0,"Cliente nuevo")</f>
        <v>Alta sin facturar</v>
      </c>
      <c r="W55" s="59" t="str">
        <f t="shared" si="6"/>
        <v>Sin pago</v>
      </c>
      <c r="X55" s="3"/>
      <c r="Y55" s="3"/>
      <c r="Z55" s="3"/>
      <c r="AA55" s="3"/>
      <c r="AB55" s="3"/>
      <c r="AC55" s="3"/>
      <c r="AD55" s="3"/>
      <c r="AE55" s="3"/>
      <c r="AG55" s="7" t="s">
        <v>10</v>
      </c>
      <c r="AH55" t="s">
        <v>1</v>
      </c>
      <c r="AI55" t="s">
        <v>2</v>
      </c>
      <c r="AJ55" t="s">
        <v>3</v>
      </c>
      <c r="AK55" t="s">
        <v>4</v>
      </c>
      <c r="AL55" t="s">
        <v>5</v>
      </c>
      <c r="AM55" t="s">
        <v>6</v>
      </c>
      <c r="AN55" t="s">
        <v>20</v>
      </c>
      <c r="AQ55"/>
      <c r="AR55"/>
    </row>
    <row r="56" spans="1:155" x14ac:dyDescent="0.25">
      <c r="A56" s="6">
        <v>44576</v>
      </c>
      <c r="B56" t="str">
        <f t="shared" si="0"/>
        <v>Enero</v>
      </c>
      <c r="C56" s="1" t="s">
        <v>75</v>
      </c>
      <c r="D56" s="58" t="str">
        <f>VLOOKUP(Datos!$C56,$AQ$2:$AR$41,2,0)</f>
        <v>Centro</v>
      </c>
      <c r="E56" s="1">
        <v>23134</v>
      </c>
      <c r="F56" s="1" t="str">
        <f t="array" ref="F56">_xlfn.IFS(H56=0,"Alta sin facturar",H56&gt;2,"Cliente",H56&gt;0,"Cliente nuevo")</f>
        <v>Alta sin facturar</v>
      </c>
      <c r="G56" s="1"/>
      <c r="H56" s="1">
        <f t="shared" si="4"/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89">
        <v>0</v>
      </c>
      <c r="O56" s="89">
        <v>0</v>
      </c>
      <c r="P56" s="89">
        <v>0</v>
      </c>
      <c r="Q56" s="54">
        <f t="shared" si="1"/>
        <v>0</v>
      </c>
      <c r="R56" s="89"/>
      <c r="S56" s="92">
        <f t="shared" si="5"/>
        <v>0</v>
      </c>
      <c r="T56" s="59">
        <f t="shared" si="2"/>
        <v>0</v>
      </c>
      <c r="U56" s="60">
        <f t="shared" si="3"/>
        <v>0</v>
      </c>
      <c r="V56" s="59" t="str">
        <f t="array" ref="V56">_xlfn.IFS(S56=0,"Alta sin facturar",S56&gt;2,"Cliente",S56&gt;0,"Cliente nuevo")</f>
        <v>Alta sin facturar</v>
      </c>
      <c r="W56" s="59" t="str">
        <f t="shared" si="6"/>
        <v>Sin pago</v>
      </c>
      <c r="X56" s="3"/>
      <c r="Y56" s="3"/>
      <c r="Z56" s="3"/>
      <c r="AA56" s="3"/>
      <c r="AB56" s="3"/>
      <c r="AC56" s="3"/>
      <c r="AD56" s="3"/>
      <c r="AE56" s="3"/>
      <c r="AG56" s="8" t="s">
        <v>22</v>
      </c>
      <c r="AH56"/>
      <c r="AI56"/>
      <c r="AJ56"/>
      <c r="AK56"/>
      <c r="AL56"/>
      <c r="AM56"/>
      <c r="AN56"/>
      <c r="AQ56"/>
      <c r="AR56"/>
    </row>
    <row r="57" spans="1:155" x14ac:dyDescent="0.25">
      <c r="A57" s="6">
        <v>44576</v>
      </c>
      <c r="B57" t="str">
        <f t="shared" si="0"/>
        <v>Enero</v>
      </c>
      <c r="C57" s="1" t="s">
        <v>75</v>
      </c>
      <c r="D57" s="58" t="str">
        <f>VLOOKUP(Datos!$C57,$AQ$2:$AR$41,2,0)</f>
        <v>Centro</v>
      </c>
      <c r="E57" s="1">
        <v>23135</v>
      </c>
      <c r="F57" s="1" t="str">
        <f t="array" ref="F57">_xlfn.IFS(H57=0,"Alta sin facturar",H57&gt;2,"Cliente",H57&gt;0,"Cliente nuevo")</f>
        <v>Alta sin facturar</v>
      </c>
      <c r="G57" s="1"/>
      <c r="H57" s="1">
        <f t="shared" si="4"/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89">
        <v>0</v>
      </c>
      <c r="O57" s="89">
        <v>0</v>
      </c>
      <c r="P57" s="89">
        <v>0</v>
      </c>
      <c r="Q57" s="54">
        <f t="shared" si="1"/>
        <v>0</v>
      </c>
      <c r="R57" s="89"/>
      <c r="S57" s="92">
        <f t="shared" si="5"/>
        <v>0</v>
      </c>
      <c r="T57" s="59">
        <f t="shared" si="2"/>
        <v>0</v>
      </c>
      <c r="U57" s="60">
        <f t="shared" si="3"/>
        <v>0</v>
      </c>
      <c r="V57" s="59" t="str">
        <f t="array" ref="V57">_xlfn.IFS(S57=0,"Alta sin facturar",S57&gt;2,"Cliente",S57&gt;0,"Cliente nuevo")</f>
        <v>Alta sin facturar</v>
      </c>
      <c r="W57" s="59" t="str">
        <f t="shared" si="6"/>
        <v>Sin pago</v>
      </c>
      <c r="X57" s="3"/>
      <c r="Y57" s="3"/>
      <c r="Z57" s="3"/>
      <c r="AA57" s="3"/>
      <c r="AB57" s="3"/>
      <c r="AC57" s="3"/>
      <c r="AD57" s="3"/>
      <c r="AE57" s="3"/>
      <c r="AG57" s="8" t="s">
        <v>23</v>
      </c>
      <c r="AH57"/>
      <c r="AI57"/>
      <c r="AJ57"/>
      <c r="AK57"/>
      <c r="AL57"/>
      <c r="AM57"/>
      <c r="AN57"/>
      <c r="AQ57"/>
      <c r="AR57"/>
    </row>
    <row r="58" spans="1:155" x14ac:dyDescent="0.25">
      <c r="A58" s="6">
        <v>44576</v>
      </c>
      <c r="B58" t="str">
        <f t="shared" si="0"/>
        <v>Enero</v>
      </c>
      <c r="C58" s="1" t="s">
        <v>34</v>
      </c>
      <c r="D58" s="58" t="str">
        <f>VLOOKUP(Datos!$C58,$AQ$2:$AR$41,2,0)</f>
        <v>Norte</v>
      </c>
      <c r="E58" s="1">
        <v>23136</v>
      </c>
      <c r="F58" s="1" t="str">
        <f t="array" ref="F58">_xlfn.IFS(H58=0,"Alta sin facturar",H58&gt;2,"Cliente",H58&gt;0,"Cliente nuevo")</f>
        <v>Alta sin facturar</v>
      </c>
      <c r="G58" s="1"/>
      <c r="H58" s="1">
        <f t="shared" si="4"/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89">
        <v>0</v>
      </c>
      <c r="O58" s="89">
        <v>0</v>
      </c>
      <c r="P58" s="89">
        <v>0</v>
      </c>
      <c r="Q58" s="54">
        <f t="shared" si="1"/>
        <v>0</v>
      </c>
      <c r="R58" s="89"/>
      <c r="S58" s="92">
        <f t="shared" si="5"/>
        <v>0</v>
      </c>
      <c r="T58" s="59">
        <f t="shared" si="2"/>
        <v>0</v>
      </c>
      <c r="U58" s="60">
        <f t="shared" si="3"/>
        <v>0</v>
      </c>
      <c r="V58" s="59" t="str">
        <f t="array" ref="V58">_xlfn.IFS(S58=0,"Alta sin facturar",S58&gt;2,"Cliente",S58&gt;0,"Cliente nuevo")</f>
        <v>Alta sin facturar</v>
      </c>
      <c r="W58" s="59" t="str">
        <f t="shared" si="6"/>
        <v>Sin pago</v>
      </c>
      <c r="X58" s="3"/>
      <c r="Y58" s="3"/>
      <c r="Z58" s="3"/>
      <c r="AA58" s="3"/>
      <c r="AB58" s="3"/>
      <c r="AC58" s="3"/>
      <c r="AD58" s="3"/>
      <c r="AE58" s="3"/>
      <c r="AG58" s="8" t="s">
        <v>20</v>
      </c>
      <c r="AH58"/>
      <c r="AI58"/>
      <c r="AJ58"/>
      <c r="AK58"/>
      <c r="AL58"/>
      <c r="AM58"/>
      <c r="AN58"/>
      <c r="AQ58"/>
      <c r="AR58"/>
    </row>
    <row r="59" spans="1:155" x14ac:dyDescent="0.25">
      <c r="A59" s="6">
        <v>44576</v>
      </c>
      <c r="B59" t="str">
        <f t="shared" si="0"/>
        <v>Enero</v>
      </c>
      <c r="C59" s="1" t="s">
        <v>34</v>
      </c>
      <c r="D59" s="58" t="str">
        <f>VLOOKUP(Datos!$C59,$AQ$2:$AR$41,2,0)</f>
        <v>Norte</v>
      </c>
      <c r="E59" s="1">
        <v>23137</v>
      </c>
      <c r="F59" s="1" t="str">
        <f t="array" ref="F59">_xlfn.IFS(H59=0,"Alta sin facturar",H59&gt;2,"Cliente",H59&gt;0,"Cliente nuevo")</f>
        <v>Alta sin facturar</v>
      </c>
      <c r="G59" s="1"/>
      <c r="H59" s="1">
        <f t="shared" si="4"/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89">
        <v>0</v>
      </c>
      <c r="O59" s="89">
        <v>0</v>
      </c>
      <c r="P59" s="89">
        <v>0</v>
      </c>
      <c r="Q59" s="54">
        <f t="shared" si="1"/>
        <v>0</v>
      </c>
      <c r="R59" s="89"/>
      <c r="S59" s="92">
        <f t="shared" si="5"/>
        <v>0</v>
      </c>
      <c r="T59" s="59">
        <f t="shared" si="2"/>
        <v>0</v>
      </c>
      <c r="U59" s="60">
        <f t="shared" si="3"/>
        <v>0</v>
      </c>
      <c r="V59" s="59" t="str">
        <f t="array" ref="V59">_xlfn.IFS(S59=0,"Alta sin facturar",S59&gt;2,"Cliente",S59&gt;0,"Cliente nuevo")</f>
        <v>Alta sin facturar</v>
      </c>
      <c r="W59" s="59" t="str">
        <f t="shared" si="6"/>
        <v>Sin pago</v>
      </c>
      <c r="X59" s="3"/>
      <c r="Y59" s="3"/>
      <c r="Z59" s="3"/>
      <c r="AA59" s="3"/>
      <c r="AB59" s="3"/>
      <c r="AC59" s="3"/>
      <c r="AD59" s="3"/>
      <c r="AE59" s="3"/>
      <c r="AG59"/>
      <c r="AH59"/>
      <c r="AI59"/>
      <c r="AJ59"/>
      <c r="AK59"/>
      <c r="AL59"/>
      <c r="AM59"/>
      <c r="AN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</row>
    <row r="60" spans="1:155" x14ac:dyDescent="0.25">
      <c r="A60" s="6">
        <v>44576</v>
      </c>
      <c r="B60" t="str">
        <f t="shared" si="0"/>
        <v>Enero</v>
      </c>
      <c r="C60" s="1" t="s">
        <v>34</v>
      </c>
      <c r="D60" s="58" t="str">
        <f>VLOOKUP(Datos!$C60,$AQ$2:$AR$41,2,0)</f>
        <v>Norte</v>
      </c>
      <c r="E60" s="1">
        <v>23138</v>
      </c>
      <c r="F60" s="1" t="str">
        <f t="array" ref="F60">_xlfn.IFS(H60=0,"Alta sin facturar",H60&gt;2,"Cliente",H60&gt;0,"Cliente nuevo")</f>
        <v>Alta sin facturar</v>
      </c>
      <c r="G60" s="1"/>
      <c r="H60" s="1">
        <f t="shared" si="4"/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89">
        <v>0</v>
      </c>
      <c r="O60" s="89">
        <v>0</v>
      </c>
      <c r="P60" s="89">
        <v>0</v>
      </c>
      <c r="Q60" s="54">
        <f t="shared" si="1"/>
        <v>0</v>
      </c>
      <c r="R60" s="89"/>
      <c r="S60" s="92">
        <f t="shared" si="5"/>
        <v>0</v>
      </c>
      <c r="T60" s="59">
        <f t="shared" si="2"/>
        <v>0</v>
      </c>
      <c r="U60" s="60">
        <f t="shared" si="3"/>
        <v>0</v>
      </c>
      <c r="V60" s="59" t="str">
        <f t="array" ref="V60">_xlfn.IFS(S60=0,"Alta sin facturar",S60&gt;2,"Cliente",S60&gt;0,"Cliente nuevo")</f>
        <v>Alta sin facturar</v>
      </c>
      <c r="W60" s="59" t="str">
        <f t="shared" si="6"/>
        <v>Sin pago</v>
      </c>
      <c r="X60" s="3"/>
      <c r="Y60" s="3"/>
      <c r="Z60" s="3"/>
      <c r="AA60" s="3"/>
      <c r="AB60" s="3"/>
      <c r="AC60" s="3"/>
      <c r="AD60" s="3"/>
      <c r="AE60" s="3"/>
      <c r="AG60" s="7" t="s">
        <v>26</v>
      </c>
      <c r="AH60" t="s">
        <v>27</v>
      </c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</row>
    <row r="61" spans="1:155" x14ac:dyDescent="0.25">
      <c r="A61" s="6">
        <v>44576</v>
      </c>
      <c r="B61" t="str">
        <f t="shared" si="0"/>
        <v>Enero</v>
      </c>
      <c r="C61" s="1" t="s">
        <v>60</v>
      </c>
      <c r="D61" s="58" t="str">
        <f>VLOOKUP(Datos!$C61,$AQ$2:$AR$41,2,0)</f>
        <v>Norte</v>
      </c>
      <c r="E61" s="1">
        <v>23139</v>
      </c>
      <c r="F61" s="1" t="str">
        <f t="array" ref="F61">_xlfn.IFS(H61=0,"Alta sin facturar",H61&gt;2,"Cliente",H61&gt;0,"Cliente nuevo")</f>
        <v>Cliente</v>
      </c>
      <c r="G61" s="1"/>
      <c r="H61" s="1">
        <f t="shared" si="4"/>
        <v>4</v>
      </c>
      <c r="I61" s="2">
        <v>0</v>
      </c>
      <c r="J61" s="2">
        <v>0</v>
      </c>
      <c r="K61" s="2">
        <v>0</v>
      </c>
      <c r="L61" s="2">
        <v>115.99999999999999</v>
      </c>
      <c r="M61" s="2">
        <v>0</v>
      </c>
      <c r="N61" s="89">
        <v>3589.0399999999995</v>
      </c>
      <c r="O61" s="89">
        <v>10073.440000000004</v>
      </c>
      <c r="P61" s="89">
        <v>26403.920000000006</v>
      </c>
      <c r="Q61" s="54">
        <f t="shared" si="1"/>
        <v>40182.400000000009</v>
      </c>
      <c r="R61" s="89">
        <v>3475.36</v>
      </c>
      <c r="S61" s="92">
        <f t="shared" si="5"/>
        <v>4</v>
      </c>
      <c r="T61" s="59">
        <f t="shared" si="2"/>
        <v>36707.040000000008</v>
      </c>
      <c r="U61" s="60">
        <f t="shared" si="3"/>
        <v>8.6489607390300219E-2</v>
      </c>
      <c r="V61" s="59" t="str">
        <f t="array" ref="V61">_xlfn.IFS(S61=0,"Alta sin facturar",S61&gt;2,"Cliente",S61&gt;0,"Cliente nuevo")</f>
        <v>Cliente</v>
      </c>
      <c r="W61" s="59" t="str">
        <f t="shared" si="6"/>
        <v>Ha pagado</v>
      </c>
      <c r="X61" s="3"/>
      <c r="Y61" s="3"/>
      <c r="Z61" s="3"/>
      <c r="AA61" s="3"/>
      <c r="AB61" s="3"/>
      <c r="AC61" s="3"/>
      <c r="AD61" s="3"/>
      <c r="AE61" s="3"/>
      <c r="AG61" s="7" t="s">
        <v>47</v>
      </c>
      <c r="AH61" t="s">
        <v>29</v>
      </c>
      <c r="AI61" s="9"/>
      <c r="AJ61" s="9"/>
      <c r="AK61" s="10"/>
      <c r="AL61"/>
      <c r="AM61"/>
      <c r="AN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</row>
    <row r="62" spans="1:155" x14ac:dyDescent="0.25">
      <c r="A62" s="6">
        <v>44576</v>
      </c>
      <c r="B62" t="str">
        <f t="shared" si="0"/>
        <v>Enero</v>
      </c>
      <c r="C62" s="1" t="s">
        <v>59</v>
      </c>
      <c r="D62" s="58" t="str">
        <f>VLOOKUP(Datos!$C62,$AQ$2:$AR$41,2,0)</f>
        <v>Magallanes</v>
      </c>
      <c r="E62" s="1">
        <v>23140</v>
      </c>
      <c r="F62" s="1" t="str">
        <f t="array" ref="F62">_xlfn.IFS(H62=0,"Alta sin facturar",H62&gt;2,"Cliente",H62&gt;0,"Cliente nuevo")</f>
        <v>Cliente nuevo</v>
      </c>
      <c r="G62" s="1"/>
      <c r="H62" s="1">
        <f t="shared" si="4"/>
        <v>2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89">
        <v>14834.08</v>
      </c>
      <c r="O62" s="89">
        <v>0</v>
      </c>
      <c r="P62" s="89">
        <v>17024.159999999993</v>
      </c>
      <c r="Q62" s="54">
        <f t="shared" si="1"/>
        <v>31858.239999999991</v>
      </c>
      <c r="R62" s="89">
        <v>18884.8</v>
      </c>
      <c r="S62" s="92">
        <f t="shared" si="5"/>
        <v>2</v>
      </c>
      <c r="T62" s="59">
        <f t="shared" si="2"/>
        <v>12973.439999999991</v>
      </c>
      <c r="U62" s="60">
        <f t="shared" si="3"/>
        <v>0.59277599766967681</v>
      </c>
      <c r="V62" s="59" t="str">
        <f t="array" ref="V62">_xlfn.IFS(S62=0,"Alta sin facturar",S62&gt;2,"Cliente",S62&gt;0,"Cliente nuevo")</f>
        <v>Cliente nuevo</v>
      </c>
      <c r="W62" s="59" t="str">
        <f t="shared" si="6"/>
        <v>Ha pagado</v>
      </c>
      <c r="X62" s="3"/>
      <c r="Y62" s="3"/>
      <c r="Z62" s="3"/>
      <c r="AA62" s="3"/>
      <c r="AB62" s="3"/>
      <c r="AC62" s="3"/>
      <c r="AD62" s="3"/>
      <c r="AE62" s="3"/>
      <c r="AG62"/>
      <c r="AH62"/>
      <c r="AI62"/>
      <c r="AJ62"/>
      <c r="AK62"/>
      <c r="AL62"/>
      <c r="AM62"/>
      <c r="AN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</row>
    <row r="63" spans="1:155" x14ac:dyDescent="0.25">
      <c r="A63" s="6">
        <v>44576</v>
      </c>
      <c r="B63" t="str">
        <f t="shared" si="0"/>
        <v>Enero</v>
      </c>
      <c r="C63" s="1" t="s">
        <v>59</v>
      </c>
      <c r="D63" s="58" t="str">
        <f>VLOOKUP(Datos!$C63,$AQ$2:$AR$41,2,0)</f>
        <v>Magallanes</v>
      </c>
      <c r="E63" s="1">
        <v>23141</v>
      </c>
      <c r="F63" s="1" t="str">
        <f t="array" ref="F63">_xlfn.IFS(H63=0,"Alta sin facturar",H63&gt;2,"Cliente",H63&gt;0,"Cliente nuevo")</f>
        <v>Cliente nuevo</v>
      </c>
      <c r="G63" s="1"/>
      <c r="H63" s="1">
        <f t="shared" si="4"/>
        <v>2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89">
        <v>1180.8800000000001</v>
      </c>
      <c r="O63" s="89">
        <v>0</v>
      </c>
      <c r="P63" s="89">
        <v>4040.2799999999993</v>
      </c>
      <c r="Q63" s="54">
        <f t="shared" si="1"/>
        <v>5221.16</v>
      </c>
      <c r="R63" s="89">
        <v>685.56</v>
      </c>
      <c r="S63" s="92">
        <f t="shared" si="5"/>
        <v>2</v>
      </c>
      <c r="T63" s="59">
        <f t="shared" si="2"/>
        <v>4535.6000000000004</v>
      </c>
      <c r="U63" s="60">
        <f t="shared" si="3"/>
        <v>0.13130415463230394</v>
      </c>
      <c r="V63" s="59" t="str">
        <f t="array" ref="V63">_xlfn.IFS(S63=0,"Alta sin facturar",S63&gt;2,"Cliente",S63&gt;0,"Cliente nuevo")</f>
        <v>Cliente nuevo</v>
      </c>
      <c r="W63" s="59" t="str">
        <f t="shared" si="6"/>
        <v>Ha pagado</v>
      </c>
      <c r="X63" s="3"/>
      <c r="Y63" s="3"/>
      <c r="Z63" s="3"/>
      <c r="AA63" s="3"/>
      <c r="AB63" s="3"/>
      <c r="AC63" s="3"/>
      <c r="AD63" s="3"/>
      <c r="AE63" s="3"/>
      <c r="AG63"/>
      <c r="AH63" s="7" t="s">
        <v>30</v>
      </c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</row>
    <row r="64" spans="1:155" x14ac:dyDescent="0.25">
      <c r="A64" s="6">
        <v>44576</v>
      </c>
      <c r="B64" t="str">
        <f t="shared" si="0"/>
        <v>Enero</v>
      </c>
      <c r="C64" s="1" t="s">
        <v>75</v>
      </c>
      <c r="D64" s="58" t="str">
        <f>VLOOKUP(Datos!$C64,$AQ$2:$AR$41,2,0)</f>
        <v>Centro</v>
      </c>
      <c r="E64" s="1">
        <v>23142</v>
      </c>
      <c r="F64" s="1" t="str">
        <f t="array" ref="F64">_xlfn.IFS(H64=0,"Alta sin facturar",H64&gt;2,"Cliente",H64&gt;0,"Cliente nuevo")</f>
        <v>Cliente nuevo</v>
      </c>
      <c r="G64" s="1"/>
      <c r="H64" s="1">
        <f t="shared" si="4"/>
        <v>2</v>
      </c>
      <c r="I64" s="2">
        <v>0</v>
      </c>
      <c r="J64" s="2">
        <v>0</v>
      </c>
      <c r="K64" s="2">
        <v>3248</v>
      </c>
      <c r="L64" s="2">
        <v>3711.9999999999995</v>
      </c>
      <c r="M64" s="2">
        <v>0</v>
      </c>
      <c r="N64" s="89">
        <v>0</v>
      </c>
      <c r="O64" s="89">
        <v>0</v>
      </c>
      <c r="P64" s="89">
        <v>0</v>
      </c>
      <c r="Q64" s="54">
        <f t="shared" si="1"/>
        <v>6960</v>
      </c>
      <c r="R64" s="89">
        <v>0</v>
      </c>
      <c r="S64" s="92">
        <f t="shared" si="5"/>
        <v>2</v>
      </c>
      <c r="T64" s="59">
        <f t="shared" si="2"/>
        <v>6960</v>
      </c>
      <c r="U64" s="60">
        <f t="shared" si="3"/>
        <v>0</v>
      </c>
      <c r="V64" s="59" t="str">
        <f t="array" ref="V64">_xlfn.IFS(S64=0,"Alta sin facturar",S64&gt;2,"Cliente",S64&gt;0,"Cliente nuevo")</f>
        <v>Cliente nuevo</v>
      </c>
      <c r="W64" s="59" t="str">
        <f t="shared" si="6"/>
        <v>Ha pagado</v>
      </c>
      <c r="X64" s="3"/>
      <c r="Y64" s="3"/>
      <c r="Z64" s="3"/>
      <c r="AA64" s="3"/>
      <c r="AB64" s="3"/>
      <c r="AC64" s="3"/>
      <c r="AD64" s="3"/>
      <c r="AE64" s="3"/>
      <c r="AG64" s="7" t="s">
        <v>10</v>
      </c>
      <c r="AH64" t="s">
        <v>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20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</row>
    <row r="65" spans="1:154" x14ac:dyDescent="0.25">
      <c r="A65" s="6">
        <v>44578</v>
      </c>
      <c r="B65" t="str">
        <f t="shared" si="0"/>
        <v>Enero</v>
      </c>
      <c r="C65" s="1" t="s">
        <v>59</v>
      </c>
      <c r="D65" s="58" t="str">
        <f>VLOOKUP(Datos!$C65,$AQ$2:$AR$41,2,0)</f>
        <v>Magallanes</v>
      </c>
      <c r="E65" s="1">
        <v>23143</v>
      </c>
      <c r="F65" s="1" t="str">
        <f t="array" ref="F65">_xlfn.IFS(H65=0,"Alta sin facturar",H65&gt;2,"Cliente",H65&gt;0,"Cliente nuevo")</f>
        <v>Cliente nuevo</v>
      </c>
      <c r="G65" s="1"/>
      <c r="H65" s="1">
        <f t="shared" si="4"/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89">
        <v>6919.4</v>
      </c>
      <c r="O65" s="89">
        <v>0</v>
      </c>
      <c r="P65" s="89">
        <v>0</v>
      </c>
      <c r="Q65" s="54">
        <f t="shared" si="1"/>
        <v>6919.4</v>
      </c>
      <c r="R65" s="89">
        <v>1318.6</v>
      </c>
      <c r="S65" s="92">
        <f t="shared" si="5"/>
        <v>1</v>
      </c>
      <c r="T65" s="59">
        <f t="shared" si="2"/>
        <v>5600.7999999999993</v>
      </c>
      <c r="U65" s="60">
        <f t="shared" si="3"/>
        <v>0.19056565598173253</v>
      </c>
      <c r="V65" s="59" t="str">
        <f t="array" ref="V65">_xlfn.IFS(S65=0,"Alta sin facturar",S65&gt;2,"Cliente",S65&gt;0,"Cliente nuevo")</f>
        <v>Cliente nuevo</v>
      </c>
      <c r="W65" s="59" t="str">
        <f t="shared" si="6"/>
        <v>Ha pagado</v>
      </c>
      <c r="X65" s="3"/>
      <c r="Y65" s="3"/>
      <c r="Z65" s="3"/>
      <c r="AA65" s="3"/>
      <c r="AB65" s="3"/>
      <c r="AC65" s="3"/>
      <c r="AD65" s="3"/>
      <c r="AE65" s="3"/>
      <c r="AG65" s="8" t="s">
        <v>22</v>
      </c>
      <c r="AH65" s="9"/>
      <c r="AI65" s="9"/>
      <c r="AJ65" s="9"/>
      <c r="AK65" s="9"/>
      <c r="AL65" s="9"/>
      <c r="AM65" s="9"/>
      <c r="AN65" s="9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</row>
    <row r="66" spans="1:154" x14ac:dyDescent="0.25">
      <c r="A66" s="6">
        <v>44578</v>
      </c>
      <c r="B66" t="str">
        <f t="shared" ref="B66:B129" si="7">PROPER(TEXT(A66,"mmmm"))</f>
        <v>Enero</v>
      </c>
      <c r="C66" s="1" t="s">
        <v>63</v>
      </c>
      <c r="D66" s="58" t="str">
        <f>VLOOKUP(Datos!$C66,$AQ$2:$AR$41,2,0)</f>
        <v>Centro</v>
      </c>
      <c r="E66" s="1">
        <v>23144</v>
      </c>
      <c r="F66" s="1" t="str">
        <f t="array" ref="F66">_xlfn.IFS(H66=0,"Alta sin facturar",H66&gt;2,"Cliente",H66&gt;0,"Cliente nuevo")</f>
        <v>Cliente</v>
      </c>
      <c r="G66" s="1"/>
      <c r="H66" s="1">
        <f t="shared" si="4"/>
        <v>4</v>
      </c>
      <c r="I66" s="2">
        <v>0</v>
      </c>
      <c r="J66" s="2">
        <v>580</v>
      </c>
      <c r="K66" s="2">
        <v>0</v>
      </c>
      <c r="L66" s="2">
        <v>0</v>
      </c>
      <c r="M66" s="2">
        <v>231.99999999999997</v>
      </c>
      <c r="N66" s="89">
        <v>7308</v>
      </c>
      <c r="O66" s="89">
        <v>231.99999999999997</v>
      </c>
      <c r="P66" s="89">
        <v>0</v>
      </c>
      <c r="Q66" s="54">
        <f t="shared" ref="Q66:Q129" si="8">SUBTOTAL(109,I66:P66)</f>
        <v>8352</v>
      </c>
      <c r="R66" s="89">
        <v>2436</v>
      </c>
      <c r="S66" s="92">
        <f t="shared" si="5"/>
        <v>4</v>
      </c>
      <c r="T66" s="59">
        <f t="shared" ref="T66:T129" si="9">Q66-R66</f>
        <v>5916</v>
      </c>
      <c r="U66" s="60">
        <f t="shared" ref="U66:U129" si="10">IF(Q66=0,0,R66/Q66)</f>
        <v>0.29166666666666669</v>
      </c>
      <c r="V66" s="59" t="str">
        <f t="array" ref="V66">_xlfn.IFS(S66=0,"Alta sin facturar",S66&gt;2,"Cliente",S66&gt;0,"Cliente nuevo")</f>
        <v>Cliente</v>
      </c>
      <c r="W66" s="59" t="str">
        <f t="shared" si="6"/>
        <v>Ha pagado</v>
      </c>
      <c r="X66" s="3"/>
      <c r="Y66" s="3"/>
      <c r="Z66" s="3"/>
      <c r="AA66" s="3"/>
      <c r="AB66" s="3"/>
      <c r="AC66" s="3"/>
      <c r="AD66" s="3"/>
      <c r="AE66" s="3"/>
      <c r="AG66" s="8" t="s">
        <v>23</v>
      </c>
      <c r="AH66" s="9"/>
      <c r="AI66" s="9"/>
      <c r="AJ66" s="9"/>
      <c r="AK66" s="9"/>
      <c r="AL66" s="9"/>
      <c r="AM66" s="9"/>
      <c r="AN66" s="9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</row>
    <row r="67" spans="1:154" x14ac:dyDescent="0.25">
      <c r="A67" s="6">
        <v>44578</v>
      </c>
      <c r="B67" t="str">
        <f t="shared" si="7"/>
        <v>Enero</v>
      </c>
      <c r="C67" s="1" t="s">
        <v>89</v>
      </c>
      <c r="D67" s="58" t="str">
        <f>VLOOKUP(Datos!$C67,$AQ$2:$AR$41,2,0)</f>
        <v>Centro</v>
      </c>
      <c r="E67" s="1">
        <v>23145</v>
      </c>
      <c r="F67" s="1" t="str">
        <f t="array" ref="F67">_xlfn.IFS(H67=0,"Alta sin facturar",H67&gt;2,"Cliente",H67&gt;0,"Cliente nuevo")</f>
        <v>Cliente nuevo</v>
      </c>
      <c r="G67" s="1"/>
      <c r="H67" s="1">
        <f t="shared" ref="H67:H130" si="11">COUNTIF(I67:P67,"&gt;0")</f>
        <v>2</v>
      </c>
      <c r="I67" s="2">
        <v>0</v>
      </c>
      <c r="J67" s="2">
        <v>0</v>
      </c>
      <c r="K67" s="2">
        <v>1359.52</v>
      </c>
      <c r="L67" s="2">
        <v>247.07999999999998</v>
      </c>
      <c r="M67" s="2">
        <v>0</v>
      </c>
      <c r="N67" s="89">
        <v>0</v>
      </c>
      <c r="O67" s="89">
        <v>0</v>
      </c>
      <c r="P67" s="89">
        <v>0</v>
      </c>
      <c r="Q67" s="54">
        <f t="shared" si="8"/>
        <v>1606.6</v>
      </c>
      <c r="R67" s="89">
        <v>3416.2</v>
      </c>
      <c r="S67" s="92">
        <f t="shared" ref="S67:S130" si="12">COUNTIF(I67:P67,"&gt;0")</f>
        <v>2</v>
      </c>
      <c r="T67" s="59">
        <f t="shared" si="9"/>
        <v>-1809.6</v>
      </c>
      <c r="U67" s="60">
        <f t="shared" si="10"/>
        <v>2.1263537906137184</v>
      </c>
      <c r="V67" s="59" t="str">
        <f t="array" ref="V67">_xlfn.IFS(S67=0,"Alta sin facturar",S67&gt;2,"Cliente",S67&gt;0,"Cliente nuevo")</f>
        <v>Cliente nuevo</v>
      </c>
      <c r="W67" s="59" t="str">
        <f t="shared" ref="W67:W130" si="13">IF(T67&lt;1,"Sin pago","Ha pagado")</f>
        <v>Sin pago</v>
      </c>
      <c r="X67" s="3"/>
      <c r="Y67" s="3"/>
      <c r="Z67" s="3"/>
      <c r="AA67" s="3"/>
      <c r="AB67" s="3"/>
      <c r="AC67" s="3"/>
      <c r="AD67" s="3"/>
      <c r="AE67" s="3"/>
      <c r="AG67" s="8" t="s">
        <v>20</v>
      </c>
      <c r="AH67" s="9"/>
      <c r="AI67" s="9"/>
      <c r="AJ67" s="9"/>
      <c r="AK67" s="9"/>
      <c r="AL67" s="9"/>
      <c r="AM67" s="9"/>
      <c r="AN67" s="9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</row>
    <row r="68" spans="1:154" x14ac:dyDescent="0.25">
      <c r="A68" s="6">
        <v>44578</v>
      </c>
      <c r="B68" t="str">
        <f t="shared" si="7"/>
        <v>Enero</v>
      </c>
      <c r="C68" s="1" t="s">
        <v>35</v>
      </c>
      <c r="D68" s="58" t="str">
        <f>VLOOKUP(Datos!$C68,$AQ$2:$AR$41,2,0)</f>
        <v>Centro</v>
      </c>
      <c r="E68" s="1">
        <v>23146</v>
      </c>
      <c r="F68" s="1" t="str">
        <f t="array" ref="F68">_xlfn.IFS(H68=0,"Alta sin facturar",H68&gt;2,"Cliente",H68&gt;0,"Cliente nuevo")</f>
        <v>Cliente</v>
      </c>
      <c r="G68" s="1"/>
      <c r="H68" s="1">
        <f t="shared" si="11"/>
        <v>7</v>
      </c>
      <c r="I68" s="2">
        <v>11137.159999999998</v>
      </c>
      <c r="J68" s="2">
        <v>5567.9999999999991</v>
      </c>
      <c r="K68" s="2">
        <v>2783.9999999999995</v>
      </c>
      <c r="L68" s="2">
        <v>927.99999999999989</v>
      </c>
      <c r="M68" s="2">
        <v>0</v>
      </c>
      <c r="N68" s="89">
        <v>5568</v>
      </c>
      <c r="O68" s="89">
        <v>6843.9999999999991</v>
      </c>
      <c r="P68" s="89">
        <v>2783.9999999999995</v>
      </c>
      <c r="Q68" s="54">
        <f t="shared" si="8"/>
        <v>35613.159999999996</v>
      </c>
      <c r="R68" s="89">
        <v>1624</v>
      </c>
      <c r="S68" s="92">
        <f t="shared" si="12"/>
        <v>7</v>
      </c>
      <c r="T68" s="59">
        <f t="shared" si="9"/>
        <v>33989.159999999996</v>
      </c>
      <c r="U68" s="60">
        <f t="shared" si="10"/>
        <v>4.5601120484674774E-2</v>
      </c>
      <c r="V68" s="59" t="str">
        <f t="array" ref="V68">_xlfn.IFS(S68=0,"Alta sin facturar",S68&gt;2,"Cliente",S68&gt;0,"Cliente nuevo")</f>
        <v>Cliente</v>
      </c>
      <c r="W68" s="59" t="str">
        <f t="shared" si="13"/>
        <v>Ha pagado</v>
      </c>
      <c r="X68" s="3"/>
      <c r="Y68" s="3"/>
      <c r="Z68" s="3"/>
      <c r="AA68" s="3"/>
      <c r="AB68" s="3"/>
      <c r="AC68" s="3"/>
      <c r="AD68" s="3"/>
      <c r="AE68" s="3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</row>
    <row r="69" spans="1:154" x14ac:dyDescent="0.25">
      <c r="A69" s="6">
        <v>44578</v>
      </c>
      <c r="B69" t="str">
        <f t="shared" si="7"/>
        <v>Enero</v>
      </c>
      <c r="C69" s="1" t="s">
        <v>38</v>
      </c>
      <c r="D69" s="58" t="str">
        <f>VLOOKUP(Datos!$C69,$AQ$2:$AR$41,2,0)</f>
        <v>Centro</v>
      </c>
      <c r="E69" s="1">
        <v>23147</v>
      </c>
      <c r="F69" s="1" t="str">
        <f t="array" ref="F69">_xlfn.IFS(H69=0,"Alta sin facturar",H69&gt;2,"Cliente",H69&gt;0,"Cliente nuevo")</f>
        <v>Cliente</v>
      </c>
      <c r="G69" s="1"/>
      <c r="H69" s="1">
        <f t="shared" si="11"/>
        <v>5</v>
      </c>
      <c r="I69" s="2">
        <v>0</v>
      </c>
      <c r="J69" s="2">
        <v>0</v>
      </c>
      <c r="K69" s="2">
        <v>6296.48</v>
      </c>
      <c r="L69" s="2">
        <v>9632.64</v>
      </c>
      <c r="M69" s="2">
        <v>10268.32</v>
      </c>
      <c r="N69" s="89">
        <v>5230.4399999999996</v>
      </c>
      <c r="O69" s="89">
        <v>8150.16</v>
      </c>
      <c r="P69" s="89">
        <v>0</v>
      </c>
      <c r="Q69" s="54">
        <f t="shared" si="8"/>
        <v>39578.039999999994</v>
      </c>
      <c r="R69" s="89">
        <v>5944.9999999999991</v>
      </c>
      <c r="S69" s="92">
        <f t="shared" si="12"/>
        <v>5</v>
      </c>
      <c r="T69" s="59">
        <f t="shared" si="9"/>
        <v>33633.039999999994</v>
      </c>
      <c r="U69" s="60">
        <f t="shared" si="10"/>
        <v>0.15020956065535332</v>
      </c>
      <c r="V69" s="59" t="str">
        <f t="array" ref="V69">_xlfn.IFS(S69=0,"Alta sin facturar",S69&gt;2,"Cliente",S69&gt;0,"Cliente nuevo")</f>
        <v>Cliente</v>
      </c>
      <c r="W69" s="59" t="str">
        <f t="shared" si="13"/>
        <v>Ha pagado</v>
      </c>
      <c r="X69" s="3"/>
      <c r="Y69" s="3"/>
      <c r="Z69" s="3"/>
      <c r="AA69" s="3"/>
      <c r="AB69" s="3"/>
      <c r="AC69" s="3"/>
      <c r="AD69" s="3"/>
      <c r="AE69" s="3"/>
      <c r="AG69" s="8"/>
      <c r="AH69"/>
      <c r="AI69"/>
      <c r="AJ69"/>
      <c r="AK69"/>
      <c r="AL69"/>
      <c r="AM69"/>
      <c r="AN69"/>
      <c r="AO69"/>
      <c r="AP69"/>
      <c r="AQ69"/>
      <c r="AR69"/>
    </row>
    <row r="70" spans="1:154" x14ac:dyDescent="0.25">
      <c r="A70" s="6">
        <v>44578</v>
      </c>
      <c r="B70" t="str">
        <f t="shared" si="7"/>
        <v>Enero</v>
      </c>
      <c r="C70" s="1" t="s">
        <v>38</v>
      </c>
      <c r="D70" s="58" t="str">
        <f>VLOOKUP(Datos!$C70,$AQ$2:$AR$41,2,0)</f>
        <v>Centro</v>
      </c>
      <c r="E70" s="1">
        <v>23148</v>
      </c>
      <c r="F70" s="1" t="str">
        <f t="array" ref="F70">_xlfn.IFS(H70=0,"Alta sin facturar",H70&gt;2,"Cliente",H70&gt;0,"Cliente nuevo")</f>
        <v>Alta sin facturar</v>
      </c>
      <c r="G70" s="1"/>
      <c r="H70" s="1">
        <f t="shared" si="11"/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89">
        <v>0</v>
      </c>
      <c r="O70" s="89">
        <v>0</v>
      </c>
      <c r="P70" s="89">
        <v>0</v>
      </c>
      <c r="Q70" s="54">
        <f t="shared" si="8"/>
        <v>0</v>
      </c>
      <c r="R70" s="89"/>
      <c r="S70" s="92">
        <f t="shared" si="12"/>
        <v>0</v>
      </c>
      <c r="T70" s="59">
        <f t="shared" si="9"/>
        <v>0</v>
      </c>
      <c r="U70" s="60">
        <f t="shared" si="10"/>
        <v>0</v>
      </c>
      <c r="V70" s="59" t="str">
        <f t="array" ref="V70">_xlfn.IFS(S70=0,"Alta sin facturar",S70&gt;2,"Cliente",S70&gt;0,"Cliente nuevo")</f>
        <v>Alta sin facturar</v>
      </c>
      <c r="W70" s="59" t="str">
        <f t="shared" si="13"/>
        <v>Sin pago</v>
      </c>
      <c r="X70" s="3"/>
      <c r="Y70" s="3"/>
      <c r="Z70" s="3"/>
      <c r="AA70" s="3"/>
      <c r="AB70" s="3"/>
      <c r="AC70" s="3"/>
      <c r="AD70" s="3"/>
      <c r="AE70" s="3"/>
      <c r="AG70" s="7" t="s">
        <v>26</v>
      </c>
      <c r="AH70" t="s">
        <v>27</v>
      </c>
      <c r="AJ70"/>
      <c r="AK70"/>
      <c r="AL70"/>
      <c r="AM70"/>
      <c r="AN70"/>
      <c r="AO70"/>
      <c r="AP70"/>
      <c r="AQ70"/>
      <c r="AR70"/>
    </row>
    <row r="71" spans="1:154" x14ac:dyDescent="0.25">
      <c r="A71" s="6">
        <v>44578</v>
      </c>
      <c r="B71" t="str">
        <f t="shared" si="7"/>
        <v>Enero</v>
      </c>
      <c r="C71" s="1" t="s">
        <v>41</v>
      </c>
      <c r="D71" s="58" t="str">
        <f>VLOOKUP(Datos!$C71,$AQ$2:$AR$41,2,0)</f>
        <v>Centro</v>
      </c>
      <c r="E71" s="1">
        <v>23149</v>
      </c>
      <c r="F71" s="1" t="str">
        <f t="array" ref="F71">_xlfn.IFS(H71=0,"Alta sin facturar",H71&gt;2,"Cliente",H71&gt;0,"Cliente nuevo")</f>
        <v>Alta sin facturar</v>
      </c>
      <c r="G71" s="1"/>
      <c r="H71" s="1">
        <f t="shared" si="11"/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89">
        <v>0</v>
      </c>
      <c r="O71" s="89">
        <v>0</v>
      </c>
      <c r="P71" s="89">
        <v>0</v>
      </c>
      <c r="Q71" s="54">
        <f t="shared" si="8"/>
        <v>0</v>
      </c>
      <c r="R71" s="89"/>
      <c r="S71" s="92">
        <f t="shared" si="12"/>
        <v>0</v>
      </c>
      <c r="T71" s="59">
        <f t="shared" si="9"/>
        <v>0</v>
      </c>
      <c r="U71" s="60">
        <f t="shared" si="10"/>
        <v>0</v>
      </c>
      <c r="V71" s="59" t="str">
        <f t="array" ref="V71">_xlfn.IFS(S71=0,"Alta sin facturar",S71&gt;2,"Cliente",S71&gt;0,"Cliente nuevo")</f>
        <v>Alta sin facturar</v>
      </c>
      <c r="W71" s="59" t="str">
        <f t="shared" si="13"/>
        <v>Sin pago</v>
      </c>
      <c r="X71" s="3"/>
      <c r="Y71" s="3"/>
      <c r="Z71" s="3"/>
      <c r="AA71" s="3"/>
      <c r="AB71" s="3"/>
      <c r="AC71" s="3"/>
      <c r="AD71" s="3"/>
      <c r="AE71" s="3"/>
      <c r="AG71" s="7" t="s">
        <v>47</v>
      </c>
      <c r="AH71" t="s">
        <v>29</v>
      </c>
      <c r="AI71"/>
      <c r="AJ71"/>
      <c r="AK71"/>
      <c r="AL71"/>
      <c r="AM71"/>
      <c r="AN71"/>
      <c r="AO71"/>
      <c r="AQ71"/>
      <c r="AR71"/>
    </row>
    <row r="72" spans="1:154" x14ac:dyDescent="0.25">
      <c r="A72" s="6">
        <v>44578</v>
      </c>
      <c r="B72" t="str">
        <f t="shared" si="7"/>
        <v>Enero</v>
      </c>
      <c r="C72" s="1" t="s">
        <v>41</v>
      </c>
      <c r="D72" s="58" t="str">
        <f>VLOOKUP(Datos!$C72,$AQ$2:$AR$41,2,0)</f>
        <v>Centro</v>
      </c>
      <c r="E72" s="1">
        <v>23150</v>
      </c>
      <c r="F72" s="1" t="str">
        <f t="array" ref="F72">_xlfn.IFS(H72=0,"Alta sin facturar",H72&gt;2,"Cliente",H72&gt;0,"Cliente nuevo")</f>
        <v>Alta sin facturar</v>
      </c>
      <c r="G72" s="1"/>
      <c r="H72" s="1">
        <f t="shared" si="11"/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89">
        <v>0</v>
      </c>
      <c r="O72" s="89">
        <v>0</v>
      </c>
      <c r="P72" s="89">
        <v>0</v>
      </c>
      <c r="Q72" s="54">
        <f t="shared" si="8"/>
        <v>0</v>
      </c>
      <c r="R72" s="89"/>
      <c r="S72" s="92">
        <f t="shared" si="12"/>
        <v>0</v>
      </c>
      <c r="T72" s="59">
        <f t="shared" si="9"/>
        <v>0</v>
      </c>
      <c r="U72" s="60">
        <f t="shared" si="10"/>
        <v>0</v>
      </c>
      <c r="V72" s="59" t="str">
        <f t="array" ref="V72">_xlfn.IFS(S72=0,"Alta sin facturar",S72&gt;2,"Cliente",S72&gt;0,"Cliente nuevo")</f>
        <v>Alta sin facturar</v>
      </c>
      <c r="W72" s="59" t="str">
        <f t="shared" si="13"/>
        <v>Sin pago</v>
      </c>
      <c r="X72" s="3"/>
      <c r="Y72" s="3"/>
      <c r="Z72" s="3"/>
      <c r="AA72" s="3"/>
      <c r="AB72" s="3"/>
      <c r="AC72" s="3"/>
      <c r="AD72" s="3"/>
      <c r="AE72" s="3"/>
      <c r="AG72"/>
      <c r="AH72"/>
      <c r="AI72"/>
      <c r="AJ72"/>
      <c r="AO72"/>
      <c r="AQ72"/>
      <c r="AR72"/>
    </row>
    <row r="73" spans="1:154" x14ac:dyDescent="0.25">
      <c r="A73" s="6">
        <v>44578</v>
      </c>
      <c r="B73" t="str">
        <f t="shared" si="7"/>
        <v>Enero</v>
      </c>
      <c r="C73" s="1" t="s">
        <v>59</v>
      </c>
      <c r="D73" s="58" t="str">
        <f>VLOOKUP(Datos!$C73,$AQ$2:$AR$41,2,0)</f>
        <v>Magallanes</v>
      </c>
      <c r="E73" s="1">
        <v>23151</v>
      </c>
      <c r="F73" s="1" t="str">
        <f t="array" ref="F73">_xlfn.IFS(H73=0,"Alta sin facturar",H73&gt;2,"Cliente",H73&gt;0,"Cliente nuevo")</f>
        <v>Cliente nuevo</v>
      </c>
      <c r="G73" s="1"/>
      <c r="H73" s="1">
        <f t="shared" si="11"/>
        <v>2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89">
        <v>8111.8799999999992</v>
      </c>
      <c r="O73" s="89">
        <v>0</v>
      </c>
      <c r="P73" s="89">
        <v>13553.439999999999</v>
      </c>
      <c r="Q73" s="54">
        <f t="shared" si="8"/>
        <v>21665.32</v>
      </c>
      <c r="R73" s="89">
        <v>3526.4</v>
      </c>
      <c r="S73" s="92">
        <f t="shared" si="12"/>
        <v>2</v>
      </c>
      <c r="T73" s="59">
        <f t="shared" si="9"/>
        <v>18138.919999999998</v>
      </c>
      <c r="U73" s="60">
        <f t="shared" si="10"/>
        <v>0.16276703967446593</v>
      </c>
      <c r="V73" s="59" t="str">
        <f t="array" ref="V73">_xlfn.IFS(S73=0,"Alta sin facturar",S73&gt;2,"Cliente",S73&gt;0,"Cliente nuevo")</f>
        <v>Cliente nuevo</v>
      </c>
      <c r="W73" s="59" t="str">
        <f t="shared" si="13"/>
        <v>Ha pagado</v>
      </c>
      <c r="X73" s="3"/>
      <c r="Y73" s="3"/>
      <c r="Z73" s="3"/>
      <c r="AA73" s="3"/>
      <c r="AB73" s="3"/>
      <c r="AC73" s="3"/>
      <c r="AD73" s="3"/>
      <c r="AE73" s="3"/>
      <c r="AG73" s="7"/>
      <c r="AH73" s="7" t="s">
        <v>54</v>
      </c>
      <c r="AI73"/>
      <c r="AJ73"/>
      <c r="AQ73"/>
      <c r="AR73"/>
    </row>
    <row r="74" spans="1:154" x14ac:dyDescent="0.25">
      <c r="A74" s="6">
        <v>44579</v>
      </c>
      <c r="B74" t="str">
        <f t="shared" si="7"/>
        <v>Enero</v>
      </c>
      <c r="C74" s="1" t="s">
        <v>66</v>
      </c>
      <c r="D74" s="58" t="str">
        <f>VLOOKUP(Datos!$C74,$AQ$2:$AR$41,2,0)</f>
        <v>Sur</v>
      </c>
      <c r="E74" s="1">
        <v>23152</v>
      </c>
      <c r="F74" s="1" t="str">
        <f t="array" ref="F74">_xlfn.IFS(H74=0,"Alta sin facturar",H74&gt;2,"Cliente",H74&gt;0,"Cliente nuevo")</f>
        <v>Alta sin facturar</v>
      </c>
      <c r="G74" s="1"/>
      <c r="H74" s="1">
        <f t="shared" si="11"/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89">
        <v>0</v>
      </c>
      <c r="O74" s="89">
        <v>0</v>
      </c>
      <c r="P74" s="89">
        <v>0</v>
      </c>
      <c r="Q74" s="54">
        <f t="shared" si="8"/>
        <v>0</v>
      </c>
      <c r="R74" s="89"/>
      <c r="S74" s="92">
        <f t="shared" si="12"/>
        <v>0</v>
      </c>
      <c r="T74" s="59">
        <f t="shared" si="9"/>
        <v>0</v>
      </c>
      <c r="U74" s="60">
        <f t="shared" si="10"/>
        <v>0</v>
      </c>
      <c r="V74" s="59" t="str">
        <f t="array" ref="V74">_xlfn.IFS(S74=0,"Alta sin facturar",S74&gt;2,"Cliente",S74&gt;0,"Cliente nuevo")</f>
        <v>Alta sin facturar</v>
      </c>
      <c r="W74" s="59" t="str">
        <f t="shared" si="13"/>
        <v>Sin pago</v>
      </c>
      <c r="X74" s="3"/>
      <c r="Y74" s="3"/>
      <c r="Z74" s="3"/>
      <c r="AA74" s="3"/>
      <c r="AB74" s="3"/>
      <c r="AC74" s="3"/>
      <c r="AD74" s="3"/>
      <c r="AE74" s="3"/>
      <c r="AG74"/>
      <c r="AH74" t="s">
        <v>21</v>
      </c>
      <c r="AI74" t="s">
        <v>22</v>
      </c>
      <c r="AJ74" t="s">
        <v>23</v>
      </c>
      <c r="AQ74"/>
      <c r="AR74"/>
    </row>
    <row r="75" spans="1:154" x14ac:dyDescent="0.25">
      <c r="A75" s="6">
        <v>44579</v>
      </c>
      <c r="B75" t="str">
        <f t="shared" si="7"/>
        <v>Enero</v>
      </c>
      <c r="C75" s="1" t="s">
        <v>66</v>
      </c>
      <c r="D75" s="58" t="str">
        <f>VLOOKUP(Datos!$C75,$AQ$2:$AR$41,2,0)</f>
        <v>Sur</v>
      </c>
      <c r="E75" s="1">
        <v>23153</v>
      </c>
      <c r="F75" s="1" t="str">
        <f t="array" ref="F75">_xlfn.IFS(H75=0,"Alta sin facturar",H75&gt;2,"Cliente",H75&gt;0,"Cliente nuevo")</f>
        <v>Alta sin facturar</v>
      </c>
      <c r="G75" s="1"/>
      <c r="H75" s="1">
        <f t="shared" si="11"/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89">
        <v>0</v>
      </c>
      <c r="O75" s="89">
        <v>0</v>
      </c>
      <c r="P75" s="89">
        <v>0</v>
      </c>
      <c r="Q75" s="54">
        <f t="shared" si="8"/>
        <v>0</v>
      </c>
      <c r="R75" s="89">
        <v>0</v>
      </c>
      <c r="S75" s="92">
        <f t="shared" si="12"/>
        <v>0</v>
      </c>
      <c r="T75" s="59">
        <f t="shared" si="9"/>
        <v>0</v>
      </c>
      <c r="U75" s="60">
        <f t="shared" si="10"/>
        <v>0</v>
      </c>
      <c r="V75" s="59" t="str">
        <f t="array" ref="V75">_xlfn.IFS(S75=0,"Alta sin facturar",S75&gt;2,"Cliente",S75&gt;0,"Cliente nuevo")</f>
        <v>Alta sin facturar</v>
      </c>
      <c r="W75" s="59" t="str">
        <f t="shared" si="13"/>
        <v>Sin pago</v>
      </c>
      <c r="X75" s="3"/>
      <c r="Y75" s="3"/>
      <c r="Z75" s="3"/>
      <c r="AA75" s="3"/>
      <c r="AB75" s="3"/>
      <c r="AC75" s="3"/>
      <c r="AD75" s="3"/>
      <c r="AE75" s="3"/>
      <c r="AG75" t="s">
        <v>55</v>
      </c>
      <c r="AH75"/>
      <c r="AI75"/>
      <c r="AJ75" s="9"/>
      <c r="AK75"/>
      <c r="AL75"/>
      <c r="AM75"/>
      <c r="AN75"/>
      <c r="AQ75"/>
      <c r="AR75"/>
    </row>
    <row r="76" spans="1:154" x14ac:dyDescent="0.25">
      <c r="A76" s="6">
        <v>44579</v>
      </c>
      <c r="B76" t="str">
        <f t="shared" si="7"/>
        <v>Enero</v>
      </c>
      <c r="C76" s="1" t="s">
        <v>59</v>
      </c>
      <c r="D76" s="58" t="str">
        <f>VLOOKUP(Datos!$C76,$AQ$2:$AR$41,2,0)</f>
        <v>Magallanes</v>
      </c>
      <c r="E76" s="1">
        <v>23154</v>
      </c>
      <c r="F76" s="1" t="str">
        <f t="array" ref="F76">_xlfn.IFS(H76=0,"Alta sin facturar",H76&gt;2,"Cliente",H76&gt;0,"Cliente nuevo")</f>
        <v>Cliente</v>
      </c>
      <c r="G76" s="1"/>
      <c r="H76" s="1">
        <f t="shared" si="11"/>
        <v>8</v>
      </c>
      <c r="I76" s="2">
        <v>1643.7200000000003</v>
      </c>
      <c r="J76" s="2">
        <v>1966.1999999999998</v>
      </c>
      <c r="K76" s="2">
        <v>5735.0399999999972</v>
      </c>
      <c r="L76" s="2">
        <v>3177.2399999999993</v>
      </c>
      <c r="M76" s="2">
        <v>3874.4000000000005</v>
      </c>
      <c r="N76" s="89">
        <v>2753.84</v>
      </c>
      <c r="O76" s="89">
        <v>1780.6</v>
      </c>
      <c r="P76" s="89">
        <v>3858.1600000000003</v>
      </c>
      <c r="Q76" s="54">
        <f t="shared" si="8"/>
        <v>24789.199999999997</v>
      </c>
      <c r="R76" s="89">
        <v>389.76</v>
      </c>
      <c r="S76" s="92">
        <f t="shared" si="12"/>
        <v>8</v>
      </c>
      <c r="T76" s="59">
        <f t="shared" si="9"/>
        <v>24399.439999999999</v>
      </c>
      <c r="U76" s="60">
        <f t="shared" si="10"/>
        <v>1.572297613476837E-2</v>
      </c>
      <c r="V76" s="59" t="str">
        <f t="array" ref="V76">_xlfn.IFS(S76=0,"Alta sin facturar",S76&gt;2,"Cliente",S76&gt;0,"Cliente nuevo")</f>
        <v>Cliente</v>
      </c>
      <c r="W76" s="59" t="str">
        <f t="shared" si="13"/>
        <v>Ha pagado</v>
      </c>
      <c r="X76" s="3"/>
      <c r="Y76" s="3"/>
      <c r="Z76" s="3"/>
      <c r="AA76" s="3"/>
      <c r="AB76" s="3"/>
      <c r="AC76" s="3"/>
      <c r="AD76" s="3"/>
      <c r="AE76" s="3"/>
      <c r="AG76"/>
      <c r="AH76"/>
      <c r="AI76"/>
      <c r="AJ76"/>
      <c r="AK76"/>
      <c r="AL76"/>
      <c r="AM76"/>
      <c r="AN76"/>
      <c r="AQ76"/>
      <c r="AR76"/>
    </row>
    <row r="77" spans="1:154" x14ac:dyDescent="0.25">
      <c r="A77" s="6">
        <v>44579</v>
      </c>
      <c r="B77" t="str">
        <f t="shared" si="7"/>
        <v>Enero</v>
      </c>
      <c r="C77" s="1" t="s">
        <v>37</v>
      </c>
      <c r="D77" s="58" t="str">
        <f>VLOOKUP(Datos!$C77,$AQ$2:$AR$41,2,0)</f>
        <v>Norte</v>
      </c>
      <c r="E77" s="1">
        <v>23155</v>
      </c>
      <c r="F77" s="1" t="str">
        <f t="array" ref="F77">_xlfn.IFS(H77=0,"Alta sin facturar",H77&gt;2,"Cliente",H77&gt;0,"Cliente nuevo")</f>
        <v>Cliente</v>
      </c>
      <c r="G77" s="1"/>
      <c r="H77" s="1">
        <f t="shared" si="11"/>
        <v>8</v>
      </c>
      <c r="I77" s="2">
        <v>1391.9999999999998</v>
      </c>
      <c r="J77" s="2">
        <v>5990.24</v>
      </c>
      <c r="K77" s="2">
        <v>8325.3200000000015</v>
      </c>
      <c r="L77" s="2">
        <v>15277.199999999997</v>
      </c>
      <c r="M77" s="2">
        <v>14458.240000000002</v>
      </c>
      <c r="N77" s="89">
        <v>20869.559999999998</v>
      </c>
      <c r="O77" s="89">
        <v>12753.04</v>
      </c>
      <c r="P77" s="89">
        <v>8781.1999999999989</v>
      </c>
      <c r="Q77" s="54">
        <f t="shared" si="8"/>
        <v>87846.8</v>
      </c>
      <c r="R77" s="89">
        <v>4692.2</v>
      </c>
      <c r="S77" s="92">
        <f t="shared" si="12"/>
        <v>8</v>
      </c>
      <c r="T77" s="59">
        <f t="shared" si="9"/>
        <v>83154.600000000006</v>
      </c>
      <c r="U77" s="60">
        <f t="shared" si="10"/>
        <v>5.3413442493067474E-2</v>
      </c>
      <c r="V77" s="59" t="str">
        <f t="array" ref="V77">_xlfn.IFS(S77=0,"Alta sin facturar",S77&gt;2,"Cliente",S77&gt;0,"Cliente nuevo")</f>
        <v>Cliente</v>
      </c>
      <c r="W77" s="59" t="str">
        <f t="shared" si="13"/>
        <v>Ha pagado</v>
      </c>
      <c r="X77" s="3"/>
      <c r="Y77" s="3"/>
      <c r="Z77" s="3"/>
      <c r="AA77" s="3"/>
      <c r="AB77" s="3"/>
      <c r="AC77" s="3"/>
      <c r="AD77" s="3"/>
      <c r="AE77" s="3"/>
      <c r="AG77"/>
      <c r="AH77"/>
      <c r="AI77"/>
      <c r="AJ77"/>
      <c r="AK77"/>
      <c r="AL77"/>
      <c r="AM77"/>
      <c r="AN77"/>
      <c r="AQ77"/>
      <c r="AR77"/>
    </row>
    <row r="78" spans="1:154" x14ac:dyDescent="0.25">
      <c r="A78" s="6">
        <v>44579</v>
      </c>
      <c r="B78" t="str">
        <f t="shared" si="7"/>
        <v>Enero</v>
      </c>
      <c r="C78" s="1" t="s">
        <v>89</v>
      </c>
      <c r="D78" s="58" t="str">
        <f>VLOOKUP(Datos!$C78,$AQ$2:$AR$41,2,0)</f>
        <v>Centro</v>
      </c>
      <c r="E78" s="1">
        <v>23156</v>
      </c>
      <c r="F78" s="1" t="str">
        <f t="array" ref="F78">_xlfn.IFS(H78=0,"Alta sin facturar",H78&gt;2,"Cliente",H78&gt;0,"Cliente nuevo")</f>
        <v>Cliente nuevo</v>
      </c>
      <c r="G78" s="1"/>
      <c r="H78" s="1">
        <f t="shared" si="11"/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89">
        <v>5800</v>
      </c>
      <c r="O78" s="89">
        <v>0</v>
      </c>
      <c r="P78" s="89">
        <v>0</v>
      </c>
      <c r="Q78" s="54">
        <f t="shared" si="8"/>
        <v>5800</v>
      </c>
      <c r="R78" s="89">
        <v>5800</v>
      </c>
      <c r="S78" s="92">
        <f t="shared" si="12"/>
        <v>1</v>
      </c>
      <c r="T78" s="59">
        <f t="shared" si="9"/>
        <v>0</v>
      </c>
      <c r="U78" s="60">
        <f t="shared" si="10"/>
        <v>1</v>
      </c>
      <c r="V78" s="59" t="str">
        <f t="array" ref="V78">_xlfn.IFS(S78=0,"Alta sin facturar",S78&gt;2,"Cliente",S78&gt;0,"Cliente nuevo")</f>
        <v>Cliente nuevo</v>
      </c>
      <c r="W78" s="59" t="str">
        <f t="shared" si="13"/>
        <v>Sin pago</v>
      </c>
      <c r="X78" s="3"/>
      <c r="Y78" s="3"/>
      <c r="Z78" s="3"/>
      <c r="AA78" s="3"/>
      <c r="AB78" s="3"/>
      <c r="AC78" s="3"/>
      <c r="AD78" s="3"/>
      <c r="AE78" s="3"/>
      <c r="AQ78"/>
      <c r="AR78"/>
    </row>
    <row r="79" spans="1:154" x14ac:dyDescent="0.25">
      <c r="A79" s="6">
        <v>44579</v>
      </c>
      <c r="B79" t="str">
        <f t="shared" si="7"/>
        <v>Enero</v>
      </c>
      <c r="C79" s="1" t="s">
        <v>75</v>
      </c>
      <c r="D79" s="58" t="str">
        <f>VLOOKUP(Datos!$C79,$AQ$2:$AR$41,2,0)</f>
        <v>Centro</v>
      </c>
      <c r="E79" s="1">
        <v>23157</v>
      </c>
      <c r="F79" s="1" t="str">
        <f t="array" ref="F79">_xlfn.IFS(H79=0,"Alta sin facturar",H79&gt;2,"Cliente",H79&gt;0,"Cliente nuevo")</f>
        <v>Alta sin facturar</v>
      </c>
      <c r="G79" s="1"/>
      <c r="H79" s="1">
        <f t="shared" si="11"/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89">
        <v>0</v>
      </c>
      <c r="O79" s="89">
        <v>0</v>
      </c>
      <c r="P79" s="89">
        <v>0</v>
      </c>
      <c r="Q79" s="54">
        <f t="shared" si="8"/>
        <v>0</v>
      </c>
      <c r="R79" s="89">
        <v>0</v>
      </c>
      <c r="S79" s="92">
        <f t="shared" si="12"/>
        <v>0</v>
      </c>
      <c r="T79" s="59">
        <f t="shared" si="9"/>
        <v>0</v>
      </c>
      <c r="U79" s="60">
        <f t="shared" si="10"/>
        <v>0</v>
      </c>
      <c r="V79" s="59" t="str">
        <f t="array" ref="V79">_xlfn.IFS(S79=0,"Alta sin facturar",S79&gt;2,"Cliente",S79&gt;0,"Cliente nuevo")</f>
        <v>Alta sin facturar</v>
      </c>
      <c r="W79" s="59" t="str">
        <f t="shared" si="13"/>
        <v>Sin pago</v>
      </c>
      <c r="X79" s="3"/>
      <c r="Y79" s="3"/>
      <c r="Z79" s="3"/>
      <c r="AA79" s="3"/>
      <c r="AB79" s="3"/>
      <c r="AC79" s="3"/>
      <c r="AD79" s="3"/>
      <c r="AE79" s="3"/>
      <c r="AQ79"/>
      <c r="AR79"/>
    </row>
    <row r="80" spans="1:154" x14ac:dyDescent="0.25">
      <c r="A80" s="6">
        <v>44579</v>
      </c>
      <c r="B80" t="str">
        <f t="shared" si="7"/>
        <v>Enero</v>
      </c>
      <c r="C80" s="1" t="s">
        <v>41</v>
      </c>
      <c r="D80" s="58" t="str">
        <f>VLOOKUP(Datos!$C80,$AQ$2:$AR$41,2,0)</f>
        <v>Centro</v>
      </c>
      <c r="E80" s="1">
        <v>23158</v>
      </c>
      <c r="F80" s="1" t="str">
        <f t="array" ref="F80">_xlfn.IFS(H80=0,"Alta sin facturar",H80&gt;2,"Cliente",H80&gt;0,"Cliente nuevo")</f>
        <v>Cliente</v>
      </c>
      <c r="G80" s="1"/>
      <c r="H80" s="1">
        <f t="shared" si="11"/>
        <v>5</v>
      </c>
      <c r="I80" s="2">
        <v>0</v>
      </c>
      <c r="J80" s="2">
        <v>0</v>
      </c>
      <c r="K80" s="2">
        <v>0</v>
      </c>
      <c r="L80" s="2">
        <v>869.99999999999989</v>
      </c>
      <c r="M80" s="2">
        <v>5220</v>
      </c>
      <c r="N80" s="89">
        <v>24302</v>
      </c>
      <c r="O80" s="89">
        <v>9860</v>
      </c>
      <c r="P80" s="89">
        <v>16240</v>
      </c>
      <c r="Q80" s="54">
        <f t="shared" si="8"/>
        <v>56492</v>
      </c>
      <c r="R80" s="89">
        <v>66352</v>
      </c>
      <c r="S80" s="92">
        <f t="shared" si="12"/>
        <v>5</v>
      </c>
      <c r="T80" s="59">
        <f t="shared" si="9"/>
        <v>-9860</v>
      </c>
      <c r="U80" s="60">
        <f t="shared" si="10"/>
        <v>1.1745379876796715</v>
      </c>
      <c r="V80" s="59" t="str">
        <f t="array" ref="V80">_xlfn.IFS(S80=0,"Alta sin facturar",S80&gt;2,"Cliente",S80&gt;0,"Cliente nuevo")</f>
        <v>Cliente</v>
      </c>
      <c r="W80" s="59" t="str">
        <f t="shared" si="13"/>
        <v>Sin pago</v>
      </c>
      <c r="X80" s="3"/>
      <c r="Y80" s="3"/>
      <c r="Z80" s="3"/>
      <c r="AA80" s="3"/>
      <c r="AB80" s="3"/>
      <c r="AC80" s="3"/>
      <c r="AD80" s="3"/>
      <c r="AE80" s="3"/>
      <c r="AH80" s="64" t="s">
        <v>1</v>
      </c>
      <c r="AI80" s="64" t="s">
        <v>2</v>
      </c>
      <c r="AJ80" s="64" t="s">
        <v>3</v>
      </c>
      <c r="AK80" s="64" t="s">
        <v>4</v>
      </c>
      <c r="AL80" s="64" t="s">
        <v>5</v>
      </c>
      <c r="AM80" s="64" t="s">
        <v>6</v>
      </c>
      <c r="AN80" s="64" t="s">
        <v>12</v>
      </c>
      <c r="AQ80"/>
      <c r="AR80"/>
    </row>
    <row r="81" spans="1:45" x14ac:dyDescent="0.25">
      <c r="A81" s="6">
        <v>44580</v>
      </c>
      <c r="B81" t="str">
        <f t="shared" si="7"/>
        <v>Enero</v>
      </c>
      <c r="C81" s="1" t="s">
        <v>41</v>
      </c>
      <c r="D81" s="58" t="str">
        <f>VLOOKUP(Datos!$C81,$AQ$2:$AR$41,2,0)</f>
        <v>Centro</v>
      </c>
      <c r="E81" s="1">
        <v>23159</v>
      </c>
      <c r="F81" s="1" t="str">
        <f t="array" ref="F81">_xlfn.IFS(H81=0,"Alta sin facturar",H81&gt;2,"Cliente",H81&gt;0,"Cliente nuevo")</f>
        <v>Cliente</v>
      </c>
      <c r="G81" s="1"/>
      <c r="H81" s="1">
        <f t="shared" si="11"/>
        <v>8</v>
      </c>
      <c r="I81" s="2">
        <v>78.88</v>
      </c>
      <c r="J81" s="2">
        <v>1122.8800000000001</v>
      </c>
      <c r="K81" s="2">
        <v>105.55999999999999</v>
      </c>
      <c r="L81" s="2">
        <v>66.11999999999999</v>
      </c>
      <c r="M81" s="2">
        <v>1517.2799999999997</v>
      </c>
      <c r="N81" s="89">
        <v>3485.8</v>
      </c>
      <c r="O81" s="89">
        <v>7553.920000000001</v>
      </c>
      <c r="P81" s="89">
        <v>8539.92</v>
      </c>
      <c r="Q81" s="54">
        <f t="shared" si="8"/>
        <v>22470.36</v>
      </c>
      <c r="R81" s="89">
        <v>6439.16</v>
      </c>
      <c r="S81" s="92">
        <f t="shared" si="12"/>
        <v>8</v>
      </c>
      <c r="T81" s="59">
        <f t="shared" si="9"/>
        <v>16031.2</v>
      </c>
      <c r="U81" s="60">
        <f t="shared" si="10"/>
        <v>0.28656238707346032</v>
      </c>
      <c r="V81" s="59" t="str">
        <f t="array" ref="V81">_xlfn.IFS(S81=0,"Alta sin facturar",S81&gt;2,"Cliente",S81&gt;0,"Cliente nuevo")</f>
        <v>Cliente</v>
      </c>
      <c r="W81" s="59" t="str">
        <f t="shared" si="13"/>
        <v>Ha pagado</v>
      </c>
      <c r="X81" s="3"/>
      <c r="Y81" s="3"/>
      <c r="Z81" s="3"/>
      <c r="AA81" s="3"/>
      <c r="AB81" s="3"/>
      <c r="AC81" s="3"/>
      <c r="AD81" s="3"/>
      <c r="AE81" s="3"/>
      <c r="AG81" s="5" t="s">
        <v>22</v>
      </c>
      <c r="AH81" s="53">
        <v>1809.6</v>
      </c>
      <c r="AI81" s="53">
        <v>0</v>
      </c>
      <c r="AJ81" s="53">
        <v>1359.52</v>
      </c>
      <c r="AK81" s="53">
        <v>247.08</v>
      </c>
      <c r="AL81" s="53">
        <v>0</v>
      </c>
      <c r="AM81" s="53">
        <v>0</v>
      </c>
      <c r="AN81" s="52">
        <f>SUM(AH81:AM81)</f>
        <v>3416.2</v>
      </c>
      <c r="AQ81"/>
      <c r="AR81"/>
    </row>
    <row r="82" spans="1:45" x14ac:dyDescent="0.25">
      <c r="A82" s="6">
        <v>44580</v>
      </c>
      <c r="B82" t="str">
        <f t="shared" si="7"/>
        <v>Enero</v>
      </c>
      <c r="C82" s="1" t="s">
        <v>64</v>
      </c>
      <c r="D82" s="58" t="str">
        <f>VLOOKUP(Datos!$C82,$AQ$2:$AR$41,2,0)</f>
        <v>Norte</v>
      </c>
      <c r="E82" s="1">
        <v>23160</v>
      </c>
      <c r="F82" s="1" t="str">
        <f t="array" ref="F82">_xlfn.IFS(H82=0,"Alta sin facturar",H82&gt;2,"Cliente",H82&gt;0,"Cliente nuevo")</f>
        <v>Cliente nuevo</v>
      </c>
      <c r="G82" s="1"/>
      <c r="H82" s="1">
        <f t="shared" si="11"/>
        <v>1</v>
      </c>
      <c r="I82" s="2">
        <v>0</v>
      </c>
      <c r="J82" s="2">
        <v>0</v>
      </c>
      <c r="K82" s="2">
        <v>0</v>
      </c>
      <c r="L82" s="2">
        <v>115.99999999999999</v>
      </c>
      <c r="M82" s="2">
        <v>0</v>
      </c>
      <c r="N82" s="89">
        <v>0</v>
      </c>
      <c r="O82" s="89">
        <v>0</v>
      </c>
      <c r="P82" s="89">
        <v>0</v>
      </c>
      <c r="Q82" s="54">
        <f t="shared" si="8"/>
        <v>115.99999999999999</v>
      </c>
      <c r="R82" s="89">
        <v>116</v>
      </c>
      <c r="S82" s="92">
        <f t="shared" si="12"/>
        <v>1</v>
      </c>
      <c r="T82" s="59">
        <f t="shared" si="9"/>
        <v>0</v>
      </c>
      <c r="U82" s="60">
        <f t="shared" si="10"/>
        <v>1.0000000000000002</v>
      </c>
      <c r="V82" s="59" t="str">
        <f t="array" ref="V82">_xlfn.IFS(S82=0,"Alta sin facturar",S82&gt;2,"Cliente",S82&gt;0,"Cliente nuevo")</f>
        <v>Cliente nuevo</v>
      </c>
      <c r="W82" s="59" t="str">
        <f t="shared" si="13"/>
        <v>Sin pago</v>
      </c>
      <c r="X82" s="3"/>
      <c r="Y82" s="3"/>
      <c r="Z82" s="3"/>
      <c r="AA82" s="3"/>
      <c r="AB82" s="3"/>
      <c r="AC82" s="3"/>
      <c r="AD82" s="3"/>
      <c r="AE82" s="3"/>
      <c r="AG82" s="5" t="s">
        <v>23</v>
      </c>
      <c r="AH82" s="53">
        <v>23545.68</v>
      </c>
      <c r="AI82" s="53">
        <v>11870.28</v>
      </c>
      <c r="AJ82" s="53">
        <v>12653.279999999999</v>
      </c>
      <c r="AK82" s="53">
        <v>7027.28</v>
      </c>
      <c r="AL82" s="53">
        <v>57713.229999999996</v>
      </c>
      <c r="AM82" s="53">
        <v>61696.919999999984</v>
      </c>
      <c r="AN82" s="52">
        <f>SUM(AH82:AM82)</f>
        <v>174506.66999999998</v>
      </c>
      <c r="AQ82"/>
      <c r="AR82"/>
    </row>
    <row r="83" spans="1:45" x14ac:dyDescent="0.25">
      <c r="A83" s="6">
        <v>44580</v>
      </c>
      <c r="B83" t="str">
        <f t="shared" si="7"/>
        <v>Enero</v>
      </c>
      <c r="C83" s="1" t="s">
        <v>34</v>
      </c>
      <c r="D83" s="58" t="str">
        <f>VLOOKUP(Datos!$C83,$AQ$2:$AR$41,2,0)</f>
        <v>Norte</v>
      </c>
      <c r="E83" s="1">
        <v>23161</v>
      </c>
      <c r="F83" s="1" t="str">
        <f t="array" ref="F83">_xlfn.IFS(H83=0,"Alta sin facturar",H83&gt;2,"Cliente",H83&gt;0,"Cliente nuevo")</f>
        <v>Alta sin facturar</v>
      </c>
      <c r="G83" s="1"/>
      <c r="H83" s="1">
        <f t="shared" si="11"/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89">
        <v>0</v>
      </c>
      <c r="O83" s="89">
        <v>0</v>
      </c>
      <c r="P83" s="89">
        <v>0</v>
      </c>
      <c r="Q83" s="54">
        <f t="shared" si="8"/>
        <v>0</v>
      </c>
      <c r="R83" s="89"/>
      <c r="S83" s="92">
        <f t="shared" si="12"/>
        <v>0</v>
      </c>
      <c r="T83" s="59">
        <f t="shared" si="9"/>
        <v>0</v>
      </c>
      <c r="U83" s="60">
        <f t="shared" si="10"/>
        <v>0</v>
      </c>
      <c r="V83" s="59" t="str">
        <f t="array" ref="V83">_xlfn.IFS(S83=0,"Alta sin facturar",S83&gt;2,"Cliente",S83&gt;0,"Cliente nuevo")</f>
        <v>Alta sin facturar</v>
      </c>
      <c r="W83" s="59" t="str">
        <f t="shared" si="13"/>
        <v>Sin pago</v>
      </c>
      <c r="X83" s="3"/>
      <c r="Y83" s="3"/>
      <c r="Z83" s="3"/>
      <c r="AA83" s="3"/>
      <c r="AB83" s="3"/>
      <c r="AC83" s="3"/>
      <c r="AD83" s="3"/>
      <c r="AE83" s="3"/>
      <c r="AG83"/>
      <c r="AH83" s="52">
        <f t="shared" ref="AH83:AM83" si="14">SUM(AH81:AH82)</f>
        <v>25355.279999999999</v>
      </c>
      <c r="AI83" s="52">
        <f t="shared" si="14"/>
        <v>11870.28</v>
      </c>
      <c r="AJ83" s="52">
        <f t="shared" si="14"/>
        <v>14012.8</v>
      </c>
      <c r="AK83" s="52">
        <f t="shared" si="14"/>
        <v>7274.36</v>
      </c>
      <c r="AL83" s="52">
        <f t="shared" si="14"/>
        <v>57713.229999999996</v>
      </c>
      <c r="AM83" s="52">
        <f t="shared" si="14"/>
        <v>61696.919999999984</v>
      </c>
      <c r="AN83" s="52">
        <f>SUM(AN81:AN82)</f>
        <v>177922.87</v>
      </c>
      <c r="AQ83"/>
      <c r="AR83"/>
    </row>
    <row r="84" spans="1:45" x14ac:dyDescent="0.25">
      <c r="A84" s="6">
        <v>44580</v>
      </c>
      <c r="B84" t="str">
        <f t="shared" si="7"/>
        <v>Enero</v>
      </c>
      <c r="C84" s="1" t="s">
        <v>37</v>
      </c>
      <c r="D84" s="58" t="str">
        <f>VLOOKUP(Datos!$C84,$AQ$2:$AR$41,2,0)</f>
        <v>Norte</v>
      </c>
      <c r="E84" s="1">
        <v>23162</v>
      </c>
      <c r="F84" s="1" t="str">
        <f t="array" ref="F84">_xlfn.IFS(H84=0,"Alta sin facturar",H84&gt;2,"Cliente",H84&gt;0,"Cliente nuevo")</f>
        <v>Cliente</v>
      </c>
      <c r="G84" s="1"/>
      <c r="H84" s="1">
        <f t="shared" si="11"/>
        <v>8</v>
      </c>
      <c r="I84" s="2">
        <v>324.79999999999995</v>
      </c>
      <c r="J84" s="2">
        <v>1231.92</v>
      </c>
      <c r="K84" s="2">
        <v>2019.56</v>
      </c>
      <c r="L84" s="2">
        <v>2323.48</v>
      </c>
      <c r="M84" s="2">
        <v>2730.64</v>
      </c>
      <c r="N84" s="89">
        <v>3636.6000000000004</v>
      </c>
      <c r="O84" s="89">
        <v>4003.1600000000003</v>
      </c>
      <c r="P84" s="89">
        <v>7189.6800000000048</v>
      </c>
      <c r="Q84" s="54">
        <f t="shared" si="8"/>
        <v>23459.840000000004</v>
      </c>
      <c r="R84" s="89">
        <v>0</v>
      </c>
      <c r="S84" s="92">
        <f t="shared" si="12"/>
        <v>8</v>
      </c>
      <c r="T84" s="59">
        <f t="shared" si="9"/>
        <v>23459.840000000004</v>
      </c>
      <c r="U84" s="60">
        <f t="shared" si="10"/>
        <v>0</v>
      </c>
      <c r="V84" s="59" t="str">
        <f t="array" ref="V84">_xlfn.IFS(S84=0,"Alta sin facturar",S84&gt;2,"Cliente",S84&gt;0,"Cliente nuevo")</f>
        <v>Cliente</v>
      </c>
      <c r="W84" s="59" t="str">
        <f t="shared" si="13"/>
        <v>Ha pagado</v>
      </c>
      <c r="X84" s="3"/>
      <c r="Y84" s="3"/>
      <c r="Z84" s="3"/>
      <c r="AA84" s="3"/>
      <c r="AB84" s="3"/>
      <c r="AC84" s="3"/>
      <c r="AD84" s="3"/>
      <c r="AE84" s="3"/>
      <c r="AG84"/>
      <c r="AH84"/>
      <c r="AI84"/>
      <c r="AN84"/>
      <c r="AQ84"/>
      <c r="AR84"/>
    </row>
    <row r="85" spans="1:45" x14ac:dyDescent="0.25">
      <c r="A85" s="6">
        <v>44580</v>
      </c>
      <c r="B85" t="str">
        <f t="shared" si="7"/>
        <v>Enero</v>
      </c>
      <c r="C85" s="1" t="s">
        <v>34</v>
      </c>
      <c r="D85" s="58" t="str">
        <f>VLOOKUP(Datos!$C85,$AQ$2:$AR$41,2,0)</f>
        <v>Norte</v>
      </c>
      <c r="E85" s="1">
        <v>23163</v>
      </c>
      <c r="F85" s="1" t="str">
        <f t="array" ref="F85">_xlfn.IFS(H85=0,"Alta sin facturar",H85&gt;2,"Cliente",H85&gt;0,"Cliente nuevo")</f>
        <v>Alta sin facturar</v>
      </c>
      <c r="G85" s="1"/>
      <c r="H85" s="1">
        <f t="shared" si="11"/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89">
        <v>0</v>
      </c>
      <c r="O85" s="89">
        <v>0</v>
      </c>
      <c r="P85" s="89">
        <v>0</v>
      </c>
      <c r="Q85" s="54">
        <f t="shared" si="8"/>
        <v>0</v>
      </c>
      <c r="R85" s="89"/>
      <c r="S85" s="92">
        <f t="shared" si="12"/>
        <v>0</v>
      </c>
      <c r="T85" s="59">
        <f t="shared" si="9"/>
        <v>0</v>
      </c>
      <c r="U85" s="60">
        <f t="shared" si="10"/>
        <v>0</v>
      </c>
      <c r="V85" s="59" t="str">
        <f t="array" ref="V85">_xlfn.IFS(S85=0,"Alta sin facturar",S85&gt;2,"Cliente",S85&gt;0,"Cliente nuevo")</f>
        <v>Alta sin facturar</v>
      </c>
      <c r="W85" s="59" t="str">
        <f t="shared" si="13"/>
        <v>Sin pago</v>
      </c>
      <c r="X85" s="3"/>
      <c r="Y85" s="3"/>
      <c r="Z85" s="3"/>
      <c r="AA85" s="3"/>
      <c r="AB85" s="3"/>
      <c r="AC85" s="3"/>
      <c r="AD85" s="3"/>
      <c r="AE85" s="3"/>
      <c r="AG85"/>
      <c r="AH85"/>
      <c r="AI85"/>
      <c r="AN85"/>
      <c r="AQ85"/>
      <c r="AR85"/>
      <c r="AS85"/>
    </row>
    <row r="86" spans="1:45" x14ac:dyDescent="0.25">
      <c r="A86" s="6">
        <v>44580</v>
      </c>
      <c r="B86" t="str">
        <f t="shared" si="7"/>
        <v>Enero</v>
      </c>
      <c r="C86" s="1" t="s">
        <v>39</v>
      </c>
      <c r="D86" s="58" t="str">
        <f>VLOOKUP(Datos!$C86,$AQ$2:$AR$41,2,0)</f>
        <v>Sur</v>
      </c>
      <c r="E86" s="1">
        <v>23164</v>
      </c>
      <c r="F86" s="1" t="str">
        <f t="array" ref="F86">_xlfn.IFS(H86=0,"Alta sin facturar",H86&gt;2,"Cliente",H86&gt;0,"Cliente nuevo")</f>
        <v>Cliente nuevo</v>
      </c>
      <c r="G86" s="1"/>
      <c r="H86" s="1">
        <f t="shared" si="11"/>
        <v>2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89">
        <v>5635.28</v>
      </c>
      <c r="O86" s="89">
        <v>0</v>
      </c>
      <c r="P86" s="89">
        <v>2555.4799999999996</v>
      </c>
      <c r="Q86" s="54">
        <f t="shared" si="8"/>
        <v>8190.7599999999993</v>
      </c>
      <c r="R86" s="89">
        <v>5754.76</v>
      </c>
      <c r="S86" s="92">
        <f t="shared" si="12"/>
        <v>2</v>
      </c>
      <c r="T86" s="59">
        <f t="shared" si="9"/>
        <v>2435.9999999999991</v>
      </c>
      <c r="U86" s="60">
        <f t="shared" si="10"/>
        <v>0.702591700892225</v>
      </c>
      <c r="V86" s="59" t="str">
        <f t="array" ref="V86">_xlfn.IFS(S86=0,"Alta sin facturar",S86&gt;2,"Cliente",S86&gt;0,"Cliente nuevo")</f>
        <v>Cliente nuevo</v>
      </c>
      <c r="W86" s="59" t="str">
        <f t="shared" si="13"/>
        <v>Ha pagado</v>
      </c>
      <c r="X86" s="3"/>
      <c r="Y86" s="3"/>
      <c r="Z86" s="3"/>
      <c r="AA86" s="3"/>
      <c r="AB86" s="3"/>
      <c r="AC86" s="3"/>
      <c r="AD86" s="3"/>
      <c r="AE86" s="3"/>
      <c r="AG86"/>
      <c r="AH86"/>
      <c r="AI86"/>
      <c r="AN86"/>
      <c r="AQ86"/>
      <c r="AR86"/>
      <c r="AS86"/>
    </row>
    <row r="87" spans="1:45" x14ac:dyDescent="0.25">
      <c r="A87" s="6">
        <v>44581</v>
      </c>
      <c r="B87" t="str">
        <f t="shared" si="7"/>
        <v>Enero</v>
      </c>
      <c r="C87" s="1" t="s">
        <v>89</v>
      </c>
      <c r="D87" s="58" t="str">
        <f>VLOOKUP(Datos!$C87,$AQ$2:$AR$41,2,0)</f>
        <v>Centro</v>
      </c>
      <c r="E87" s="1">
        <v>23165</v>
      </c>
      <c r="F87" s="1" t="str">
        <f t="array" ref="F87">_xlfn.IFS(H87=0,"Alta sin facturar",H87&gt;2,"Cliente",H87&gt;0,"Cliente nuevo")</f>
        <v>Cliente</v>
      </c>
      <c r="G87" s="1"/>
      <c r="H87" s="1">
        <f t="shared" si="11"/>
        <v>5</v>
      </c>
      <c r="I87" s="2">
        <v>3.4799999999999995</v>
      </c>
      <c r="J87" s="2">
        <v>9.2799999999999994</v>
      </c>
      <c r="K87" s="2">
        <v>0</v>
      </c>
      <c r="L87" s="2">
        <v>6959.9999999999991</v>
      </c>
      <c r="M87" s="2">
        <v>0</v>
      </c>
      <c r="N87" s="89">
        <v>37700</v>
      </c>
      <c r="O87" s="89">
        <v>0</v>
      </c>
      <c r="P87" s="89">
        <v>868.83999999999992</v>
      </c>
      <c r="Q87" s="54">
        <f t="shared" si="8"/>
        <v>45541.599999999999</v>
      </c>
      <c r="R87" s="89">
        <v>28304</v>
      </c>
      <c r="S87" s="92">
        <f t="shared" si="12"/>
        <v>5</v>
      </c>
      <c r="T87" s="59">
        <f t="shared" si="9"/>
        <v>17237.599999999999</v>
      </c>
      <c r="U87" s="60">
        <f t="shared" si="10"/>
        <v>0.62149770759042289</v>
      </c>
      <c r="V87" s="59" t="str">
        <f t="array" ref="V87">_xlfn.IFS(S87=0,"Alta sin facturar",S87&gt;2,"Cliente",S87&gt;0,"Cliente nuevo")</f>
        <v>Cliente</v>
      </c>
      <c r="W87" s="59" t="str">
        <f t="shared" si="13"/>
        <v>Ha pagado</v>
      </c>
      <c r="X87" s="3"/>
      <c r="Y87" s="3"/>
      <c r="Z87" s="3"/>
      <c r="AA87" s="3"/>
      <c r="AB87" s="3"/>
      <c r="AC87" s="3"/>
      <c r="AD87" s="3"/>
      <c r="AE87" s="3"/>
      <c r="AG87"/>
      <c r="AH87"/>
      <c r="AI87"/>
      <c r="AJ87"/>
      <c r="AK87"/>
      <c r="AL87"/>
      <c r="AM87"/>
      <c r="AN87"/>
      <c r="AP87"/>
      <c r="AQ87"/>
      <c r="AR87"/>
      <c r="AS87"/>
    </row>
    <row r="88" spans="1:45" x14ac:dyDescent="0.25">
      <c r="A88" s="6">
        <v>44581</v>
      </c>
      <c r="B88" t="str">
        <f t="shared" si="7"/>
        <v>Enero</v>
      </c>
      <c r="C88" s="1" t="s">
        <v>63</v>
      </c>
      <c r="D88" s="58" t="str">
        <f>VLOOKUP(Datos!$C88,$AQ$2:$AR$41,2,0)</f>
        <v>Centro</v>
      </c>
      <c r="E88" s="1">
        <v>23166</v>
      </c>
      <c r="F88" s="1" t="str">
        <f t="array" ref="F88">_xlfn.IFS(H88=0,"Alta sin facturar",H88&gt;2,"Cliente",H88&gt;0,"Cliente nuevo")</f>
        <v>Cliente</v>
      </c>
      <c r="G88" s="1"/>
      <c r="H88" s="1">
        <f t="shared" si="11"/>
        <v>4</v>
      </c>
      <c r="I88" s="2">
        <v>0</v>
      </c>
      <c r="J88" s="2">
        <v>127.6</v>
      </c>
      <c r="K88" s="2">
        <v>0</v>
      </c>
      <c r="L88" s="2">
        <v>0</v>
      </c>
      <c r="M88" s="2">
        <v>0</v>
      </c>
      <c r="N88" s="89">
        <v>14290.04</v>
      </c>
      <c r="O88" s="89">
        <v>881.60000000000014</v>
      </c>
      <c r="P88" s="89">
        <v>6845.1599999999989</v>
      </c>
      <c r="Q88" s="54">
        <f t="shared" si="8"/>
        <v>22144.400000000001</v>
      </c>
      <c r="R88" s="89">
        <v>0</v>
      </c>
      <c r="S88" s="92">
        <f t="shared" si="12"/>
        <v>4</v>
      </c>
      <c r="T88" s="59">
        <f t="shared" si="9"/>
        <v>22144.400000000001</v>
      </c>
      <c r="U88" s="60">
        <f t="shared" si="10"/>
        <v>0</v>
      </c>
      <c r="V88" s="59" t="str">
        <f t="array" ref="V88">_xlfn.IFS(S88=0,"Alta sin facturar",S88&gt;2,"Cliente",S88&gt;0,"Cliente nuevo")</f>
        <v>Cliente</v>
      </c>
      <c r="W88" s="59" t="str">
        <f t="shared" si="13"/>
        <v>Ha pagado</v>
      </c>
      <c r="X88" s="3"/>
      <c r="Y88" s="3"/>
      <c r="Z88" s="3"/>
      <c r="AA88" s="3"/>
      <c r="AB88" s="3"/>
      <c r="AC88" s="3"/>
      <c r="AD88" s="3"/>
      <c r="AE88" s="3"/>
      <c r="AG88"/>
      <c r="AH88"/>
      <c r="AI88"/>
      <c r="AJ88"/>
      <c r="AK88"/>
      <c r="AL88"/>
      <c r="AM88"/>
      <c r="AN88"/>
      <c r="AP88"/>
      <c r="AQ88"/>
      <c r="AR88"/>
      <c r="AS88"/>
    </row>
    <row r="89" spans="1:45" x14ac:dyDescent="0.25">
      <c r="A89" s="6">
        <v>44581</v>
      </c>
      <c r="B89" t="str">
        <f t="shared" si="7"/>
        <v>Enero</v>
      </c>
      <c r="C89" s="1" t="s">
        <v>34</v>
      </c>
      <c r="D89" s="58" t="str">
        <f>VLOOKUP(Datos!$C89,$AQ$2:$AR$41,2,0)</f>
        <v>Norte</v>
      </c>
      <c r="E89" s="1">
        <v>23167</v>
      </c>
      <c r="F89" s="1" t="str">
        <f t="array" ref="F89">_xlfn.IFS(H89=0,"Alta sin facturar",H89&gt;2,"Cliente",H89&gt;0,"Cliente nuevo")</f>
        <v>Alta sin facturar</v>
      </c>
      <c r="G89" s="1"/>
      <c r="H89" s="1">
        <f t="shared" si="11"/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89">
        <v>0</v>
      </c>
      <c r="O89" s="89">
        <v>0</v>
      </c>
      <c r="P89" s="89">
        <v>0</v>
      </c>
      <c r="Q89" s="54">
        <f t="shared" si="8"/>
        <v>0</v>
      </c>
      <c r="R89" s="89"/>
      <c r="S89" s="92">
        <f t="shared" si="12"/>
        <v>0</v>
      </c>
      <c r="T89" s="59">
        <f t="shared" si="9"/>
        <v>0</v>
      </c>
      <c r="U89" s="60">
        <f t="shared" si="10"/>
        <v>0</v>
      </c>
      <c r="V89" s="59" t="str">
        <f t="array" ref="V89">_xlfn.IFS(S89=0,"Alta sin facturar",S89&gt;2,"Cliente",S89&gt;0,"Cliente nuevo")</f>
        <v>Alta sin facturar</v>
      </c>
      <c r="W89" s="59" t="str">
        <f t="shared" si="13"/>
        <v>Sin pago</v>
      </c>
      <c r="X89" s="3"/>
      <c r="Y89" s="3"/>
      <c r="Z89" s="3"/>
      <c r="AA89" s="3"/>
      <c r="AB89" s="3"/>
      <c r="AC89" s="3"/>
      <c r="AD89" s="3"/>
      <c r="AE89" s="3"/>
      <c r="AG89" s="7"/>
      <c r="AH89" s="7" t="s">
        <v>54</v>
      </c>
      <c r="AI89"/>
      <c r="AJ89"/>
      <c r="AK89"/>
      <c r="AL89"/>
      <c r="AM89"/>
      <c r="AN89"/>
      <c r="AO89"/>
      <c r="AP89"/>
    </row>
    <row r="90" spans="1:45" x14ac:dyDescent="0.25">
      <c r="A90" s="6">
        <v>44582</v>
      </c>
      <c r="B90" t="str">
        <f t="shared" si="7"/>
        <v>Enero</v>
      </c>
      <c r="C90" s="1" t="s">
        <v>89</v>
      </c>
      <c r="D90" s="58" t="str">
        <f>VLOOKUP(Datos!$C90,$AQ$2:$AR$41,2,0)</f>
        <v>Centro</v>
      </c>
      <c r="E90" s="1">
        <v>23168</v>
      </c>
      <c r="F90" s="1" t="str">
        <f t="array" ref="F90">_xlfn.IFS(H90=0,"Alta sin facturar",H90&gt;2,"Cliente",H90&gt;0,"Cliente nuevo")</f>
        <v>Cliente</v>
      </c>
      <c r="G90" s="1"/>
      <c r="H90" s="1">
        <f t="shared" si="11"/>
        <v>6</v>
      </c>
      <c r="I90" s="2">
        <v>1193.6399999999999</v>
      </c>
      <c r="J90" s="2">
        <v>671.63999999999987</v>
      </c>
      <c r="K90" s="2">
        <v>3731.7200000000003</v>
      </c>
      <c r="L90" s="2">
        <v>925.67999999999984</v>
      </c>
      <c r="M90" s="2">
        <v>814.31999999999994</v>
      </c>
      <c r="N90" s="89">
        <v>15864.16</v>
      </c>
      <c r="O90" s="89">
        <v>0</v>
      </c>
      <c r="P90" s="89">
        <v>0</v>
      </c>
      <c r="Q90" s="54">
        <f t="shared" si="8"/>
        <v>23201.16</v>
      </c>
      <c r="R90" s="89">
        <v>16681.439999999999</v>
      </c>
      <c r="S90" s="92">
        <f t="shared" si="12"/>
        <v>6</v>
      </c>
      <c r="T90" s="59">
        <f t="shared" si="9"/>
        <v>6519.7200000000012</v>
      </c>
      <c r="U90" s="60">
        <f t="shared" si="10"/>
        <v>0.71899163662506527</v>
      </c>
      <c r="V90" s="59" t="str">
        <f t="array" ref="V90">_xlfn.IFS(S90=0,"Alta sin facturar",S90&gt;2,"Cliente",S90&gt;0,"Cliente nuevo")</f>
        <v>Cliente</v>
      </c>
      <c r="W90" s="59" t="str">
        <f t="shared" si="13"/>
        <v>Ha pagado</v>
      </c>
      <c r="X90" s="3"/>
      <c r="Y90" s="3"/>
      <c r="Z90" s="3"/>
      <c r="AA90" s="3"/>
      <c r="AB90" s="3"/>
      <c r="AC90" s="3"/>
      <c r="AD90" s="3"/>
      <c r="AE90" s="3"/>
      <c r="AG90"/>
      <c r="AH90" t="s">
        <v>1</v>
      </c>
      <c r="AI90" t="s">
        <v>2</v>
      </c>
      <c r="AJ90" t="s">
        <v>3</v>
      </c>
      <c r="AK90" t="s">
        <v>4</v>
      </c>
      <c r="AL90" t="s">
        <v>5</v>
      </c>
      <c r="AM90" t="s">
        <v>6</v>
      </c>
      <c r="AN90" t="s">
        <v>87</v>
      </c>
      <c r="AO90" t="s">
        <v>20</v>
      </c>
      <c r="AP90"/>
    </row>
    <row r="91" spans="1:45" x14ac:dyDescent="0.25">
      <c r="A91" s="6">
        <v>44582</v>
      </c>
      <c r="B91" t="str">
        <f t="shared" si="7"/>
        <v>Enero</v>
      </c>
      <c r="C91" s="1" t="s">
        <v>35</v>
      </c>
      <c r="D91" s="58" t="str">
        <f>VLOOKUP(Datos!$C91,$AQ$2:$AR$41,2,0)</f>
        <v>Centro</v>
      </c>
      <c r="E91" s="1">
        <v>23169</v>
      </c>
      <c r="F91" s="1" t="str">
        <f t="array" ref="F91">_xlfn.IFS(H91=0,"Alta sin facturar",H91&gt;2,"Cliente",H91&gt;0,"Cliente nuevo")</f>
        <v>Cliente</v>
      </c>
      <c r="G91" s="1"/>
      <c r="H91" s="1">
        <f t="shared" si="11"/>
        <v>8</v>
      </c>
      <c r="I91" s="2">
        <v>468.64</v>
      </c>
      <c r="J91" s="2">
        <v>8683.76</v>
      </c>
      <c r="K91" s="2">
        <v>5373.1200000000017</v>
      </c>
      <c r="L91" s="2">
        <v>17345.480000000003</v>
      </c>
      <c r="M91" s="2">
        <v>22040.000000000007</v>
      </c>
      <c r="N91" s="89">
        <v>4290.84</v>
      </c>
      <c r="O91" s="89">
        <v>512.71999999999991</v>
      </c>
      <c r="P91" s="89">
        <v>2488.2000000000007</v>
      </c>
      <c r="Q91" s="54">
        <f t="shared" si="8"/>
        <v>61202.760000000009</v>
      </c>
      <c r="R91" s="89">
        <v>512.72</v>
      </c>
      <c r="S91" s="92">
        <f t="shared" si="12"/>
        <v>8</v>
      </c>
      <c r="T91" s="59">
        <f t="shared" si="9"/>
        <v>60690.040000000008</v>
      </c>
      <c r="U91" s="60">
        <f t="shared" si="10"/>
        <v>8.3773999734652483E-3</v>
      </c>
      <c r="V91" s="59" t="str">
        <f t="array" ref="V91">_xlfn.IFS(S91=0,"Alta sin facturar",S91&gt;2,"Cliente",S91&gt;0,"Cliente nuevo")</f>
        <v>Cliente</v>
      </c>
      <c r="W91" s="59" t="str">
        <f t="shared" si="13"/>
        <v>Ha pagado</v>
      </c>
      <c r="X91" s="3"/>
      <c r="Y91" s="3"/>
      <c r="Z91" s="3"/>
      <c r="AA91" s="3"/>
      <c r="AB91" s="3"/>
      <c r="AC91" s="3"/>
      <c r="AD91" s="3"/>
      <c r="AE91" s="3"/>
      <c r="AG91" t="s">
        <v>25</v>
      </c>
      <c r="AH91" s="9">
        <v>4455730.520000007</v>
      </c>
      <c r="AI91" s="9">
        <v>1062906.8399999996</v>
      </c>
      <c r="AJ91" s="9">
        <v>1063635.32</v>
      </c>
      <c r="AK91" s="9">
        <v>1044391.3492000001</v>
      </c>
      <c r="AL91" s="9">
        <v>809896.91999999981</v>
      </c>
      <c r="AM91" s="9">
        <v>654291.03999999992</v>
      </c>
      <c r="AN91" s="9">
        <v>251399.84000000005</v>
      </c>
      <c r="AO91" s="9">
        <v>9342251.8292000052</v>
      </c>
    </row>
    <row r="92" spans="1:45" x14ac:dyDescent="0.25">
      <c r="A92" s="6">
        <v>44582</v>
      </c>
      <c r="B92" t="str">
        <f t="shared" si="7"/>
        <v>Enero</v>
      </c>
      <c r="C92" s="1" t="s">
        <v>41</v>
      </c>
      <c r="D92" s="58" t="str">
        <f>VLOOKUP(Datos!$C92,$AQ$2:$AR$41,2,0)</f>
        <v>Centro</v>
      </c>
      <c r="E92" s="1">
        <v>23170</v>
      </c>
      <c r="F92" s="1" t="str">
        <f t="array" ref="F92">_xlfn.IFS(H92=0,"Alta sin facturar",H92&gt;2,"Cliente",H92&gt;0,"Cliente nuevo")</f>
        <v>Cliente</v>
      </c>
      <c r="G92" s="1"/>
      <c r="H92" s="1">
        <f t="shared" si="11"/>
        <v>3</v>
      </c>
      <c r="I92" s="2">
        <v>0</v>
      </c>
      <c r="J92" s="2">
        <v>0</v>
      </c>
      <c r="K92" s="2">
        <v>0</v>
      </c>
      <c r="L92" s="2">
        <v>1023.12</v>
      </c>
      <c r="M92" s="2">
        <v>348</v>
      </c>
      <c r="N92" s="89">
        <v>1856</v>
      </c>
      <c r="O92" s="89">
        <v>0</v>
      </c>
      <c r="P92" s="89">
        <v>0</v>
      </c>
      <c r="Q92" s="54">
        <f t="shared" si="8"/>
        <v>3227.12</v>
      </c>
      <c r="R92" s="89">
        <v>1376</v>
      </c>
      <c r="S92" s="92">
        <f t="shared" si="12"/>
        <v>3</v>
      </c>
      <c r="T92" s="59">
        <f t="shared" si="9"/>
        <v>1851.12</v>
      </c>
      <c r="U92" s="60">
        <f t="shared" si="10"/>
        <v>0.42638637546790947</v>
      </c>
      <c r="V92" s="59" t="str">
        <f t="array" ref="V92">_xlfn.IFS(S92=0,"Alta sin facturar",S92&gt;2,"Cliente",S92&gt;0,"Cliente nuevo")</f>
        <v>Cliente</v>
      </c>
      <c r="W92" s="59" t="str">
        <f t="shared" si="13"/>
        <v>Ha pagado</v>
      </c>
      <c r="X92" s="3"/>
      <c r="Y92" s="3"/>
      <c r="Z92" s="3"/>
      <c r="AA92" s="3"/>
      <c r="AB92" s="3"/>
      <c r="AC92" s="3"/>
      <c r="AD92" s="3"/>
      <c r="AE92" s="3"/>
      <c r="AG92"/>
      <c r="AH92"/>
      <c r="AI92"/>
      <c r="AJ92"/>
      <c r="AK92"/>
      <c r="AL92"/>
      <c r="AM92"/>
      <c r="AN92"/>
      <c r="AO92"/>
    </row>
    <row r="93" spans="1:45" x14ac:dyDescent="0.25">
      <c r="A93" s="6">
        <v>44582</v>
      </c>
      <c r="B93" t="str">
        <f t="shared" si="7"/>
        <v>Enero</v>
      </c>
      <c r="C93" s="1" t="s">
        <v>100</v>
      </c>
      <c r="D93" s="58" t="e">
        <f>VLOOKUP(Datos!$C93,$AQ$2:$AR$41,2,0)</f>
        <v>#N/A</v>
      </c>
      <c r="E93" s="1">
        <v>23171</v>
      </c>
      <c r="F93" s="1" t="str">
        <f t="array" ref="F93">_xlfn.IFS(H93=0,"Alta sin facturar",H93&gt;2,"Cliente",H93&gt;0,"Cliente nuevo")</f>
        <v>Alta sin facturar</v>
      </c>
      <c r="G93" s="1"/>
      <c r="H93" s="1">
        <f t="shared" si="11"/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89">
        <v>0</v>
      </c>
      <c r="O93" s="89">
        <v>0</v>
      </c>
      <c r="P93" s="89">
        <v>0</v>
      </c>
      <c r="Q93" s="54">
        <f t="shared" si="8"/>
        <v>0</v>
      </c>
      <c r="R93" s="89"/>
      <c r="S93" s="92">
        <f t="shared" si="12"/>
        <v>0</v>
      </c>
      <c r="T93" s="59">
        <f t="shared" si="9"/>
        <v>0</v>
      </c>
      <c r="U93" s="60">
        <f t="shared" si="10"/>
        <v>0</v>
      </c>
      <c r="V93" s="59" t="str">
        <f t="array" ref="V93">_xlfn.IFS(S93=0,"Alta sin facturar",S93&gt;2,"Cliente",S93&gt;0,"Cliente nuevo")</f>
        <v>Alta sin facturar</v>
      </c>
      <c r="W93" s="59" t="str">
        <f t="shared" si="13"/>
        <v>Sin pago</v>
      </c>
      <c r="X93" s="3"/>
      <c r="Y93" s="3"/>
      <c r="Z93" s="3"/>
      <c r="AA93" s="3"/>
      <c r="AB93" s="3"/>
      <c r="AC93" s="3"/>
      <c r="AD93" s="3"/>
      <c r="AE93" s="3"/>
      <c r="AG93"/>
      <c r="AH93"/>
      <c r="AI93"/>
      <c r="AJ93"/>
      <c r="AK93"/>
      <c r="AL93"/>
      <c r="AM93"/>
      <c r="AN93"/>
    </row>
    <row r="94" spans="1:45" x14ac:dyDescent="0.25">
      <c r="A94" s="6">
        <v>44582</v>
      </c>
      <c r="B94" t="str">
        <f t="shared" si="7"/>
        <v>Enero</v>
      </c>
      <c r="C94" s="1" t="s">
        <v>34</v>
      </c>
      <c r="D94" s="58" t="str">
        <f>VLOOKUP(Datos!$C94,$AQ$2:$AR$41,2,0)</f>
        <v>Norte</v>
      </c>
      <c r="E94" s="1">
        <v>23172</v>
      </c>
      <c r="F94" s="1" t="str">
        <f t="array" ref="F94">_xlfn.IFS(H94=0,"Alta sin facturar",H94&gt;2,"Cliente",H94&gt;0,"Cliente nuevo")</f>
        <v>Cliente</v>
      </c>
      <c r="G94" s="1"/>
      <c r="H94" s="1">
        <f t="shared" si="11"/>
        <v>7</v>
      </c>
      <c r="I94" s="2">
        <v>0</v>
      </c>
      <c r="J94" s="2">
        <v>3252.6399999999994</v>
      </c>
      <c r="K94" s="2">
        <v>9841.4399999999987</v>
      </c>
      <c r="L94" s="2">
        <v>5623.68</v>
      </c>
      <c r="M94" s="2">
        <v>2709.7599999999998</v>
      </c>
      <c r="N94" s="89">
        <v>5238.5599999999995</v>
      </c>
      <c r="O94" s="89">
        <v>8530.6400000000012</v>
      </c>
      <c r="P94" s="89">
        <v>9289.2800000000007</v>
      </c>
      <c r="Q94" s="54">
        <f t="shared" si="8"/>
        <v>44485.999999999993</v>
      </c>
      <c r="R94" s="89">
        <v>676.28</v>
      </c>
      <c r="S94" s="92">
        <f t="shared" si="12"/>
        <v>7</v>
      </c>
      <c r="T94" s="59">
        <f t="shared" si="9"/>
        <v>43809.719999999994</v>
      </c>
      <c r="U94" s="60">
        <f t="shared" si="10"/>
        <v>1.5202086049543678E-2</v>
      </c>
      <c r="V94" s="59" t="str">
        <f t="array" ref="V94">_xlfn.IFS(S94=0,"Alta sin facturar",S94&gt;2,"Cliente",S94&gt;0,"Cliente nuevo")</f>
        <v>Cliente</v>
      </c>
      <c r="W94" s="59" t="str">
        <f t="shared" si="13"/>
        <v>Ha pagado</v>
      </c>
      <c r="X94" s="3"/>
      <c r="Y94" s="3"/>
      <c r="Z94" s="3"/>
      <c r="AA94" s="3"/>
      <c r="AB94" s="3"/>
      <c r="AC94" s="3"/>
      <c r="AD94" s="3"/>
      <c r="AE94" s="3"/>
      <c r="AG94"/>
      <c r="AH94"/>
      <c r="AI94"/>
      <c r="AJ94"/>
      <c r="AK94"/>
      <c r="AL94"/>
      <c r="AM94"/>
      <c r="AN94"/>
      <c r="AQ94"/>
      <c r="AR94"/>
    </row>
    <row r="95" spans="1:45" x14ac:dyDescent="0.25">
      <c r="A95" s="6">
        <v>44582</v>
      </c>
      <c r="B95" t="str">
        <f t="shared" si="7"/>
        <v>Enero</v>
      </c>
      <c r="C95" s="1" t="s">
        <v>34</v>
      </c>
      <c r="D95" s="58" t="str">
        <f>VLOOKUP(Datos!$C95,$AQ$2:$AR$41,2,0)</f>
        <v>Norte</v>
      </c>
      <c r="E95" s="1">
        <v>23173</v>
      </c>
      <c r="F95" s="1" t="str">
        <f t="array" ref="F95">_xlfn.IFS(H95=0,"Alta sin facturar",H95&gt;2,"Cliente",H95&gt;0,"Cliente nuevo")</f>
        <v>Alta sin facturar</v>
      </c>
      <c r="G95" s="1"/>
      <c r="H95" s="1">
        <f t="shared" si="11"/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89">
        <v>0</v>
      </c>
      <c r="O95" s="89">
        <v>0</v>
      </c>
      <c r="P95" s="89">
        <v>0</v>
      </c>
      <c r="Q95" s="54">
        <f t="shared" si="8"/>
        <v>0</v>
      </c>
      <c r="R95" s="89"/>
      <c r="S95" s="92">
        <f t="shared" si="12"/>
        <v>0</v>
      </c>
      <c r="T95" s="59">
        <f t="shared" si="9"/>
        <v>0</v>
      </c>
      <c r="U95" s="60">
        <f t="shared" si="10"/>
        <v>0</v>
      </c>
      <c r="V95" s="59" t="str">
        <f t="array" ref="V95">_xlfn.IFS(S95=0,"Alta sin facturar",S95&gt;2,"Cliente",S95&gt;0,"Cliente nuevo")</f>
        <v>Alta sin facturar</v>
      </c>
      <c r="W95" s="59" t="str">
        <f t="shared" si="13"/>
        <v>Sin pago</v>
      </c>
      <c r="X95" s="3"/>
      <c r="Y95" s="3"/>
      <c r="Z95" s="3"/>
      <c r="AA95" s="3"/>
      <c r="AB95" s="3"/>
      <c r="AC95" s="3"/>
      <c r="AD95" s="3"/>
      <c r="AE95" s="3"/>
      <c r="AG95"/>
      <c r="AH95"/>
      <c r="AI95"/>
      <c r="AJ95"/>
      <c r="AK95"/>
      <c r="AL95"/>
      <c r="AM95"/>
      <c r="AN95"/>
      <c r="AQ95"/>
      <c r="AR95"/>
    </row>
    <row r="96" spans="1:45" x14ac:dyDescent="0.25">
      <c r="A96" s="6">
        <v>44582</v>
      </c>
      <c r="B96" t="str">
        <f t="shared" si="7"/>
        <v>Enero</v>
      </c>
      <c r="C96" s="1" t="s">
        <v>89</v>
      </c>
      <c r="D96" s="58" t="str">
        <f>VLOOKUP(Datos!$C96,$AQ$2:$AR$41,2,0)</f>
        <v>Centro</v>
      </c>
      <c r="E96" s="1">
        <v>23174</v>
      </c>
      <c r="F96" s="1" t="str">
        <f t="array" ref="F96">_xlfn.IFS(H96=0,"Alta sin facturar",H96&gt;2,"Cliente",H96&gt;0,"Cliente nuevo")</f>
        <v>Cliente</v>
      </c>
      <c r="G96" s="1"/>
      <c r="H96" s="1">
        <f t="shared" si="11"/>
        <v>5</v>
      </c>
      <c r="I96" s="2">
        <v>1923.2799999999997</v>
      </c>
      <c r="J96" s="2">
        <v>3056.5999999999995</v>
      </c>
      <c r="K96" s="2">
        <v>0</v>
      </c>
      <c r="L96" s="2">
        <v>530.12</v>
      </c>
      <c r="M96" s="2">
        <v>1786.3999999999999</v>
      </c>
      <c r="N96" s="89">
        <v>962.8</v>
      </c>
      <c r="O96" s="89">
        <v>0</v>
      </c>
      <c r="P96" s="89">
        <v>0</v>
      </c>
      <c r="Q96" s="54">
        <f t="shared" si="8"/>
        <v>8259.1999999999989</v>
      </c>
      <c r="R96" s="89">
        <v>962.8</v>
      </c>
      <c r="S96" s="92">
        <f t="shared" si="12"/>
        <v>5</v>
      </c>
      <c r="T96" s="59">
        <f t="shared" si="9"/>
        <v>7296.3999999999987</v>
      </c>
      <c r="U96" s="60">
        <f t="shared" si="10"/>
        <v>0.11657303370786518</v>
      </c>
      <c r="V96" s="59" t="str">
        <f t="array" ref="V96">_xlfn.IFS(S96=0,"Alta sin facturar",S96&gt;2,"Cliente",S96&gt;0,"Cliente nuevo")</f>
        <v>Cliente</v>
      </c>
      <c r="W96" s="59" t="str">
        <f t="shared" si="13"/>
        <v>Ha pagado</v>
      </c>
      <c r="X96" s="3"/>
      <c r="Y96" s="3"/>
      <c r="Z96" s="3"/>
      <c r="AA96" s="3"/>
      <c r="AB96" s="3"/>
      <c r="AC96" s="3"/>
      <c r="AD96" s="3"/>
      <c r="AE96" s="3"/>
      <c r="AG96"/>
      <c r="AH96"/>
      <c r="AI96"/>
      <c r="AJ96"/>
      <c r="AK96"/>
      <c r="AL96"/>
      <c r="AM96"/>
      <c r="AN96"/>
      <c r="AQ96"/>
      <c r="AR96"/>
    </row>
    <row r="97" spans="1:44" x14ac:dyDescent="0.25">
      <c r="A97" s="6">
        <v>44582</v>
      </c>
      <c r="B97" t="str">
        <f t="shared" si="7"/>
        <v>Enero</v>
      </c>
      <c r="C97" s="1" t="s">
        <v>36</v>
      </c>
      <c r="D97" s="58" t="str">
        <f>VLOOKUP(Datos!$C97,$AQ$2:$AR$41,2,0)</f>
        <v>Magallanes</v>
      </c>
      <c r="E97" s="1">
        <v>23175</v>
      </c>
      <c r="F97" s="1" t="str">
        <f t="array" ref="F97">_xlfn.IFS(H97=0,"Alta sin facturar",H97&gt;2,"Cliente",H97&gt;0,"Cliente nuevo")</f>
        <v>Cliente nuevo</v>
      </c>
      <c r="G97" s="1"/>
      <c r="H97" s="1">
        <f t="shared" si="11"/>
        <v>2</v>
      </c>
      <c r="I97" s="2">
        <v>0</v>
      </c>
      <c r="J97" s="2">
        <v>1.1599999999999999</v>
      </c>
      <c r="K97" s="2">
        <v>0</v>
      </c>
      <c r="L97" s="2">
        <v>0</v>
      </c>
      <c r="M97" s="2">
        <v>0</v>
      </c>
      <c r="N97" s="89">
        <v>2494</v>
      </c>
      <c r="O97" s="89">
        <v>0</v>
      </c>
      <c r="P97" s="89">
        <v>0</v>
      </c>
      <c r="Q97" s="54">
        <f t="shared" si="8"/>
        <v>2495.16</v>
      </c>
      <c r="R97" s="89">
        <v>1682</v>
      </c>
      <c r="S97" s="92">
        <f t="shared" si="12"/>
        <v>2</v>
      </c>
      <c r="T97" s="59">
        <f t="shared" si="9"/>
        <v>813.15999999999985</v>
      </c>
      <c r="U97" s="60">
        <f t="shared" si="10"/>
        <v>0.6741050674105068</v>
      </c>
      <c r="V97" s="59" t="str">
        <f t="array" ref="V97">_xlfn.IFS(S97=0,"Alta sin facturar",S97&gt;2,"Cliente",S97&gt;0,"Cliente nuevo")</f>
        <v>Cliente nuevo</v>
      </c>
      <c r="W97" s="59" t="str">
        <f t="shared" si="13"/>
        <v>Ha pagado</v>
      </c>
      <c r="X97" s="3"/>
      <c r="Y97" s="3"/>
      <c r="Z97" s="3"/>
      <c r="AA97" s="3"/>
      <c r="AB97" s="3"/>
      <c r="AC97" s="3"/>
      <c r="AD97" s="3"/>
      <c r="AE97" s="3"/>
      <c r="AG97"/>
      <c r="AH97"/>
      <c r="AI97"/>
      <c r="AJ97"/>
      <c r="AK97"/>
      <c r="AL97"/>
      <c r="AM97"/>
      <c r="AN97"/>
      <c r="AQ97"/>
      <c r="AR97"/>
    </row>
    <row r="98" spans="1:44" x14ac:dyDescent="0.25">
      <c r="A98" s="6">
        <v>44583</v>
      </c>
      <c r="B98" t="str">
        <f t="shared" si="7"/>
        <v>Enero</v>
      </c>
      <c r="C98" s="1" t="s">
        <v>39</v>
      </c>
      <c r="D98" s="58" t="str">
        <f>VLOOKUP(Datos!$C98,$AQ$2:$AR$41,2,0)</f>
        <v>Sur</v>
      </c>
      <c r="E98" s="1">
        <v>23176</v>
      </c>
      <c r="F98" s="1" t="str">
        <f t="array" ref="F98">_xlfn.IFS(H98=0,"Alta sin facturar",H98&gt;2,"Cliente",H98&gt;0,"Cliente nuevo")</f>
        <v>Cliente</v>
      </c>
      <c r="G98" s="1"/>
      <c r="H98" s="1">
        <f t="shared" si="11"/>
        <v>4</v>
      </c>
      <c r="I98" s="2">
        <v>0</v>
      </c>
      <c r="J98" s="2">
        <v>0</v>
      </c>
      <c r="K98" s="2">
        <v>0</v>
      </c>
      <c r="L98" s="2">
        <v>5175.92</v>
      </c>
      <c r="M98" s="2">
        <v>2622.7599999999998</v>
      </c>
      <c r="N98" s="89">
        <v>2215.6</v>
      </c>
      <c r="O98" s="89">
        <v>2680.7599999999998</v>
      </c>
      <c r="P98" s="89">
        <v>0</v>
      </c>
      <c r="Q98" s="54">
        <f t="shared" si="8"/>
        <v>12695.04</v>
      </c>
      <c r="R98" s="89">
        <v>0</v>
      </c>
      <c r="S98" s="92">
        <f t="shared" si="12"/>
        <v>4</v>
      </c>
      <c r="T98" s="59">
        <f t="shared" si="9"/>
        <v>12695.04</v>
      </c>
      <c r="U98" s="60">
        <f t="shared" si="10"/>
        <v>0</v>
      </c>
      <c r="V98" s="59" t="str">
        <f t="array" ref="V98">_xlfn.IFS(S98=0,"Alta sin facturar",S98&gt;2,"Cliente",S98&gt;0,"Cliente nuevo")</f>
        <v>Cliente</v>
      </c>
      <c r="W98" s="59" t="str">
        <f t="shared" si="13"/>
        <v>Ha pagado</v>
      </c>
      <c r="X98" s="3"/>
      <c r="Y98" s="3"/>
      <c r="Z98" s="3"/>
      <c r="AA98" s="3"/>
      <c r="AB98" s="3"/>
      <c r="AC98" s="3"/>
      <c r="AD98" s="3"/>
      <c r="AE98" s="3"/>
      <c r="AG98"/>
      <c r="AH98"/>
      <c r="AI98"/>
      <c r="AJ98"/>
      <c r="AK98"/>
      <c r="AL98"/>
      <c r="AM98"/>
      <c r="AN98"/>
      <c r="AQ98"/>
      <c r="AR98"/>
    </row>
    <row r="99" spans="1:44" x14ac:dyDescent="0.25">
      <c r="A99" s="6">
        <v>44583</v>
      </c>
      <c r="B99" t="str">
        <f t="shared" si="7"/>
        <v>Enero</v>
      </c>
      <c r="C99" s="1" t="s">
        <v>75</v>
      </c>
      <c r="D99" s="58" t="str">
        <f>VLOOKUP(Datos!$C99,$AQ$2:$AR$41,2,0)</f>
        <v>Centro</v>
      </c>
      <c r="E99" s="1">
        <v>23177</v>
      </c>
      <c r="F99" s="1" t="str">
        <f t="array" ref="F99">_xlfn.IFS(H99=0,"Alta sin facturar",H99&gt;2,"Cliente",H99&gt;0,"Cliente nuevo")</f>
        <v>Alta sin facturar</v>
      </c>
      <c r="G99" s="1"/>
      <c r="H99" s="1">
        <f t="shared" si="11"/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89">
        <v>0</v>
      </c>
      <c r="O99" s="89">
        <v>0</v>
      </c>
      <c r="P99" s="89">
        <v>0</v>
      </c>
      <c r="Q99" s="54">
        <f t="shared" si="8"/>
        <v>0</v>
      </c>
      <c r="R99" s="89"/>
      <c r="S99" s="92">
        <f t="shared" si="12"/>
        <v>0</v>
      </c>
      <c r="T99" s="59">
        <f t="shared" si="9"/>
        <v>0</v>
      </c>
      <c r="U99" s="60">
        <f t="shared" si="10"/>
        <v>0</v>
      </c>
      <c r="V99" s="59" t="str">
        <f t="array" ref="V99">_xlfn.IFS(S99=0,"Alta sin facturar",S99&gt;2,"Cliente",S99&gt;0,"Cliente nuevo")</f>
        <v>Alta sin facturar</v>
      </c>
      <c r="W99" s="59" t="str">
        <f t="shared" si="13"/>
        <v>Sin pago</v>
      </c>
      <c r="X99" s="3"/>
      <c r="Y99" s="3"/>
      <c r="Z99" s="3"/>
      <c r="AA99" s="3"/>
      <c r="AB99" s="3"/>
      <c r="AC99" s="3"/>
      <c r="AD99" s="3"/>
      <c r="AE99" s="3"/>
      <c r="AG99"/>
      <c r="AH99"/>
      <c r="AI99"/>
      <c r="AJ99"/>
      <c r="AK99"/>
      <c r="AL99"/>
      <c r="AM99"/>
      <c r="AN99"/>
      <c r="AQ99"/>
      <c r="AR99"/>
    </row>
    <row r="100" spans="1:44" x14ac:dyDescent="0.25">
      <c r="A100" s="6">
        <v>44585</v>
      </c>
      <c r="B100" t="str">
        <f t="shared" si="7"/>
        <v>Enero</v>
      </c>
      <c r="C100" s="1" t="s">
        <v>35</v>
      </c>
      <c r="D100" s="58" t="str">
        <f>VLOOKUP(Datos!$C100,$AQ$2:$AR$41,2,0)</f>
        <v>Centro</v>
      </c>
      <c r="E100" s="1">
        <v>23178</v>
      </c>
      <c r="F100" s="1" t="str">
        <f t="array" ref="F100">_xlfn.IFS(H100=0,"Alta sin facturar",H100&gt;2,"Cliente",H100&gt;0,"Cliente nuevo")</f>
        <v>Cliente nuevo</v>
      </c>
      <c r="G100" s="1"/>
      <c r="H100" s="1">
        <f t="shared" si="11"/>
        <v>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89">
        <v>0</v>
      </c>
      <c r="O100" s="89">
        <v>0</v>
      </c>
      <c r="P100" s="89">
        <v>4721.2</v>
      </c>
      <c r="Q100" s="54">
        <f t="shared" si="8"/>
        <v>4721.2</v>
      </c>
      <c r="R100" s="89">
        <v>0</v>
      </c>
      <c r="S100" s="92">
        <f t="shared" si="12"/>
        <v>1</v>
      </c>
      <c r="T100" s="59">
        <f t="shared" si="9"/>
        <v>4721.2</v>
      </c>
      <c r="U100" s="60">
        <f t="shared" si="10"/>
        <v>0</v>
      </c>
      <c r="V100" s="59" t="str">
        <f t="array" ref="V100">_xlfn.IFS(S100=0,"Alta sin facturar",S100&gt;2,"Cliente",S100&gt;0,"Cliente nuevo")</f>
        <v>Cliente nuevo</v>
      </c>
      <c r="W100" s="59" t="str">
        <f t="shared" si="13"/>
        <v>Ha pagado</v>
      </c>
      <c r="X100" s="3"/>
      <c r="Y100" s="3"/>
      <c r="Z100" s="3"/>
      <c r="AA100" s="3"/>
      <c r="AB100" s="3"/>
      <c r="AC100" s="3"/>
      <c r="AD100" s="3"/>
      <c r="AE100" s="3"/>
      <c r="AG100"/>
      <c r="AH100"/>
      <c r="AI100"/>
      <c r="AJ100"/>
      <c r="AK100"/>
      <c r="AL100"/>
      <c r="AM100"/>
      <c r="AN100"/>
      <c r="AP100"/>
      <c r="AQ100"/>
      <c r="AR100"/>
    </row>
    <row r="101" spans="1:44" x14ac:dyDescent="0.25">
      <c r="A101" s="6">
        <v>44585</v>
      </c>
      <c r="B101" t="str">
        <f t="shared" si="7"/>
        <v>Enero</v>
      </c>
      <c r="C101" s="1" t="s">
        <v>66</v>
      </c>
      <c r="D101" s="58" t="str">
        <f>VLOOKUP(Datos!$C101,$AQ$2:$AR$41,2,0)</f>
        <v>Sur</v>
      </c>
      <c r="E101" s="1">
        <v>23179</v>
      </c>
      <c r="F101" s="1" t="str">
        <f t="array" ref="F101">_xlfn.IFS(H101=0,"Alta sin facturar",H101&gt;2,"Cliente",H101&gt;0,"Cliente nuevo")</f>
        <v>Cliente nuevo</v>
      </c>
      <c r="G101" s="1"/>
      <c r="H101" s="1">
        <f t="shared" si="11"/>
        <v>2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89">
        <v>20880</v>
      </c>
      <c r="O101" s="89">
        <v>0</v>
      </c>
      <c r="P101" s="89">
        <v>290</v>
      </c>
      <c r="Q101" s="54">
        <f t="shared" si="8"/>
        <v>21170</v>
      </c>
      <c r="R101" s="89">
        <v>6554</v>
      </c>
      <c r="S101" s="92">
        <f t="shared" si="12"/>
        <v>2</v>
      </c>
      <c r="T101" s="59">
        <f t="shared" si="9"/>
        <v>14616</v>
      </c>
      <c r="U101" s="60">
        <f t="shared" si="10"/>
        <v>0.30958904109589042</v>
      </c>
      <c r="V101" s="59" t="str">
        <f t="array" ref="V101">_xlfn.IFS(S101=0,"Alta sin facturar",S101&gt;2,"Cliente",S101&gt;0,"Cliente nuevo")</f>
        <v>Cliente nuevo</v>
      </c>
      <c r="W101" s="59" t="str">
        <f t="shared" si="13"/>
        <v>Ha pagado</v>
      </c>
      <c r="X101" s="3"/>
      <c r="Y101" s="3"/>
      <c r="Z101" s="3"/>
      <c r="AA101" s="3"/>
      <c r="AB101" s="3"/>
      <c r="AC101" s="3"/>
      <c r="AD101" s="3"/>
      <c r="AE101" s="3"/>
      <c r="AG101"/>
      <c r="AH101"/>
      <c r="AI101"/>
      <c r="AJ101"/>
      <c r="AK101"/>
      <c r="AL101"/>
      <c r="AM101"/>
      <c r="AN101"/>
      <c r="AP101"/>
      <c r="AQ101"/>
      <c r="AR101"/>
    </row>
    <row r="102" spans="1:44" x14ac:dyDescent="0.25">
      <c r="A102" s="6">
        <v>44585</v>
      </c>
      <c r="B102" t="str">
        <f t="shared" si="7"/>
        <v>Enero</v>
      </c>
      <c r="C102" s="1" t="s">
        <v>66</v>
      </c>
      <c r="D102" s="58" t="str">
        <f>VLOOKUP(Datos!$C102,$AQ$2:$AR$41,2,0)</f>
        <v>Sur</v>
      </c>
      <c r="E102" s="1">
        <v>23180</v>
      </c>
      <c r="F102" s="1" t="str">
        <f t="array" ref="F102">_xlfn.IFS(H102=0,"Alta sin facturar",H102&gt;2,"Cliente",H102&gt;0,"Cliente nuevo")</f>
        <v>Cliente nuevo</v>
      </c>
      <c r="G102" s="1"/>
      <c r="H102" s="1">
        <f t="shared" si="11"/>
        <v>2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89">
        <v>1407.08</v>
      </c>
      <c r="O102" s="89">
        <v>0</v>
      </c>
      <c r="P102" s="89">
        <v>1329.36</v>
      </c>
      <c r="Q102" s="54">
        <f t="shared" si="8"/>
        <v>2736.4399999999996</v>
      </c>
      <c r="R102" s="89">
        <v>0</v>
      </c>
      <c r="S102" s="92">
        <f t="shared" si="12"/>
        <v>2</v>
      </c>
      <c r="T102" s="59">
        <f t="shared" si="9"/>
        <v>2736.4399999999996</v>
      </c>
      <c r="U102" s="60">
        <f t="shared" si="10"/>
        <v>0</v>
      </c>
      <c r="V102" s="59" t="str">
        <f t="array" ref="V102">_xlfn.IFS(S102=0,"Alta sin facturar",S102&gt;2,"Cliente",S102&gt;0,"Cliente nuevo")</f>
        <v>Cliente nuevo</v>
      </c>
      <c r="W102" s="59" t="str">
        <f t="shared" si="13"/>
        <v>Ha pagado</v>
      </c>
      <c r="X102" s="3"/>
      <c r="Y102" s="3"/>
      <c r="Z102" s="3"/>
      <c r="AA102" s="3"/>
      <c r="AB102" s="3"/>
      <c r="AC102" s="3"/>
      <c r="AD102" s="3"/>
      <c r="AE102" s="3"/>
      <c r="AG102" s="7"/>
      <c r="AH102" s="7" t="s">
        <v>54</v>
      </c>
      <c r="AI102"/>
      <c r="AJ102"/>
      <c r="AK102"/>
      <c r="AL102"/>
      <c r="AM102"/>
      <c r="AN102"/>
      <c r="AO102"/>
      <c r="AP102"/>
    </row>
    <row r="103" spans="1:44" x14ac:dyDescent="0.25">
      <c r="A103" s="6">
        <v>44585</v>
      </c>
      <c r="B103" t="str">
        <f t="shared" si="7"/>
        <v>Enero</v>
      </c>
      <c r="C103" s="1" t="s">
        <v>60</v>
      </c>
      <c r="D103" s="58" t="str">
        <f>VLOOKUP(Datos!$C103,$AQ$2:$AR$41,2,0)</f>
        <v>Norte</v>
      </c>
      <c r="E103" s="1">
        <v>23181</v>
      </c>
      <c r="F103" s="1" t="str">
        <f t="array" ref="F103">_xlfn.IFS(H103=0,"Alta sin facturar",H103&gt;2,"Cliente",H103&gt;0,"Cliente nuevo")</f>
        <v>Cliente nuevo</v>
      </c>
      <c r="G103" s="1"/>
      <c r="H103" s="1">
        <f t="shared" si="11"/>
        <v>2</v>
      </c>
      <c r="I103" s="2">
        <v>0</v>
      </c>
      <c r="J103" s="2">
        <v>2005.6400000000003</v>
      </c>
      <c r="K103" s="2">
        <v>4375.5200000000004</v>
      </c>
      <c r="L103" s="2">
        <v>0</v>
      </c>
      <c r="M103" s="2">
        <v>0</v>
      </c>
      <c r="N103" s="89">
        <v>0</v>
      </c>
      <c r="O103" s="89">
        <v>0</v>
      </c>
      <c r="P103" s="89">
        <v>0</v>
      </c>
      <c r="Q103" s="54">
        <f t="shared" si="8"/>
        <v>6381.1600000000008</v>
      </c>
      <c r="R103" s="89">
        <v>0</v>
      </c>
      <c r="S103" s="92">
        <f t="shared" si="12"/>
        <v>2</v>
      </c>
      <c r="T103" s="59">
        <f t="shared" si="9"/>
        <v>6381.1600000000008</v>
      </c>
      <c r="U103" s="60">
        <f t="shared" si="10"/>
        <v>0</v>
      </c>
      <c r="V103" s="59" t="str">
        <f t="array" ref="V103">_xlfn.IFS(S103=0,"Alta sin facturar",S103&gt;2,"Cliente",S103&gt;0,"Cliente nuevo")</f>
        <v>Cliente nuevo</v>
      </c>
      <c r="W103" s="59" t="str">
        <f t="shared" si="13"/>
        <v>Ha pagado</v>
      </c>
      <c r="X103" s="3"/>
      <c r="Y103" s="3"/>
      <c r="Z103" s="3"/>
      <c r="AA103" s="3"/>
      <c r="AB103" s="3"/>
      <c r="AC103" s="3"/>
      <c r="AD103" s="3"/>
      <c r="AE103" s="3"/>
      <c r="AG103"/>
      <c r="AH103" t="s">
        <v>1</v>
      </c>
      <c r="AI103" t="s">
        <v>2</v>
      </c>
      <c r="AJ103" t="s">
        <v>3</v>
      </c>
      <c r="AK103" t="s">
        <v>4</v>
      </c>
      <c r="AL103" t="s">
        <v>5</v>
      </c>
      <c r="AM103" t="s">
        <v>6</v>
      </c>
      <c r="AN103" t="s">
        <v>87</v>
      </c>
      <c r="AO103" t="s">
        <v>20</v>
      </c>
    </row>
    <row r="104" spans="1:44" x14ac:dyDescent="0.25">
      <c r="A104" s="6">
        <v>44585</v>
      </c>
      <c r="B104" t="str">
        <f t="shared" si="7"/>
        <v>Enero</v>
      </c>
      <c r="C104" s="1" t="s">
        <v>62</v>
      </c>
      <c r="D104" s="58" t="str">
        <f>VLOOKUP(Datos!$C104,$AQ$2:$AR$41,2,0)</f>
        <v>Norte</v>
      </c>
      <c r="E104" s="1">
        <v>23182</v>
      </c>
      <c r="F104" s="1" t="str">
        <f t="array" ref="F104">_xlfn.IFS(H104=0,"Alta sin facturar",H104&gt;2,"Cliente",H104&gt;0,"Cliente nuevo")</f>
        <v>Alta sin facturar</v>
      </c>
      <c r="G104" s="1"/>
      <c r="H104" s="1">
        <f t="shared" si="11"/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89">
        <v>0</v>
      </c>
      <c r="O104" s="89">
        <v>0</v>
      </c>
      <c r="P104" s="89">
        <v>0</v>
      </c>
      <c r="Q104" s="54">
        <f t="shared" si="8"/>
        <v>0</v>
      </c>
      <c r="R104" s="89"/>
      <c r="S104" s="92">
        <f t="shared" si="12"/>
        <v>0</v>
      </c>
      <c r="T104" s="59">
        <f t="shared" si="9"/>
        <v>0</v>
      </c>
      <c r="U104" s="60">
        <f t="shared" si="10"/>
        <v>0</v>
      </c>
      <c r="V104" s="59" t="str">
        <f t="array" ref="V104">_xlfn.IFS(S104=0,"Alta sin facturar",S104&gt;2,"Cliente",S104&gt;0,"Cliente nuevo")</f>
        <v>Alta sin facturar</v>
      </c>
      <c r="W104" s="59" t="str">
        <f t="shared" si="13"/>
        <v>Sin pago</v>
      </c>
      <c r="X104" s="3"/>
      <c r="Y104" s="3"/>
      <c r="Z104" s="3"/>
      <c r="AA104" s="3"/>
      <c r="AB104" s="3"/>
      <c r="AC104" s="3"/>
      <c r="AD104" s="3"/>
      <c r="AE104" s="3"/>
      <c r="AG104" t="s">
        <v>79</v>
      </c>
      <c r="AH104">
        <v>130</v>
      </c>
      <c r="AI104">
        <v>79</v>
      </c>
      <c r="AJ104">
        <v>94</v>
      </c>
      <c r="AK104">
        <v>76</v>
      </c>
      <c r="AL104">
        <v>77</v>
      </c>
      <c r="AM104">
        <v>100</v>
      </c>
      <c r="AN104">
        <v>88</v>
      </c>
      <c r="AO104">
        <v>644</v>
      </c>
    </row>
    <row r="105" spans="1:44" x14ac:dyDescent="0.25">
      <c r="A105" s="6">
        <v>44586</v>
      </c>
      <c r="B105" t="str">
        <f t="shared" si="7"/>
        <v>Enero</v>
      </c>
      <c r="C105" s="1" t="s">
        <v>64</v>
      </c>
      <c r="D105" s="58" t="str">
        <f>VLOOKUP(Datos!$C105,$AQ$2:$AR$41,2,0)</f>
        <v>Norte</v>
      </c>
      <c r="E105" s="1">
        <v>23183</v>
      </c>
      <c r="F105" s="1" t="str">
        <f t="array" ref="F105">_xlfn.IFS(H105=0,"Alta sin facturar",H105&gt;2,"Cliente",H105&gt;0,"Cliente nuevo")</f>
        <v>Cliente</v>
      </c>
      <c r="G105" s="1"/>
      <c r="H105" s="1">
        <f t="shared" si="11"/>
        <v>8</v>
      </c>
      <c r="I105" s="2">
        <v>5852.199999999998</v>
      </c>
      <c r="J105" s="2">
        <v>11030.439999999991</v>
      </c>
      <c r="K105" s="2">
        <v>4498.4799999999996</v>
      </c>
      <c r="L105" s="2">
        <v>1926.7599999999998</v>
      </c>
      <c r="M105" s="2">
        <v>10829.759999999998</v>
      </c>
      <c r="N105" s="89">
        <v>13775</v>
      </c>
      <c r="O105" s="89">
        <v>30328.200000000023</v>
      </c>
      <c r="P105" s="89">
        <v>44969.720000000118</v>
      </c>
      <c r="Q105" s="54">
        <f t="shared" si="8"/>
        <v>123210.56000000013</v>
      </c>
      <c r="R105" s="89">
        <v>13183.4</v>
      </c>
      <c r="S105" s="92">
        <f t="shared" si="12"/>
        <v>8</v>
      </c>
      <c r="T105" s="59">
        <f t="shared" si="9"/>
        <v>110027.16000000013</v>
      </c>
      <c r="U105" s="60">
        <f t="shared" si="10"/>
        <v>0.1069989455449272</v>
      </c>
      <c r="V105" s="59" t="str">
        <f t="array" ref="V105">_xlfn.IFS(S105=0,"Alta sin facturar",S105&gt;2,"Cliente",S105&gt;0,"Cliente nuevo")</f>
        <v>Cliente</v>
      </c>
      <c r="W105" s="59" t="str">
        <f t="shared" si="13"/>
        <v>Ha pagado</v>
      </c>
      <c r="X105" s="3"/>
      <c r="Y105" s="3"/>
      <c r="Z105" s="3"/>
      <c r="AA105" s="3"/>
      <c r="AB105" s="3"/>
      <c r="AC105" s="3"/>
      <c r="AD105" s="3"/>
      <c r="AE105" s="3"/>
      <c r="AG105"/>
      <c r="AH105"/>
      <c r="AI105"/>
      <c r="AJ105"/>
      <c r="AK105"/>
      <c r="AL105"/>
      <c r="AM105"/>
      <c r="AN105"/>
    </row>
    <row r="106" spans="1:44" x14ac:dyDescent="0.25">
      <c r="A106" s="6">
        <v>44586</v>
      </c>
      <c r="B106" t="str">
        <f t="shared" si="7"/>
        <v>Enero</v>
      </c>
      <c r="C106" s="1" t="s">
        <v>35</v>
      </c>
      <c r="D106" s="58" t="str">
        <f>VLOOKUP(Datos!$C106,$AQ$2:$AR$41,2,0)</f>
        <v>Centro</v>
      </c>
      <c r="E106" s="1">
        <v>23184</v>
      </c>
      <c r="F106" s="1" t="str">
        <f t="array" ref="F106">_xlfn.IFS(H106=0,"Alta sin facturar",H106&gt;2,"Cliente",H106&gt;0,"Cliente nuevo")</f>
        <v>Cliente</v>
      </c>
      <c r="G106" s="1"/>
      <c r="H106" s="1">
        <f t="shared" si="11"/>
        <v>5</v>
      </c>
      <c r="I106" s="2">
        <v>0</v>
      </c>
      <c r="J106" s="2">
        <v>2081.04</v>
      </c>
      <c r="K106" s="2">
        <v>640.31999999999994</v>
      </c>
      <c r="L106" s="2">
        <v>0</v>
      </c>
      <c r="M106" s="2">
        <v>1316.6</v>
      </c>
      <c r="N106" s="89">
        <v>2833.88</v>
      </c>
      <c r="O106" s="89">
        <v>0</v>
      </c>
      <c r="P106" s="89">
        <v>1739.9999999999998</v>
      </c>
      <c r="Q106" s="54">
        <f t="shared" si="8"/>
        <v>8611.84</v>
      </c>
      <c r="R106" s="89">
        <v>2833.88</v>
      </c>
      <c r="S106" s="92">
        <f t="shared" si="12"/>
        <v>5</v>
      </c>
      <c r="T106" s="59">
        <f t="shared" si="9"/>
        <v>5777.96</v>
      </c>
      <c r="U106" s="60">
        <f t="shared" si="10"/>
        <v>0.32906788793103448</v>
      </c>
      <c r="V106" s="59" t="str">
        <f t="array" ref="V106">_xlfn.IFS(S106=0,"Alta sin facturar",S106&gt;2,"Cliente",S106&gt;0,"Cliente nuevo")</f>
        <v>Cliente</v>
      </c>
      <c r="W106" s="59" t="str">
        <f t="shared" si="13"/>
        <v>Ha pagado</v>
      </c>
      <c r="X106" s="3"/>
      <c r="Y106" s="3"/>
      <c r="Z106" s="3"/>
      <c r="AA106" s="3"/>
      <c r="AB106" s="3"/>
      <c r="AC106" s="3"/>
      <c r="AD106" s="3"/>
      <c r="AE106" s="3"/>
      <c r="AG106"/>
      <c r="AH106"/>
      <c r="AI106"/>
      <c r="AJ106"/>
      <c r="AK106"/>
      <c r="AL106"/>
      <c r="AM106"/>
      <c r="AN106"/>
    </row>
    <row r="107" spans="1:44" x14ac:dyDescent="0.25">
      <c r="A107" s="6">
        <v>44587</v>
      </c>
      <c r="B107" t="str">
        <f t="shared" si="7"/>
        <v>Enero</v>
      </c>
      <c r="C107" s="1" t="s">
        <v>75</v>
      </c>
      <c r="D107" s="58" t="str">
        <f>VLOOKUP(Datos!$C107,$AQ$2:$AR$41,2,0)</f>
        <v>Centro</v>
      </c>
      <c r="E107" s="1">
        <v>23185</v>
      </c>
      <c r="F107" s="1" t="str">
        <f t="array" ref="F107">_xlfn.IFS(H107=0,"Alta sin facturar",H107&gt;2,"Cliente",H107&gt;0,"Cliente nuevo")</f>
        <v>Alta sin facturar</v>
      </c>
      <c r="G107" s="1"/>
      <c r="H107" s="1">
        <f t="shared" si="11"/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89">
        <v>0</v>
      </c>
      <c r="O107" s="89">
        <v>0</v>
      </c>
      <c r="P107" s="89">
        <v>0</v>
      </c>
      <c r="Q107" s="54">
        <f t="shared" si="8"/>
        <v>0</v>
      </c>
      <c r="R107" s="89"/>
      <c r="S107" s="92">
        <f t="shared" si="12"/>
        <v>0</v>
      </c>
      <c r="T107" s="59">
        <f t="shared" si="9"/>
        <v>0</v>
      </c>
      <c r="U107" s="60">
        <f t="shared" si="10"/>
        <v>0</v>
      </c>
      <c r="V107" s="59" t="str">
        <f t="array" ref="V107">_xlfn.IFS(S107=0,"Alta sin facturar",S107&gt;2,"Cliente",S107&gt;0,"Cliente nuevo")</f>
        <v>Alta sin facturar</v>
      </c>
      <c r="W107" s="59" t="str">
        <f t="shared" si="13"/>
        <v>Sin pago</v>
      </c>
      <c r="X107" s="3"/>
      <c r="Y107" s="3"/>
      <c r="Z107" s="3"/>
      <c r="AA107" s="3"/>
      <c r="AB107" s="3"/>
      <c r="AC107" s="3"/>
      <c r="AD107" s="3"/>
      <c r="AE107" s="3"/>
      <c r="AG107"/>
      <c r="AH107"/>
      <c r="AI107"/>
      <c r="AJ107"/>
      <c r="AK107"/>
      <c r="AL107"/>
      <c r="AM107"/>
      <c r="AN107"/>
    </row>
    <row r="108" spans="1:44" x14ac:dyDescent="0.25">
      <c r="A108" s="6">
        <v>44587</v>
      </c>
      <c r="B108" t="str">
        <f t="shared" si="7"/>
        <v>Enero</v>
      </c>
      <c r="C108" s="1" t="s">
        <v>59</v>
      </c>
      <c r="D108" s="58" t="str">
        <f>VLOOKUP(Datos!$C108,$AQ$2:$AR$41,2,0)</f>
        <v>Magallanes</v>
      </c>
      <c r="E108" s="1">
        <v>23186</v>
      </c>
      <c r="F108" s="1" t="str">
        <f t="array" ref="F108">_xlfn.IFS(H108=0,"Alta sin facturar",H108&gt;2,"Cliente",H108&gt;0,"Cliente nuevo")</f>
        <v>Cliente nuevo</v>
      </c>
      <c r="G108" s="1"/>
      <c r="H108" s="1">
        <f t="shared" si="11"/>
        <v>1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89">
        <v>0</v>
      </c>
      <c r="O108" s="89">
        <v>0</v>
      </c>
      <c r="P108" s="89">
        <v>1220.32</v>
      </c>
      <c r="Q108" s="54">
        <f t="shared" si="8"/>
        <v>1220.32</v>
      </c>
      <c r="R108" s="89">
        <v>287.68</v>
      </c>
      <c r="S108" s="92">
        <f t="shared" si="12"/>
        <v>1</v>
      </c>
      <c r="T108" s="59">
        <f t="shared" si="9"/>
        <v>932.63999999999987</v>
      </c>
      <c r="U108" s="60">
        <f t="shared" si="10"/>
        <v>0.23574144486692017</v>
      </c>
      <c r="V108" s="59" t="str">
        <f t="array" ref="V108">_xlfn.IFS(S108=0,"Alta sin facturar",S108&gt;2,"Cliente",S108&gt;0,"Cliente nuevo")</f>
        <v>Cliente nuevo</v>
      </c>
      <c r="W108" s="59" t="str">
        <f t="shared" si="13"/>
        <v>Ha pagado</v>
      </c>
      <c r="X108" s="3"/>
      <c r="Y108" s="3"/>
      <c r="Z108" s="3"/>
      <c r="AA108" s="3"/>
      <c r="AB108" s="3"/>
      <c r="AC108" s="3"/>
      <c r="AD108" s="3"/>
      <c r="AE108" s="3"/>
      <c r="AG108"/>
      <c r="AH108"/>
      <c r="AI108"/>
      <c r="AJ108"/>
      <c r="AK108"/>
      <c r="AL108"/>
      <c r="AM108"/>
      <c r="AN108"/>
    </row>
    <row r="109" spans="1:44" x14ac:dyDescent="0.25">
      <c r="A109" s="6">
        <v>44587</v>
      </c>
      <c r="B109" t="str">
        <f t="shared" si="7"/>
        <v>Enero</v>
      </c>
      <c r="C109" s="1" t="s">
        <v>36</v>
      </c>
      <c r="D109" s="58" t="str">
        <f>VLOOKUP(Datos!$C109,$AQ$2:$AR$41,2,0)</f>
        <v>Magallanes</v>
      </c>
      <c r="E109" s="1">
        <v>23187</v>
      </c>
      <c r="F109" s="1" t="str">
        <f t="array" ref="F109">_xlfn.IFS(H109=0,"Alta sin facturar",H109&gt;2,"Cliente",H109&gt;0,"Cliente nuevo")</f>
        <v>Alta sin facturar</v>
      </c>
      <c r="G109" s="1"/>
      <c r="H109" s="1">
        <f t="shared" si="11"/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89">
        <v>0</v>
      </c>
      <c r="O109" s="89">
        <v>0</v>
      </c>
      <c r="P109" s="89">
        <v>0</v>
      </c>
      <c r="Q109" s="54">
        <f t="shared" si="8"/>
        <v>0</v>
      </c>
      <c r="R109" s="89">
        <v>1624</v>
      </c>
      <c r="S109" s="92">
        <f t="shared" si="12"/>
        <v>0</v>
      </c>
      <c r="T109" s="59">
        <f t="shared" si="9"/>
        <v>-1624</v>
      </c>
      <c r="U109" s="60">
        <f t="shared" si="10"/>
        <v>0</v>
      </c>
      <c r="V109" s="59" t="str">
        <f t="array" ref="V109">_xlfn.IFS(S109=0,"Alta sin facturar",S109&gt;2,"Cliente",S109&gt;0,"Cliente nuevo")</f>
        <v>Alta sin facturar</v>
      </c>
      <c r="W109" s="59" t="str">
        <f t="shared" si="13"/>
        <v>Sin pago</v>
      </c>
      <c r="X109" s="3"/>
      <c r="Y109" s="3"/>
      <c r="Z109" s="3"/>
      <c r="AA109" s="3"/>
      <c r="AB109" s="3"/>
      <c r="AC109" s="3"/>
      <c r="AD109" s="3"/>
      <c r="AE109" s="3"/>
      <c r="AG109"/>
      <c r="AH109"/>
      <c r="AI109"/>
      <c r="AJ109"/>
      <c r="AK109"/>
      <c r="AL109"/>
      <c r="AM109"/>
      <c r="AN109"/>
    </row>
    <row r="110" spans="1:44" x14ac:dyDescent="0.25">
      <c r="A110" s="6">
        <v>44587</v>
      </c>
      <c r="B110" t="str">
        <f t="shared" si="7"/>
        <v>Enero</v>
      </c>
      <c r="C110" s="1" t="s">
        <v>36</v>
      </c>
      <c r="D110" s="58" t="str">
        <f>VLOOKUP(Datos!$C110,$AQ$2:$AR$41,2,0)</f>
        <v>Magallanes</v>
      </c>
      <c r="E110" s="1">
        <v>23188</v>
      </c>
      <c r="F110" s="1" t="str">
        <f t="array" ref="F110">_xlfn.IFS(H110=0,"Alta sin facturar",H110&gt;2,"Cliente",H110&gt;0,"Cliente nuevo")</f>
        <v>Alta sin facturar</v>
      </c>
      <c r="G110" s="1"/>
      <c r="H110" s="1">
        <f t="shared" si="11"/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89">
        <v>0</v>
      </c>
      <c r="O110" s="89">
        <v>0</v>
      </c>
      <c r="P110" s="89">
        <v>0</v>
      </c>
      <c r="Q110" s="54">
        <f t="shared" si="8"/>
        <v>0</v>
      </c>
      <c r="R110" s="89"/>
      <c r="S110" s="92">
        <f t="shared" si="12"/>
        <v>0</v>
      </c>
      <c r="T110" s="59">
        <f t="shared" si="9"/>
        <v>0</v>
      </c>
      <c r="U110" s="60">
        <f t="shared" si="10"/>
        <v>0</v>
      </c>
      <c r="V110" s="59" t="str">
        <f t="array" ref="V110">_xlfn.IFS(S110=0,"Alta sin facturar",S110&gt;2,"Cliente",S110&gt;0,"Cliente nuevo")</f>
        <v>Alta sin facturar</v>
      </c>
      <c r="W110" s="59" t="str">
        <f t="shared" si="13"/>
        <v>Sin pago</v>
      </c>
      <c r="X110" s="3"/>
      <c r="Y110" s="3"/>
      <c r="Z110" s="3"/>
      <c r="AA110" s="3"/>
      <c r="AB110" s="3"/>
      <c r="AC110" s="3"/>
      <c r="AD110" s="3"/>
      <c r="AE110" s="3"/>
      <c r="AG110"/>
      <c r="AH110"/>
      <c r="AI110"/>
      <c r="AJ110"/>
      <c r="AK110"/>
      <c r="AL110"/>
      <c r="AM110"/>
      <c r="AN110"/>
    </row>
    <row r="111" spans="1:44" x14ac:dyDescent="0.25">
      <c r="A111" s="6">
        <v>44587</v>
      </c>
      <c r="B111" t="str">
        <f t="shared" si="7"/>
        <v>Enero</v>
      </c>
      <c r="C111" s="1" t="s">
        <v>76</v>
      </c>
      <c r="D111" s="58" t="str">
        <f>VLOOKUP(Datos!$C111,$AQ$2:$AR$41,2,0)</f>
        <v>Sur</v>
      </c>
      <c r="E111" s="1">
        <v>23189</v>
      </c>
      <c r="F111" s="1" t="str">
        <f t="array" ref="F111">_xlfn.IFS(H111=0,"Alta sin facturar",H111&gt;2,"Cliente",H111&gt;0,"Cliente nuevo")</f>
        <v>Cliente nuevo</v>
      </c>
      <c r="G111" s="1"/>
      <c r="H111" s="1">
        <f t="shared" si="11"/>
        <v>2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89">
        <v>580</v>
      </c>
      <c r="O111" s="89">
        <v>0</v>
      </c>
      <c r="P111" s="89">
        <v>429.2</v>
      </c>
      <c r="Q111" s="54">
        <f t="shared" si="8"/>
        <v>1009.2</v>
      </c>
      <c r="R111" s="89">
        <v>0</v>
      </c>
      <c r="S111" s="92">
        <f t="shared" si="12"/>
        <v>2</v>
      </c>
      <c r="T111" s="59">
        <f t="shared" si="9"/>
        <v>1009.2</v>
      </c>
      <c r="U111" s="60">
        <f t="shared" si="10"/>
        <v>0</v>
      </c>
      <c r="V111" s="59" t="str">
        <f t="array" ref="V111">_xlfn.IFS(S111=0,"Alta sin facturar",S111&gt;2,"Cliente",S111&gt;0,"Cliente nuevo")</f>
        <v>Cliente nuevo</v>
      </c>
      <c r="W111" s="59" t="str">
        <f t="shared" si="13"/>
        <v>Ha pagado</v>
      </c>
      <c r="X111" s="3"/>
      <c r="Y111" s="3"/>
      <c r="Z111" s="3"/>
      <c r="AA111" s="3"/>
      <c r="AB111" s="3"/>
      <c r="AC111" s="3"/>
      <c r="AD111" s="3"/>
      <c r="AE111" s="3"/>
      <c r="AG111"/>
      <c r="AH111"/>
      <c r="AI111"/>
      <c r="AJ111"/>
      <c r="AK111"/>
      <c r="AL111"/>
      <c r="AM111"/>
      <c r="AN111"/>
    </row>
    <row r="112" spans="1:44" x14ac:dyDescent="0.25">
      <c r="A112" s="6">
        <v>44587</v>
      </c>
      <c r="B112" t="str">
        <f t="shared" si="7"/>
        <v>Enero</v>
      </c>
      <c r="C112" s="1" t="s">
        <v>66</v>
      </c>
      <c r="D112" s="58" t="str">
        <f>VLOOKUP(Datos!$C112,$AQ$2:$AR$41,2,0)</f>
        <v>Sur</v>
      </c>
      <c r="E112" s="1">
        <v>23190</v>
      </c>
      <c r="F112" s="1" t="str">
        <f t="array" ref="F112">_xlfn.IFS(H112=0,"Alta sin facturar",H112&gt;2,"Cliente",H112&gt;0,"Cliente nuevo")</f>
        <v>Cliente nuevo</v>
      </c>
      <c r="G112" s="1"/>
      <c r="H112" s="1">
        <f t="shared" si="11"/>
        <v>2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89">
        <v>7215.2000000000007</v>
      </c>
      <c r="O112" s="89">
        <v>0</v>
      </c>
      <c r="P112" s="89">
        <v>3678.360000000001</v>
      </c>
      <c r="Q112" s="54">
        <f t="shared" si="8"/>
        <v>10893.560000000001</v>
      </c>
      <c r="R112" s="89">
        <v>0</v>
      </c>
      <c r="S112" s="92">
        <f t="shared" si="12"/>
        <v>2</v>
      </c>
      <c r="T112" s="59">
        <f t="shared" si="9"/>
        <v>10893.560000000001</v>
      </c>
      <c r="U112" s="60">
        <f t="shared" si="10"/>
        <v>0</v>
      </c>
      <c r="V112" s="59" t="str">
        <f t="array" ref="V112">_xlfn.IFS(S112=0,"Alta sin facturar",S112&gt;2,"Cliente",S112&gt;0,"Cliente nuevo")</f>
        <v>Cliente nuevo</v>
      </c>
      <c r="W112" s="59" t="str">
        <f t="shared" si="13"/>
        <v>Ha pagado</v>
      </c>
      <c r="X112" s="3"/>
      <c r="Y112" s="3"/>
      <c r="Z112" s="3"/>
      <c r="AA112" s="3"/>
      <c r="AB112" s="3"/>
      <c r="AC112" s="3"/>
      <c r="AD112" s="3"/>
      <c r="AE112" s="3"/>
      <c r="AG112"/>
      <c r="AH112"/>
      <c r="AI112"/>
      <c r="AJ112"/>
      <c r="AK112"/>
      <c r="AL112"/>
      <c r="AM112"/>
      <c r="AN112"/>
    </row>
    <row r="113" spans="1:44" x14ac:dyDescent="0.25">
      <c r="A113" s="6">
        <v>44587</v>
      </c>
      <c r="B113" t="str">
        <f t="shared" si="7"/>
        <v>Enero</v>
      </c>
      <c r="C113" s="1" t="s">
        <v>101</v>
      </c>
      <c r="D113" s="58" t="e">
        <f>VLOOKUP(Datos!$C113,$AQ$2:$AR$41,2,0)</f>
        <v>#N/A</v>
      </c>
      <c r="E113" s="1">
        <v>23191</v>
      </c>
      <c r="F113" s="1" t="str">
        <f t="array" ref="F113">_xlfn.IFS(H113=0,"Alta sin facturar",H113&gt;2,"Cliente",H113&gt;0,"Cliente nuevo")</f>
        <v>Alta sin facturar</v>
      </c>
      <c r="G113" s="1"/>
      <c r="H113" s="1">
        <f t="shared" si="11"/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89">
        <v>0</v>
      </c>
      <c r="O113" s="89">
        <v>0</v>
      </c>
      <c r="P113" s="89">
        <v>0</v>
      </c>
      <c r="Q113" s="54">
        <f t="shared" si="8"/>
        <v>0</v>
      </c>
      <c r="R113" s="89">
        <v>0</v>
      </c>
      <c r="S113" s="92">
        <f t="shared" si="12"/>
        <v>0</v>
      </c>
      <c r="T113" s="59">
        <f t="shared" si="9"/>
        <v>0</v>
      </c>
      <c r="U113" s="60">
        <f t="shared" si="10"/>
        <v>0</v>
      </c>
      <c r="V113" s="59" t="str">
        <f t="array" ref="V113">_xlfn.IFS(S113=0,"Alta sin facturar",S113&gt;2,"Cliente",S113&gt;0,"Cliente nuevo")</f>
        <v>Alta sin facturar</v>
      </c>
      <c r="W113" s="59" t="str">
        <f t="shared" si="13"/>
        <v>Sin pago</v>
      </c>
      <c r="X113" s="3"/>
      <c r="Y113" s="3"/>
      <c r="Z113" s="3"/>
      <c r="AA113" s="3"/>
      <c r="AB113" s="3"/>
      <c r="AC113" s="3"/>
      <c r="AD113" s="3"/>
      <c r="AE113" s="3"/>
      <c r="AG113"/>
      <c r="AH113"/>
      <c r="AI113"/>
      <c r="AJ113"/>
      <c r="AK113"/>
      <c r="AL113"/>
      <c r="AM113"/>
      <c r="AN113"/>
    </row>
    <row r="114" spans="1:44" x14ac:dyDescent="0.25">
      <c r="A114" s="6">
        <v>44587</v>
      </c>
      <c r="B114" t="str">
        <f t="shared" si="7"/>
        <v>Enero</v>
      </c>
      <c r="C114" s="1" t="s">
        <v>31</v>
      </c>
      <c r="D114" s="58" t="str">
        <f>VLOOKUP(Datos!$C114,$AQ$2:$AR$41,2,0)</f>
        <v>Centro</v>
      </c>
      <c r="E114" s="1">
        <v>23192</v>
      </c>
      <c r="F114" s="1" t="str">
        <f t="array" ref="F114">_xlfn.IFS(H114=0,"Alta sin facturar",H114&gt;2,"Cliente",H114&gt;0,"Cliente nuevo")</f>
        <v>Cliente</v>
      </c>
      <c r="G114" s="1"/>
      <c r="H114" s="1">
        <f t="shared" si="11"/>
        <v>5</v>
      </c>
      <c r="I114" s="2">
        <v>0</v>
      </c>
      <c r="J114" s="2">
        <v>0</v>
      </c>
      <c r="K114" s="2">
        <v>0</v>
      </c>
      <c r="L114" s="2">
        <v>2562.4400000000005</v>
      </c>
      <c r="M114" s="2">
        <v>11895.799999999994</v>
      </c>
      <c r="N114" s="89">
        <v>24863.439999999999</v>
      </c>
      <c r="O114" s="89">
        <v>10320.519999999993</v>
      </c>
      <c r="P114" s="89">
        <v>17206.279999999992</v>
      </c>
      <c r="Q114" s="54">
        <f t="shared" si="8"/>
        <v>66848.479999999981</v>
      </c>
      <c r="R114" s="89">
        <v>10320.52</v>
      </c>
      <c r="S114" s="92">
        <f t="shared" si="12"/>
        <v>5</v>
      </c>
      <c r="T114" s="59">
        <f t="shared" si="9"/>
        <v>56527.959999999977</v>
      </c>
      <c r="U114" s="60">
        <f t="shared" si="10"/>
        <v>0.15438675643784278</v>
      </c>
      <c r="V114" s="59" t="str">
        <f t="array" ref="V114">_xlfn.IFS(S114=0,"Alta sin facturar",S114&gt;2,"Cliente",S114&gt;0,"Cliente nuevo")</f>
        <v>Cliente</v>
      </c>
      <c r="W114" s="59" t="str">
        <f t="shared" si="13"/>
        <v>Ha pagado</v>
      </c>
      <c r="X114" s="3"/>
      <c r="Y114" s="3"/>
      <c r="Z114" s="3"/>
      <c r="AA114" s="3"/>
      <c r="AB114" s="3"/>
      <c r="AC114" s="3"/>
      <c r="AD114" s="3"/>
      <c r="AE114" s="3"/>
      <c r="AG114"/>
      <c r="AH114"/>
      <c r="AI114"/>
      <c r="AJ114"/>
      <c r="AK114"/>
      <c r="AL114"/>
      <c r="AM114"/>
      <c r="AN114"/>
    </row>
    <row r="115" spans="1:44" x14ac:dyDescent="0.25">
      <c r="A115" s="6">
        <v>44587</v>
      </c>
      <c r="B115" t="str">
        <f t="shared" si="7"/>
        <v>Enero</v>
      </c>
      <c r="C115" s="1" t="s">
        <v>31</v>
      </c>
      <c r="D115" s="58" t="str">
        <f>VLOOKUP(Datos!$C115,$AQ$2:$AR$41,2,0)</f>
        <v>Centro</v>
      </c>
      <c r="E115" s="1">
        <v>23193</v>
      </c>
      <c r="F115" s="1" t="str">
        <f t="array" ref="F115">_xlfn.IFS(H115=0,"Alta sin facturar",H115&gt;2,"Cliente",H115&gt;0,"Cliente nuevo")</f>
        <v>Cliente</v>
      </c>
      <c r="G115" s="1"/>
      <c r="H115" s="1">
        <f t="shared" si="11"/>
        <v>5</v>
      </c>
      <c r="I115" s="2">
        <v>0</v>
      </c>
      <c r="J115" s="2">
        <v>0</v>
      </c>
      <c r="K115" s="2">
        <v>1293.4000000000001</v>
      </c>
      <c r="L115" s="2">
        <v>0</v>
      </c>
      <c r="M115" s="2">
        <v>683.24</v>
      </c>
      <c r="N115" s="89">
        <v>1426.8</v>
      </c>
      <c r="O115" s="89">
        <v>463.99999999999994</v>
      </c>
      <c r="P115" s="89">
        <v>1508</v>
      </c>
      <c r="Q115" s="54">
        <f t="shared" si="8"/>
        <v>5375.4400000000005</v>
      </c>
      <c r="R115" s="89">
        <v>8932</v>
      </c>
      <c r="S115" s="92">
        <f t="shared" si="12"/>
        <v>5</v>
      </c>
      <c r="T115" s="59">
        <f t="shared" si="9"/>
        <v>-3556.5599999999995</v>
      </c>
      <c r="U115" s="60">
        <f t="shared" si="10"/>
        <v>1.661631419939577</v>
      </c>
      <c r="V115" s="59" t="str">
        <f t="array" ref="V115">_xlfn.IFS(S115=0,"Alta sin facturar",S115&gt;2,"Cliente",S115&gt;0,"Cliente nuevo")</f>
        <v>Cliente</v>
      </c>
      <c r="W115" s="59" t="str">
        <f t="shared" si="13"/>
        <v>Sin pago</v>
      </c>
      <c r="X115" s="3"/>
      <c r="Y115" s="3"/>
      <c r="Z115" s="3"/>
      <c r="AA115" s="3"/>
      <c r="AB115" s="3"/>
      <c r="AC115" s="3"/>
      <c r="AD115" s="3"/>
      <c r="AE115" s="3"/>
      <c r="AG115"/>
      <c r="AH115"/>
      <c r="AI115"/>
      <c r="AJ115"/>
      <c r="AK115"/>
      <c r="AL115"/>
      <c r="AM115"/>
      <c r="AN115"/>
    </row>
    <row r="116" spans="1:44" x14ac:dyDescent="0.25">
      <c r="A116" s="6">
        <v>44588</v>
      </c>
      <c r="B116" t="str">
        <f t="shared" si="7"/>
        <v>Enero</v>
      </c>
      <c r="C116" s="1" t="s">
        <v>39</v>
      </c>
      <c r="D116" s="58" t="str">
        <f>VLOOKUP(Datos!$C116,$AQ$2:$AR$41,2,0)</f>
        <v>Sur</v>
      </c>
      <c r="E116" s="1">
        <v>23194</v>
      </c>
      <c r="F116" s="1" t="str">
        <f t="array" ref="F116">_xlfn.IFS(H116=0,"Alta sin facturar",H116&gt;2,"Cliente",H116&gt;0,"Cliente nuevo")</f>
        <v>Cliente nuevo</v>
      </c>
      <c r="G116" s="1"/>
      <c r="H116" s="1">
        <f t="shared" si="11"/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89">
        <v>3809.44</v>
      </c>
      <c r="O116" s="89">
        <v>0</v>
      </c>
      <c r="P116" s="89">
        <v>0</v>
      </c>
      <c r="Q116" s="54">
        <f t="shared" si="8"/>
        <v>3809.44</v>
      </c>
      <c r="R116" s="89">
        <v>9019</v>
      </c>
      <c r="S116" s="92">
        <f t="shared" si="12"/>
        <v>1</v>
      </c>
      <c r="T116" s="59">
        <f t="shared" si="9"/>
        <v>-5209.5599999999995</v>
      </c>
      <c r="U116" s="60">
        <f t="shared" si="10"/>
        <v>2.367539585870889</v>
      </c>
      <c r="V116" s="59" t="str">
        <f t="array" ref="V116">_xlfn.IFS(S116=0,"Alta sin facturar",S116&gt;2,"Cliente",S116&gt;0,"Cliente nuevo")</f>
        <v>Cliente nuevo</v>
      </c>
      <c r="W116" s="59" t="str">
        <f t="shared" si="13"/>
        <v>Sin pago</v>
      </c>
      <c r="X116" s="3"/>
      <c r="Y116" s="3"/>
      <c r="Z116" s="3"/>
      <c r="AA116" s="3"/>
      <c r="AB116" s="3"/>
      <c r="AC116" s="3"/>
      <c r="AD116" s="3"/>
      <c r="AE116" s="3"/>
      <c r="AG116"/>
      <c r="AH116"/>
      <c r="AI116"/>
      <c r="AJ116"/>
      <c r="AK116"/>
      <c r="AL116"/>
      <c r="AM116"/>
      <c r="AN116"/>
    </row>
    <row r="117" spans="1:44" x14ac:dyDescent="0.25">
      <c r="A117" s="6">
        <v>44588</v>
      </c>
      <c r="B117" t="str">
        <f t="shared" si="7"/>
        <v>Enero</v>
      </c>
      <c r="C117" s="1" t="s">
        <v>63</v>
      </c>
      <c r="D117" s="58" t="str">
        <f>VLOOKUP(Datos!$C117,$AQ$2:$AR$41,2,0)</f>
        <v>Centro</v>
      </c>
      <c r="E117" s="1">
        <v>23195</v>
      </c>
      <c r="F117" s="1" t="str">
        <f t="array" ref="F117">_xlfn.IFS(H117=0,"Alta sin facturar",H117&gt;2,"Cliente",H117&gt;0,"Cliente nuevo")</f>
        <v>Cliente</v>
      </c>
      <c r="G117" s="1"/>
      <c r="H117" s="1">
        <f t="shared" si="11"/>
        <v>3</v>
      </c>
      <c r="I117" s="2">
        <v>0</v>
      </c>
      <c r="J117" s="2">
        <v>0</v>
      </c>
      <c r="K117" s="2">
        <v>352.64</v>
      </c>
      <c r="L117" s="2">
        <v>266.79999999999995</v>
      </c>
      <c r="M117" s="2">
        <v>907.11999999999989</v>
      </c>
      <c r="N117" s="89">
        <v>0</v>
      </c>
      <c r="O117" s="89">
        <v>0</v>
      </c>
      <c r="P117" s="89">
        <v>0</v>
      </c>
      <c r="Q117" s="54">
        <f t="shared" si="8"/>
        <v>1526.56</v>
      </c>
      <c r="R117" s="89">
        <v>0</v>
      </c>
      <c r="S117" s="92">
        <f t="shared" si="12"/>
        <v>3</v>
      </c>
      <c r="T117" s="59">
        <f t="shared" si="9"/>
        <v>1526.56</v>
      </c>
      <c r="U117" s="60">
        <f t="shared" si="10"/>
        <v>0</v>
      </c>
      <c r="V117" s="59" t="str">
        <f t="array" ref="V117">_xlfn.IFS(S117=0,"Alta sin facturar",S117&gt;2,"Cliente",S117&gt;0,"Cliente nuevo")</f>
        <v>Cliente</v>
      </c>
      <c r="W117" s="59" t="str">
        <f t="shared" si="13"/>
        <v>Ha pagado</v>
      </c>
      <c r="X117" s="3"/>
      <c r="Y117" s="3"/>
      <c r="Z117" s="3"/>
      <c r="AA117" s="3"/>
      <c r="AB117" s="3"/>
      <c r="AC117" s="3"/>
      <c r="AD117" s="3"/>
      <c r="AE117" s="3"/>
      <c r="AG117"/>
      <c r="AH117"/>
      <c r="AI117"/>
      <c r="AJ117"/>
      <c r="AK117"/>
      <c r="AL117"/>
      <c r="AM117"/>
      <c r="AN117"/>
    </row>
    <row r="118" spans="1:44" x14ac:dyDescent="0.25">
      <c r="A118" s="6">
        <v>44588</v>
      </c>
      <c r="B118" t="str">
        <f t="shared" si="7"/>
        <v>Enero</v>
      </c>
      <c r="C118" s="1" t="s">
        <v>39</v>
      </c>
      <c r="D118" s="58" t="str">
        <f>VLOOKUP(Datos!$C118,$AQ$2:$AR$41,2,0)</f>
        <v>Sur</v>
      </c>
      <c r="E118" s="1">
        <v>23196</v>
      </c>
      <c r="F118" s="1" t="str">
        <f t="array" ref="F118">_xlfn.IFS(H118=0,"Alta sin facturar",H118&gt;2,"Cliente",H118&gt;0,"Cliente nuevo")</f>
        <v>Cliente nuevo</v>
      </c>
      <c r="G118" s="1"/>
      <c r="H118" s="1">
        <f t="shared" si="11"/>
        <v>2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89">
        <v>777.19999999999993</v>
      </c>
      <c r="O118" s="89">
        <v>0</v>
      </c>
      <c r="P118" s="89">
        <v>2759.64</v>
      </c>
      <c r="Q118" s="54">
        <f t="shared" si="8"/>
        <v>3536.8399999999997</v>
      </c>
      <c r="R118" s="89">
        <v>0</v>
      </c>
      <c r="S118" s="92">
        <f t="shared" si="12"/>
        <v>2</v>
      </c>
      <c r="T118" s="59">
        <f t="shared" si="9"/>
        <v>3536.8399999999997</v>
      </c>
      <c r="U118" s="60">
        <f t="shared" si="10"/>
        <v>0</v>
      </c>
      <c r="V118" s="59" t="str">
        <f t="array" ref="V118">_xlfn.IFS(S118=0,"Alta sin facturar",S118&gt;2,"Cliente",S118&gt;0,"Cliente nuevo")</f>
        <v>Cliente nuevo</v>
      </c>
      <c r="W118" s="59" t="str">
        <f t="shared" si="13"/>
        <v>Ha pagado</v>
      </c>
      <c r="X118" s="3"/>
      <c r="Y118" s="3"/>
      <c r="Z118" s="3"/>
      <c r="AA118" s="3"/>
      <c r="AB118" s="3"/>
      <c r="AC118" s="3"/>
      <c r="AD118" s="3"/>
      <c r="AE118" s="3"/>
      <c r="AG118"/>
      <c r="AH118"/>
      <c r="AI118"/>
      <c r="AJ118"/>
      <c r="AK118"/>
      <c r="AL118"/>
      <c r="AM118"/>
      <c r="AN118"/>
      <c r="AQ118"/>
      <c r="AR118"/>
    </row>
    <row r="119" spans="1:44" x14ac:dyDescent="0.25">
      <c r="A119" s="6">
        <v>44588</v>
      </c>
      <c r="B119" t="str">
        <f t="shared" si="7"/>
        <v>Enero</v>
      </c>
      <c r="C119" s="1" t="s">
        <v>66</v>
      </c>
      <c r="D119" s="58" t="str">
        <f>VLOOKUP(Datos!$C119,$AQ$2:$AR$41,2,0)</f>
        <v>Sur</v>
      </c>
      <c r="E119" s="1">
        <v>23197</v>
      </c>
      <c r="F119" s="1" t="str">
        <f t="array" ref="F119">_xlfn.IFS(H119=0,"Alta sin facturar",H119&gt;2,"Cliente",H119&gt;0,"Cliente nuevo")</f>
        <v>Cliente nuevo</v>
      </c>
      <c r="G119" s="1"/>
      <c r="H119" s="1">
        <f t="shared" si="11"/>
        <v>2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89">
        <v>6261.68</v>
      </c>
      <c r="O119" s="89">
        <v>0</v>
      </c>
      <c r="P119" s="89">
        <v>6124.8</v>
      </c>
      <c r="Q119" s="54">
        <f t="shared" si="8"/>
        <v>12386.48</v>
      </c>
      <c r="R119" s="89">
        <v>3652.84</v>
      </c>
      <c r="S119" s="92">
        <f t="shared" si="12"/>
        <v>2</v>
      </c>
      <c r="T119" s="59">
        <f t="shared" si="9"/>
        <v>8733.64</v>
      </c>
      <c r="U119" s="60">
        <f t="shared" si="10"/>
        <v>0.29490541299868894</v>
      </c>
      <c r="V119" s="59" t="str">
        <f t="array" ref="V119">_xlfn.IFS(S119=0,"Alta sin facturar",S119&gt;2,"Cliente",S119&gt;0,"Cliente nuevo")</f>
        <v>Cliente nuevo</v>
      </c>
      <c r="W119" s="59" t="str">
        <f t="shared" si="13"/>
        <v>Ha pagado</v>
      </c>
      <c r="X119" s="3"/>
      <c r="Y119" s="3"/>
      <c r="Z119" s="3"/>
      <c r="AA119" s="3"/>
      <c r="AB119" s="3"/>
      <c r="AC119" s="3"/>
      <c r="AD119" s="3"/>
      <c r="AE119" s="3"/>
      <c r="AG119"/>
      <c r="AH119"/>
      <c r="AI119"/>
      <c r="AJ119"/>
      <c r="AK119"/>
      <c r="AL119"/>
      <c r="AM119"/>
      <c r="AN119"/>
      <c r="AQ119"/>
      <c r="AR119"/>
    </row>
    <row r="120" spans="1:44" x14ac:dyDescent="0.25">
      <c r="A120" s="6">
        <v>44588</v>
      </c>
      <c r="B120" t="str">
        <f t="shared" si="7"/>
        <v>Enero</v>
      </c>
      <c r="C120" s="1" t="s">
        <v>76</v>
      </c>
      <c r="D120" s="58" t="str">
        <f>VLOOKUP(Datos!$C120,$AQ$2:$AR$41,2,0)</f>
        <v>Sur</v>
      </c>
      <c r="E120" s="1">
        <v>23198</v>
      </c>
      <c r="F120" s="1" t="str">
        <f t="array" ref="F120">_xlfn.IFS(H120=0,"Alta sin facturar",H120&gt;2,"Cliente",H120&gt;0,"Cliente nuevo")</f>
        <v>Cliente nuevo</v>
      </c>
      <c r="G120" s="1"/>
      <c r="H120" s="1">
        <f t="shared" si="11"/>
        <v>2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89">
        <v>2291</v>
      </c>
      <c r="O120" s="89">
        <v>0</v>
      </c>
      <c r="P120" s="89">
        <v>1496.4</v>
      </c>
      <c r="Q120" s="54">
        <f t="shared" si="8"/>
        <v>3787.4</v>
      </c>
      <c r="R120" s="89">
        <v>0</v>
      </c>
      <c r="S120" s="92">
        <f t="shared" si="12"/>
        <v>2</v>
      </c>
      <c r="T120" s="59">
        <f t="shared" si="9"/>
        <v>3787.4</v>
      </c>
      <c r="U120" s="60">
        <f t="shared" si="10"/>
        <v>0</v>
      </c>
      <c r="V120" s="59" t="str">
        <f t="array" ref="V120">_xlfn.IFS(S120=0,"Alta sin facturar",S120&gt;2,"Cliente",S120&gt;0,"Cliente nuevo")</f>
        <v>Cliente nuevo</v>
      </c>
      <c r="W120" s="59" t="str">
        <f t="shared" si="13"/>
        <v>Ha pagado</v>
      </c>
      <c r="X120" s="3"/>
      <c r="Y120" s="3"/>
      <c r="Z120" s="3"/>
      <c r="AA120" s="3"/>
      <c r="AB120" s="3"/>
      <c r="AC120" s="3"/>
      <c r="AD120" s="3"/>
      <c r="AE120" s="3"/>
      <c r="AG120"/>
      <c r="AH120"/>
      <c r="AI120"/>
      <c r="AJ120"/>
      <c r="AK120"/>
      <c r="AL120"/>
      <c r="AM120"/>
      <c r="AN120"/>
      <c r="AQ120"/>
      <c r="AR120"/>
    </row>
    <row r="121" spans="1:44" x14ac:dyDescent="0.25">
      <c r="A121" s="6">
        <v>44588</v>
      </c>
      <c r="B121" t="str">
        <f t="shared" si="7"/>
        <v>Enero</v>
      </c>
      <c r="C121" s="1" t="s">
        <v>89</v>
      </c>
      <c r="D121" s="58" t="str">
        <f>VLOOKUP(Datos!$C121,$AQ$2:$AR$41,2,0)</f>
        <v>Centro</v>
      </c>
      <c r="E121" s="1">
        <v>23199</v>
      </c>
      <c r="F121" s="1" t="str">
        <f t="array" ref="F121">_xlfn.IFS(H121=0,"Alta sin facturar",H121&gt;2,"Cliente",H121&gt;0,"Cliente nuevo")</f>
        <v>Alta sin facturar</v>
      </c>
      <c r="G121" s="1"/>
      <c r="H121" s="1">
        <f t="shared" si="11"/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89">
        <v>0</v>
      </c>
      <c r="O121" s="89">
        <v>0</v>
      </c>
      <c r="P121" s="89">
        <v>0</v>
      </c>
      <c r="Q121" s="54">
        <f t="shared" si="8"/>
        <v>0</v>
      </c>
      <c r="R121" s="89"/>
      <c r="S121" s="92">
        <f t="shared" si="12"/>
        <v>0</v>
      </c>
      <c r="T121" s="59">
        <f t="shared" si="9"/>
        <v>0</v>
      </c>
      <c r="U121" s="60">
        <f t="shared" si="10"/>
        <v>0</v>
      </c>
      <c r="V121" s="59" t="str">
        <f t="array" ref="V121">_xlfn.IFS(S121=0,"Alta sin facturar",S121&gt;2,"Cliente",S121&gt;0,"Cliente nuevo")</f>
        <v>Alta sin facturar</v>
      </c>
      <c r="W121" s="59" t="str">
        <f t="shared" si="13"/>
        <v>Sin pago</v>
      </c>
      <c r="X121" s="3"/>
      <c r="Y121" s="3"/>
      <c r="Z121" s="3"/>
      <c r="AA121" s="3"/>
      <c r="AB121" s="3"/>
      <c r="AC121" s="3"/>
      <c r="AD121" s="3"/>
      <c r="AE121" s="3"/>
      <c r="AG121"/>
      <c r="AH121"/>
      <c r="AI121"/>
      <c r="AJ121"/>
      <c r="AK121"/>
      <c r="AL121"/>
      <c r="AM121"/>
      <c r="AN121"/>
      <c r="AQ121"/>
      <c r="AR121"/>
    </row>
    <row r="122" spans="1:44" x14ac:dyDescent="0.25">
      <c r="A122" s="6">
        <v>44589</v>
      </c>
      <c r="B122" t="str">
        <f t="shared" si="7"/>
        <v>Enero</v>
      </c>
      <c r="C122" s="1" t="s">
        <v>34</v>
      </c>
      <c r="D122" s="58" t="str">
        <f>VLOOKUP(Datos!$C122,$AQ$2:$AR$41,2,0)</f>
        <v>Norte</v>
      </c>
      <c r="E122" s="1">
        <v>23200</v>
      </c>
      <c r="F122" s="1" t="str">
        <f t="array" ref="F122">_xlfn.IFS(H122=0,"Alta sin facturar",H122&gt;2,"Cliente",H122&gt;0,"Cliente nuevo")</f>
        <v>Alta sin facturar</v>
      </c>
      <c r="G122" s="1"/>
      <c r="H122" s="1">
        <f t="shared" si="11"/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89">
        <v>0</v>
      </c>
      <c r="O122" s="89">
        <v>0</v>
      </c>
      <c r="P122" s="89">
        <v>0</v>
      </c>
      <c r="Q122" s="54">
        <f t="shared" si="8"/>
        <v>0</v>
      </c>
      <c r="R122" s="89">
        <v>0</v>
      </c>
      <c r="S122" s="92">
        <f t="shared" si="12"/>
        <v>0</v>
      </c>
      <c r="T122" s="59">
        <f t="shared" si="9"/>
        <v>0</v>
      </c>
      <c r="U122" s="60">
        <f t="shared" si="10"/>
        <v>0</v>
      </c>
      <c r="V122" s="59" t="str">
        <f t="array" ref="V122">_xlfn.IFS(S122=0,"Alta sin facturar",S122&gt;2,"Cliente",S122&gt;0,"Cliente nuevo")</f>
        <v>Alta sin facturar</v>
      </c>
      <c r="W122" s="59" t="str">
        <f t="shared" si="13"/>
        <v>Sin pago</v>
      </c>
      <c r="X122" s="3"/>
      <c r="Y122" s="3"/>
      <c r="Z122" s="3"/>
      <c r="AA122" s="3"/>
      <c r="AB122" s="3"/>
      <c r="AC122" s="3"/>
      <c r="AD122" s="3"/>
      <c r="AE122" s="3"/>
      <c r="AG122"/>
      <c r="AH122"/>
      <c r="AI122"/>
      <c r="AJ122"/>
      <c r="AK122"/>
      <c r="AL122"/>
      <c r="AM122"/>
      <c r="AN122"/>
    </row>
    <row r="123" spans="1:44" x14ac:dyDescent="0.25">
      <c r="A123" s="6">
        <v>44589</v>
      </c>
      <c r="B123" t="str">
        <f t="shared" si="7"/>
        <v>Enero</v>
      </c>
      <c r="C123" s="1" t="s">
        <v>62</v>
      </c>
      <c r="D123" s="58" t="str">
        <f>VLOOKUP(Datos!$C123,$AQ$2:$AR$41,2,0)</f>
        <v>Norte</v>
      </c>
      <c r="E123" s="1">
        <v>23201</v>
      </c>
      <c r="F123" s="1" t="str">
        <f t="array" ref="F123">_xlfn.IFS(H123=0,"Alta sin facturar",H123&gt;2,"Cliente",H123&gt;0,"Cliente nuevo")</f>
        <v>Cliente</v>
      </c>
      <c r="G123" s="1"/>
      <c r="H123" s="1">
        <f t="shared" si="11"/>
        <v>5</v>
      </c>
      <c r="I123" s="2">
        <v>0</v>
      </c>
      <c r="J123" s="2">
        <v>203</v>
      </c>
      <c r="K123" s="2">
        <v>2290.9999999999995</v>
      </c>
      <c r="L123" s="2">
        <v>1237.7199999999998</v>
      </c>
      <c r="M123" s="2">
        <v>527.79999999999995</v>
      </c>
      <c r="N123" s="89">
        <v>213.44</v>
      </c>
      <c r="O123" s="89">
        <v>0</v>
      </c>
      <c r="P123" s="89">
        <v>0</v>
      </c>
      <c r="Q123" s="54">
        <f t="shared" si="8"/>
        <v>4472.9599999999991</v>
      </c>
      <c r="R123" s="89">
        <v>1978.96</v>
      </c>
      <c r="S123" s="92">
        <f t="shared" si="12"/>
        <v>5</v>
      </c>
      <c r="T123" s="59">
        <f t="shared" si="9"/>
        <v>2493.9999999999991</v>
      </c>
      <c r="U123" s="60">
        <f t="shared" si="10"/>
        <v>0.44242738589211628</v>
      </c>
      <c r="V123" s="59" t="str">
        <f t="array" ref="V123">_xlfn.IFS(S123=0,"Alta sin facturar",S123&gt;2,"Cliente",S123&gt;0,"Cliente nuevo")</f>
        <v>Cliente</v>
      </c>
      <c r="W123" s="59" t="str">
        <f t="shared" si="13"/>
        <v>Ha pagado</v>
      </c>
      <c r="X123" s="3"/>
      <c r="Y123" s="3"/>
      <c r="Z123" s="3"/>
      <c r="AA123" s="3"/>
      <c r="AB123" s="3"/>
      <c r="AC123" s="3"/>
      <c r="AD123" s="3"/>
      <c r="AE123" s="3"/>
      <c r="AG123"/>
      <c r="AH123"/>
      <c r="AI123"/>
      <c r="AJ123"/>
      <c r="AK123"/>
      <c r="AL123"/>
      <c r="AM123"/>
      <c r="AN123"/>
    </row>
    <row r="124" spans="1:44" x14ac:dyDescent="0.25">
      <c r="A124" s="6">
        <v>44590</v>
      </c>
      <c r="B124" t="str">
        <f t="shared" si="7"/>
        <v>Enero</v>
      </c>
      <c r="C124" s="1" t="s">
        <v>97</v>
      </c>
      <c r="D124" s="58" t="str">
        <f>VLOOKUP(Datos!$C124,$AQ$2:$AR$41,2,0)</f>
        <v>Centro</v>
      </c>
      <c r="E124" s="1">
        <v>23202</v>
      </c>
      <c r="F124" s="1" t="str">
        <f t="array" ref="F124">_xlfn.IFS(H124=0,"Alta sin facturar",H124&gt;2,"Cliente",H124&gt;0,"Cliente nuevo")</f>
        <v>Cliente nuevo</v>
      </c>
      <c r="G124" s="1"/>
      <c r="H124" s="1">
        <f t="shared" si="11"/>
        <v>2</v>
      </c>
      <c r="I124" s="2">
        <v>0</v>
      </c>
      <c r="J124" s="2">
        <v>0</v>
      </c>
      <c r="K124" s="2">
        <v>0</v>
      </c>
      <c r="L124" s="2">
        <v>481.4</v>
      </c>
      <c r="M124" s="2">
        <v>388.59999999999997</v>
      </c>
      <c r="N124" s="89">
        <v>0</v>
      </c>
      <c r="O124" s="89">
        <v>0</v>
      </c>
      <c r="P124" s="89">
        <v>0</v>
      </c>
      <c r="Q124" s="54">
        <f t="shared" si="8"/>
        <v>870</v>
      </c>
      <c r="R124" s="89">
        <v>0</v>
      </c>
      <c r="S124" s="92">
        <f t="shared" si="12"/>
        <v>2</v>
      </c>
      <c r="T124" s="59">
        <f t="shared" si="9"/>
        <v>870</v>
      </c>
      <c r="U124" s="60">
        <f t="shared" si="10"/>
        <v>0</v>
      </c>
      <c r="V124" s="59" t="str">
        <f t="array" ref="V124">_xlfn.IFS(S124=0,"Alta sin facturar",S124&gt;2,"Cliente",S124&gt;0,"Cliente nuevo")</f>
        <v>Cliente nuevo</v>
      </c>
      <c r="W124" s="59" t="str">
        <f t="shared" si="13"/>
        <v>Ha pagado</v>
      </c>
      <c r="X124" s="3"/>
      <c r="Y124" s="3"/>
      <c r="Z124" s="3"/>
      <c r="AA124" s="3"/>
      <c r="AB124" s="3"/>
      <c r="AC124" s="3"/>
      <c r="AD124" s="3"/>
      <c r="AE124" s="3"/>
      <c r="AG124"/>
      <c r="AH124"/>
      <c r="AI124"/>
      <c r="AJ124"/>
      <c r="AK124"/>
      <c r="AL124"/>
      <c r="AM124"/>
      <c r="AN124"/>
    </row>
    <row r="125" spans="1:44" x14ac:dyDescent="0.25">
      <c r="A125" s="6">
        <v>44590</v>
      </c>
      <c r="B125" t="str">
        <f t="shared" si="7"/>
        <v>Enero</v>
      </c>
      <c r="C125" s="1" t="s">
        <v>97</v>
      </c>
      <c r="D125" s="58" t="str">
        <f>VLOOKUP(Datos!$C125,$AQ$2:$AR$41,2,0)</f>
        <v>Centro</v>
      </c>
      <c r="E125" s="1">
        <v>23203</v>
      </c>
      <c r="F125" s="1" t="str">
        <f t="array" ref="F125">_xlfn.IFS(H125=0,"Alta sin facturar",H125&gt;2,"Cliente",H125&gt;0,"Cliente nuevo")</f>
        <v>Cliente</v>
      </c>
      <c r="G125" s="1"/>
      <c r="H125" s="1">
        <f t="shared" si="11"/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89">
        <v>1624</v>
      </c>
      <c r="O125" s="89">
        <v>522</v>
      </c>
      <c r="P125" s="89">
        <v>870</v>
      </c>
      <c r="Q125" s="54">
        <f t="shared" si="8"/>
        <v>3016</v>
      </c>
      <c r="R125" s="89">
        <v>1972</v>
      </c>
      <c r="S125" s="92">
        <f t="shared" si="12"/>
        <v>3</v>
      </c>
      <c r="T125" s="59">
        <f t="shared" si="9"/>
        <v>1044</v>
      </c>
      <c r="U125" s="60">
        <f t="shared" si="10"/>
        <v>0.65384615384615385</v>
      </c>
      <c r="V125" s="59" t="str">
        <f t="array" ref="V125">_xlfn.IFS(S125=0,"Alta sin facturar",S125&gt;2,"Cliente",S125&gt;0,"Cliente nuevo")</f>
        <v>Cliente</v>
      </c>
      <c r="W125" s="59" t="str">
        <f t="shared" si="13"/>
        <v>Ha pagado</v>
      </c>
      <c r="X125" s="3"/>
      <c r="Y125" s="3"/>
      <c r="Z125" s="3"/>
      <c r="AA125" s="3"/>
      <c r="AB125" s="3"/>
      <c r="AC125" s="3"/>
      <c r="AD125" s="3"/>
      <c r="AE125" s="3"/>
      <c r="AG125"/>
      <c r="AH125"/>
      <c r="AI125"/>
      <c r="AJ125"/>
      <c r="AK125"/>
      <c r="AL125"/>
      <c r="AM125"/>
      <c r="AN125"/>
    </row>
    <row r="126" spans="1:44" x14ac:dyDescent="0.25">
      <c r="A126" s="6">
        <v>44592</v>
      </c>
      <c r="B126" t="str">
        <f t="shared" si="7"/>
        <v>Enero</v>
      </c>
      <c r="C126" s="1" t="s">
        <v>101</v>
      </c>
      <c r="D126" s="58" t="e">
        <f>VLOOKUP(Datos!$C126,$AQ$2:$AR$41,2,0)</f>
        <v>#N/A</v>
      </c>
      <c r="E126" s="1">
        <v>23204</v>
      </c>
      <c r="F126" s="1" t="str">
        <f t="array" ref="F126">_xlfn.IFS(H126=0,"Alta sin facturar",H126&gt;2,"Cliente",H126&gt;0,"Cliente nuevo")</f>
        <v>Alta sin facturar</v>
      </c>
      <c r="G126" s="1"/>
      <c r="H126" s="1">
        <f t="shared" si="11"/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89">
        <v>0</v>
      </c>
      <c r="O126" s="89">
        <v>0</v>
      </c>
      <c r="P126" s="89">
        <v>0</v>
      </c>
      <c r="Q126" s="54">
        <f t="shared" si="8"/>
        <v>0</v>
      </c>
      <c r="R126" s="89"/>
      <c r="S126" s="92">
        <f t="shared" si="12"/>
        <v>0</v>
      </c>
      <c r="T126" s="59">
        <f t="shared" si="9"/>
        <v>0</v>
      </c>
      <c r="U126" s="60">
        <f t="shared" si="10"/>
        <v>0</v>
      </c>
      <c r="V126" s="59" t="str">
        <f t="array" ref="V126">_xlfn.IFS(S126=0,"Alta sin facturar",S126&gt;2,"Cliente",S126&gt;0,"Cliente nuevo")</f>
        <v>Alta sin facturar</v>
      </c>
      <c r="W126" s="59" t="str">
        <f t="shared" si="13"/>
        <v>Sin pago</v>
      </c>
      <c r="X126" s="3"/>
      <c r="Y126" s="3"/>
      <c r="Z126" s="3"/>
      <c r="AA126" s="3"/>
      <c r="AB126" s="3"/>
      <c r="AC126" s="3"/>
      <c r="AD126" s="3"/>
      <c r="AE126" s="3"/>
      <c r="AG126"/>
      <c r="AH126"/>
      <c r="AI126"/>
      <c r="AJ126"/>
      <c r="AK126"/>
      <c r="AL126"/>
      <c r="AM126"/>
      <c r="AN126"/>
    </row>
    <row r="127" spans="1:44" x14ac:dyDescent="0.25">
      <c r="A127" s="6">
        <v>44592</v>
      </c>
      <c r="B127" t="str">
        <f t="shared" si="7"/>
        <v>Enero</v>
      </c>
      <c r="C127" s="1" t="s">
        <v>37</v>
      </c>
      <c r="D127" s="58" t="str">
        <f>VLOOKUP(Datos!$C127,$AQ$2:$AR$41,2,0)</f>
        <v>Norte</v>
      </c>
      <c r="E127" s="1">
        <v>23205</v>
      </c>
      <c r="F127" s="1" t="str">
        <f t="array" ref="F127">_xlfn.IFS(H127=0,"Alta sin facturar",H127&gt;2,"Cliente",H127&gt;0,"Cliente nuevo")</f>
        <v>Alta sin facturar</v>
      </c>
      <c r="G127" s="1"/>
      <c r="H127" s="1">
        <f t="shared" si="11"/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89">
        <v>0</v>
      </c>
      <c r="O127" s="89">
        <v>0</v>
      </c>
      <c r="P127" s="89">
        <v>0</v>
      </c>
      <c r="Q127" s="54">
        <f t="shared" si="8"/>
        <v>0</v>
      </c>
      <c r="R127" s="89"/>
      <c r="S127" s="92">
        <f t="shared" si="12"/>
        <v>0</v>
      </c>
      <c r="T127" s="59">
        <f t="shared" si="9"/>
        <v>0</v>
      </c>
      <c r="U127" s="60">
        <f t="shared" si="10"/>
        <v>0</v>
      </c>
      <c r="V127" s="59" t="str">
        <f t="array" ref="V127">_xlfn.IFS(S127=0,"Alta sin facturar",S127&gt;2,"Cliente",S127&gt;0,"Cliente nuevo")</f>
        <v>Alta sin facturar</v>
      </c>
      <c r="W127" s="59" t="str">
        <f t="shared" si="13"/>
        <v>Sin pago</v>
      </c>
      <c r="X127" s="3"/>
      <c r="Y127" s="3"/>
      <c r="Z127" s="3"/>
      <c r="AA127" s="3"/>
      <c r="AB127" s="3"/>
      <c r="AC127" s="3"/>
      <c r="AD127" s="3"/>
      <c r="AE127" s="3"/>
      <c r="AG127"/>
      <c r="AH127"/>
      <c r="AI127"/>
      <c r="AJ127"/>
      <c r="AK127"/>
      <c r="AL127"/>
      <c r="AM127"/>
      <c r="AN127"/>
    </row>
    <row r="128" spans="1:44" x14ac:dyDescent="0.25">
      <c r="A128" s="6">
        <v>44592</v>
      </c>
      <c r="B128" t="str">
        <f t="shared" si="7"/>
        <v>Enero</v>
      </c>
      <c r="C128" s="1" t="s">
        <v>41</v>
      </c>
      <c r="D128" s="58" t="str">
        <f>VLOOKUP(Datos!$C128,$AQ$2:$AR$41,2,0)</f>
        <v>Centro</v>
      </c>
      <c r="E128" s="1">
        <v>23206</v>
      </c>
      <c r="F128" s="1" t="str">
        <f t="array" ref="F128">_xlfn.IFS(H128=0,"Alta sin facturar",H128&gt;2,"Cliente",H128&gt;0,"Cliente nuevo")</f>
        <v>Cliente</v>
      </c>
      <c r="G128" s="1"/>
      <c r="H128" s="1">
        <f t="shared" si="11"/>
        <v>7</v>
      </c>
      <c r="I128" s="2">
        <v>0</v>
      </c>
      <c r="J128" s="2">
        <v>1862.9599999999996</v>
      </c>
      <c r="K128" s="2">
        <v>2056.6799999999998</v>
      </c>
      <c r="L128" s="2">
        <v>1484.8</v>
      </c>
      <c r="M128" s="2">
        <v>1291.08</v>
      </c>
      <c r="N128" s="89">
        <v>2115.8399999999997</v>
      </c>
      <c r="O128" s="89">
        <v>1930.2399999999998</v>
      </c>
      <c r="P128" s="89">
        <v>2259.6799999999994</v>
      </c>
      <c r="Q128" s="54">
        <f t="shared" si="8"/>
        <v>13001.279999999999</v>
      </c>
      <c r="R128" s="89">
        <v>116</v>
      </c>
      <c r="S128" s="92">
        <f t="shared" si="12"/>
        <v>7</v>
      </c>
      <c r="T128" s="59">
        <f t="shared" si="9"/>
        <v>12885.279999999999</v>
      </c>
      <c r="U128" s="60">
        <f t="shared" si="10"/>
        <v>8.9221984296930772E-3</v>
      </c>
      <c r="V128" s="59" t="str">
        <f t="array" ref="V128">_xlfn.IFS(S128=0,"Alta sin facturar",S128&gt;2,"Cliente",S128&gt;0,"Cliente nuevo")</f>
        <v>Cliente</v>
      </c>
      <c r="W128" s="59" t="str">
        <f t="shared" si="13"/>
        <v>Ha pagado</v>
      </c>
      <c r="X128" s="3"/>
      <c r="Y128" s="3"/>
      <c r="Z128" s="3"/>
      <c r="AA128" s="3"/>
      <c r="AB128" s="3"/>
      <c r="AC128" s="3"/>
      <c r="AD128" s="3"/>
      <c r="AE128" s="3"/>
      <c r="AG128"/>
      <c r="AH128"/>
      <c r="AI128"/>
      <c r="AJ128"/>
      <c r="AK128"/>
      <c r="AL128"/>
      <c r="AM128"/>
      <c r="AN128"/>
    </row>
    <row r="129" spans="1:40" x14ac:dyDescent="0.25">
      <c r="A129" s="6">
        <v>44592</v>
      </c>
      <c r="B129" t="str">
        <f t="shared" si="7"/>
        <v>Enero</v>
      </c>
      <c r="C129" s="1" t="s">
        <v>41</v>
      </c>
      <c r="D129" s="58" t="str">
        <f>VLOOKUP(Datos!$C129,$AQ$2:$AR$41,2,0)</f>
        <v>Centro</v>
      </c>
      <c r="E129" s="1">
        <v>23207</v>
      </c>
      <c r="F129" s="1" t="str">
        <f t="array" ref="F129">_xlfn.IFS(H129=0,"Alta sin facturar",H129&gt;2,"Cliente",H129&gt;0,"Cliente nuevo")</f>
        <v>Alta sin facturar</v>
      </c>
      <c r="G129" s="1"/>
      <c r="H129" s="1">
        <f t="shared" si="11"/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89">
        <v>0</v>
      </c>
      <c r="O129" s="89">
        <v>0</v>
      </c>
      <c r="P129" s="89">
        <v>0</v>
      </c>
      <c r="Q129" s="54">
        <f t="shared" si="8"/>
        <v>0</v>
      </c>
      <c r="R129" s="89"/>
      <c r="S129" s="92">
        <f t="shared" si="12"/>
        <v>0</v>
      </c>
      <c r="T129" s="59">
        <f t="shared" si="9"/>
        <v>0</v>
      </c>
      <c r="U129" s="60">
        <f t="shared" si="10"/>
        <v>0</v>
      </c>
      <c r="V129" s="59" t="str">
        <f t="array" ref="V129">_xlfn.IFS(S129=0,"Alta sin facturar",S129&gt;2,"Cliente",S129&gt;0,"Cliente nuevo")</f>
        <v>Alta sin facturar</v>
      </c>
      <c r="W129" s="59" t="str">
        <f t="shared" si="13"/>
        <v>Sin pago</v>
      </c>
      <c r="X129" s="3"/>
      <c r="Y129" s="3"/>
      <c r="Z129" s="3"/>
      <c r="AA129" s="3"/>
      <c r="AB129" s="3"/>
      <c r="AC129" s="3"/>
      <c r="AD129" s="3"/>
      <c r="AE129" s="3"/>
      <c r="AG129"/>
      <c r="AH129"/>
      <c r="AI129"/>
      <c r="AJ129"/>
      <c r="AK129"/>
      <c r="AL129"/>
      <c r="AM129"/>
      <c r="AN129"/>
    </row>
    <row r="130" spans="1:40" x14ac:dyDescent="0.25">
      <c r="A130" s="6">
        <v>44592</v>
      </c>
      <c r="B130" t="str">
        <f t="shared" ref="B130:B193" si="15">PROPER(TEXT(A130,"mmmm"))</f>
        <v>Enero</v>
      </c>
      <c r="C130" s="1" t="s">
        <v>36</v>
      </c>
      <c r="D130" s="58" t="str">
        <f>VLOOKUP(Datos!$C130,$AQ$2:$AR$41,2,0)</f>
        <v>Magallanes</v>
      </c>
      <c r="E130" s="1">
        <v>23208</v>
      </c>
      <c r="F130" s="1" t="str">
        <f t="array" ref="F130">_xlfn.IFS(H130=0,"Alta sin facturar",H130&gt;2,"Cliente",H130&gt;0,"Cliente nuevo")</f>
        <v>Cliente nuevo</v>
      </c>
      <c r="G130" s="1"/>
      <c r="H130" s="1">
        <f t="shared" si="11"/>
        <v>2</v>
      </c>
      <c r="I130" s="2">
        <v>0</v>
      </c>
      <c r="J130" s="2">
        <v>0</v>
      </c>
      <c r="K130" s="2">
        <v>0</v>
      </c>
      <c r="L130" s="2">
        <v>0</v>
      </c>
      <c r="M130" s="2">
        <v>290</v>
      </c>
      <c r="N130" s="89">
        <v>8120</v>
      </c>
      <c r="O130" s="89">
        <v>0</v>
      </c>
      <c r="P130" s="89">
        <v>0</v>
      </c>
      <c r="Q130" s="54">
        <f t="shared" ref="Q130:Q193" si="16">SUBTOTAL(109,I130:P130)</f>
        <v>8410</v>
      </c>
      <c r="R130" s="89">
        <v>9744</v>
      </c>
      <c r="S130" s="92">
        <f t="shared" si="12"/>
        <v>2</v>
      </c>
      <c r="T130" s="59">
        <f t="shared" ref="T130:T193" si="17">Q130-R130</f>
        <v>-1334</v>
      </c>
      <c r="U130" s="60">
        <f t="shared" ref="U130:U193" si="18">IF(Q130=0,0,R130/Q130)</f>
        <v>1.1586206896551725</v>
      </c>
      <c r="V130" s="59" t="str">
        <f t="array" ref="V130">_xlfn.IFS(S130=0,"Alta sin facturar",S130&gt;2,"Cliente",S130&gt;0,"Cliente nuevo")</f>
        <v>Cliente nuevo</v>
      </c>
      <c r="W130" s="59" t="str">
        <f t="shared" si="13"/>
        <v>Sin pago</v>
      </c>
      <c r="X130" s="3"/>
      <c r="Y130" s="3"/>
      <c r="Z130" s="3"/>
      <c r="AA130" s="3"/>
      <c r="AB130" s="3"/>
      <c r="AC130" s="3"/>
      <c r="AD130" s="3"/>
      <c r="AE130" s="3"/>
      <c r="AG130"/>
      <c r="AH130"/>
      <c r="AI130"/>
      <c r="AJ130"/>
      <c r="AK130"/>
      <c r="AL130"/>
      <c r="AM130"/>
      <c r="AN130"/>
    </row>
    <row r="131" spans="1:40" x14ac:dyDescent="0.25">
      <c r="A131" s="6">
        <v>44592</v>
      </c>
      <c r="B131" t="str">
        <f t="shared" si="15"/>
        <v>Enero</v>
      </c>
      <c r="C131" s="1" t="s">
        <v>75</v>
      </c>
      <c r="D131" s="58" t="str">
        <f>VLOOKUP(Datos!$C131,$AQ$2:$AR$41,2,0)</f>
        <v>Centro</v>
      </c>
      <c r="E131" s="1">
        <v>23209</v>
      </c>
      <c r="F131" s="1" t="str">
        <f t="array" ref="F131">_xlfn.IFS(H131=0,"Alta sin facturar",H131&gt;2,"Cliente",H131&gt;0,"Cliente nuevo")</f>
        <v>Cliente nuevo</v>
      </c>
      <c r="G131" s="1"/>
      <c r="H131" s="1">
        <f t="shared" ref="H131:H194" si="19">COUNTIF(I131:P131,"&gt;0")</f>
        <v>2</v>
      </c>
      <c r="I131" s="2">
        <v>0</v>
      </c>
      <c r="J131" s="2">
        <v>1434.92</v>
      </c>
      <c r="K131" s="2">
        <v>13001.279999999999</v>
      </c>
      <c r="L131" s="2">
        <v>0</v>
      </c>
      <c r="M131" s="2">
        <v>0</v>
      </c>
      <c r="N131" s="89">
        <v>0</v>
      </c>
      <c r="O131" s="89">
        <v>0</v>
      </c>
      <c r="P131" s="89">
        <v>0</v>
      </c>
      <c r="Q131" s="54">
        <f t="shared" si="16"/>
        <v>14436.199999999999</v>
      </c>
      <c r="R131" s="89">
        <v>13001.28</v>
      </c>
      <c r="S131" s="92">
        <f t="shared" ref="S131:S194" si="20">COUNTIF(I131:P131,"&gt;0")</f>
        <v>2</v>
      </c>
      <c r="T131" s="59">
        <f t="shared" si="17"/>
        <v>1434.9199999999983</v>
      </c>
      <c r="U131" s="60">
        <f t="shared" si="18"/>
        <v>0.90060265166733644</v>
      </c>
      <c r="V131" s="59" t="str">
        <f t="array" ref="V131">_xlfn.IFS(S131=0,"Alta sin facturar",S131&gt;2,"Cliente",S131&gt;0,"Cliente nuevo")</f>
        <v>Cliente nuevo</v>
      </c>
      <c r="W131" s="59" t="str">
        <f t="shared" ref="W131:W194" si="21">IF(T131&lt;1,"Sin pago","Ha pagado")</f>
        <v>Ha pagado</v>
      </c>
      <c r="X131" s="3"/>
      <c r="Y131" s="3"/>
      <c r="Z131" s="3"/>
      <c r="AA131" s="3"/>
      <c r="AB131" s="3"/>
      <c r="AC131" s="3"/>
      <c r="AD131" s="3"/>
      <c r="AE131" s="3"/>
      <c r="AG131"/>
      <c r="AH131"/>
      <c r="AI131"/>
      <c r="AJ131"/>
      <c r="AK131"/>
      <c r="AL131"/>
      <c r="AM131"/>
      <c r="AN131"/>
    </row>
    <row r="132" spans="1:40" x14ac:dyDescent="0.25">
      <c r="A132" s="6">
        <v>44593</v>
      </c>
      <c r="B132" t="str">
        <f t="shared" si="15"/>
        <v>Febrero</v>
      </c>
      <c r="C132" s="1" t="s">
        <v>39</v>
      </c>
      <c r="D132" s="58" t="str">
        <f>VLOOKUP(Datos!$C132,$AQ$2:$AR$41,2,0)</f>
        <v>Sur</v>
      </c>
      <c r="E132" s="1">
        <v>23210</v>
      </c>
      <c r="F132" s="1" t="str">
        <f t="array" ref="F132">_xlfn.IFS(H132=0,"Alta sin facturar",H132&gt;2,"Cliente",H132&gt;0,"Cliente nuevo")</f>
        <v>Cliente nuevo</v>
      </c>
      <c r="G132" s="1"/>
      <c r="H132" s="1">
        <f t="shared" si="19"/>
        <v>2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89">
        <v>9335.6800000000021</v>
      </c>
      <c r="O132" s="89">
        <v>0</v>
      </c>
      <c r="P132" s="89">
        <v>17547.320000000011</v>
      </c>
      <c r="Q132" s="54">
        <f t="shared" si="16"/>
        <v>26883.000000000015</v>
      </c>
      <c r="R132" s="89">
        <v>6866.04</v>
      </c>
      <c r="S132" s="92">
        <f t="shared" si="20"/>
        <v>2</v>
      </c>
      <c r="T132" s="59">
        <f t="shared" si="17"/>
        <v>20016.960000000014</v>
      </c>
      <c r="U132" s="60">
        <f t="shared" si="18"/>
        <v>0.25540453074433644</v>
      </c>
      <c r="V132" s="59" t="str">
        <f t="array" ref="V132">_xlfn.IFS(S132=0,"Alta sin facturar",S132&gt;2,"Cliente",S132&gt;0,"Cliente nuevo")</f>
        <v>Cliente nuevo</v>
      </c>
      <c r="W132" s="59" t="str">
        <f t="shared" si="21"/>
        <v>Ha pagado</v>
      </c>
      <c r="X132" s="3"/>
      <c r="Y132" s="3"/>
      <c r="Z132" s="3"/>
      <c r="AA132" s="3"/>
      <c r="AB132" s="3"/>
      <c r="AC132" s="3"/>
      <c r="AD132" s="3"/>
      <c r="AE132" s="3"/>
      <c r="AG132"/>
      <c r="AH132"/>
      <c r="AI132"/>
      <c r="AJ132"/>
      <c r="AK132"/>
      <c r="AL132"/>
      <c r="AM132"/>
      <c r="AN132"/>
    </row>
    <row r="133" spans="1:40" x14ac:dyDescent="0.25">
      <c r="A133" s="6">
        <v>44593</v>
      </c>
      <c r="B133" t="str">
        <f t="shared" si="15"/>
        <v>Febrero</v>
      </c>
      <c r="C133" s="1" t="s">
        <v>97</v>
      </c>
      <c r="D133" s="58" t="str">
        <f>VLOOKUP(Datos!$C133,$AQ$2:$AR$41,2,0)</f>
        <v>Centro</v>
      </c>
      <c r="E133" s="1">
        <v>23211</v>
      </c>
      <c r="F133" s="1" t="str">
        <f t="array" ref="F133">_xlfn.IFS(H133=0,"Alta sin facturar",H133&gt;2,"Cliente",H133&gt;0,"Cliente nuevo")</f>
        <v>Alta sin facturar</v>
      </c>
      <c r="G133" s="1"/>
      <c r="H133" s="1">
        <f t="shared" si="19"/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89">
        <v>0</v>
      </c>
      <c r="O133" s="89">
        <v>0</v>
      </c>
      <c r="P133" s="89">
        <v>0</v>
      </c>
      <c r="Q133" s="54">
        <f t="shared" si="16"/>
        <v>0</v>
      </c>
      <c r="R133" s="89"/>
      <c r="S133" s="92">
        <f t="shared" si="20"/>
        <v>0</v>
      </c>
      <c r="T133" s="59">
        <f t="shared" si="17"/>
        <v>0</v>
      </c>
      <c r="U133" s="60">
        <f t="shared" si="18"/>
        <v>0</v>
      </c>
      <c r="V133" s="59" t="str">
        <f t="array" ref="V133">_xlfn.IFS(S133=0,"Alta sin facturar",S133&gt;2,"Cliente",S133&gt;0,"Cliente nuevo")</f>
        <v>Alta sin facturar</v>
      </c>
      <c r="W133" s="59" t="str">
        <f t="shared" si="21"/>
        <v>Sin pago</v>
      </c>
      <c r="X133" s="3"/>
      <c r="Y133" s="3"/>
      <c r="Z133" s="3"/>
      <c r="AA133" s="3"/>
      <c r="AB133" s="3"/>
      <c r="AC133" s="3"/>
      <c r="AD133" s="3"/>
      <c r="AE133" s="3"/>
      <c r="AG133"/>
      <c r="AH133"/>
      <c r="AI133"/>
      <c r="AJ133"/>
      <c r="AK133"/>
      <c r="AL133"/>
      <c r="AM133"/>
      <c r="AN133"/>
    </row>
    <row r="134" spans="1:40" x14ac:dyDescent="0.25">
      <c r="A134" s="6">
        <v>44593</v>
      </c>
      <c r="B134" t="str">
        <f t="shared" si="15"/>
        <v>Febrero</v>
      </c>
      <c r="C134" s="1" t="s">
        <v>97</v>
      </c>
      <c r="D134" s="58" t="str">
        <f>VLOOKUP(Datos!$C134,$AQ$2:$AR$41,2,0)</f>
        <v>Centro</v>
      </c>
      <c r="E134" s="1">
        <v>23212</v>
      </c>
      <c r="F134" s="1" t="str">
        <f t="array" ref="F134">_xlfn.IFS(H134=0,"Alta sin facturar",H134&gt;2,"Cliente",H134&gt;0,"Cliente nuevo")</f>
        <v>Alta sin facturar</v>
      </c>
      <c r="G134" s="1"/>
      <c r="H134" s="1">
        <f t="shared" si="19"/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89">
        <v>0</v>
      </c>
      <c r="O134" s="89">
        <v>0</v>
      </c>
      <c r="P134" s="89">
        <v>0</v>
      </c>
      <c r="Q134" s="54">
        <f t="shared" si="16"/>
        <v>0</v>
      </c>
      <c r="R134" s="89"/>
      <c r="S134" s="92">
        <f t="shared" si="20"/>
        <v>0</v>
      </c>
      <c r="T134" s="59">
        <f t="shared" si="17"/>
        <v>0</v>
      </c>
      <c r="U134" s="60">
        <f t="shared" si="18"/>
        <v>0</v>
      </c>
      <c r="V134" s="59" t="str">
        <f t="array" ref="V134">_xlfn.IFS(S134=0,"Alta sin facturar",S134&gt;2,"Cliente",S134&gt;0,"Cliente nuevo")</f>
        <v>Alta sin facturar</v>
      </c>
      <c r="W134" s="59" t="str">
        <f t="shared" si="21"/>
        <v>Sin pago</v>
      </c>
      <c r="X134" s="3"/>
      <c r="Y134" s="3"/>
      <c r="Z134" s="3"/>
      <c r="AA134" s="3"/>
      <c r="AB134" s="3"/>
      <c r="AC134" s="3"/>
      <c r="AD134" s="3"/>
      <c r="AE134" s="3"/>
      <c r="AG134"/>
      <c r="AH134"/>
      <c r="AI134"/>
      <c r="AJ134"/>
      <c r="AK134"/>
      <c r="AL134"/>
      <c r="AM134"/>
      <c r="AN134"/>
    </row>
    <row r="135" spans="1:40" x14ac:dyDescent="0.25">
      <c r="A135" s="6">
        <v>44593</v>
      </c>
      <c r="B135" t="str">
        <f t="shared" si="15"/>
        <v>Febrero</v>
      </c>
      <c r="C135" s="1" t="s">
        <v>66</v>
      </c>
      <c r="D135" s="58" t="str">
        <f>VLOOKUP(Datos!$C135,$AQ$2:$AR$41,2,0)</f>
        <v>Sur</v>
      </c>
      <c r="E135" s="1">
        <v>23213</v>
      </c>
      <c r="F135" s="1" t="str">
        <f t="array" ref="F135">_xlfn.IFS(H135=0,"Alta sin facturar",H135&gt;2,"Cliente",H135&gt;0,"Cliente nuevo")</f>
        <v>Cliente nuevo</v>
      </c>
      <c r="G135" s="1"/>
      <c r="H135" s="1">
        <f t="shared" si="19"/>
        <v>2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89">
        <v>12935.16</v>
      </c>
      <c r="O135" s="89">
        <v>0</v>
      </c>
      <c r="P135" s="89">
        <v>9993.3999999999905</v>
      </c>
      <c r="Q135" s="54">
        <f t="shared" si="16"/>
        <v>22928.55999999999</v>
      </c>
      <c r="R135" s="89">
        <v>1272.52</v>
      </c>
      <c r="S135" s="92">
        <f t="shared" si="20"/>
        <v>2</v>
      </c>
      <c r="T135" s="59">
        <f t="shared" si="17"/>
        <v>21656.03999999999</v>
      </c>
      <c r="U135" s="60">
        <f t="shared" si="18"/>
        <v>5.5499342304968148E-2</v>
      </c>
      <c r="V135" s="59" t="str">
        <f t="array" ref="V135">_xlfn.IFS(S135=0,"Alta sin facturar",S135&gt;2,"Cliente",S135&gt;0,"Cliente nuevo")</f>
        <v>Cliente nuevo</v>
      </c>
      <c r="W135" s="59" t="str">
        <f t="shared" si="21"/>
        <v>Ha pagado</v>
      </c>
      <c r="X135" s="3"/>
      <c r="Y135" s="3"/>
      <c r="Z135" s="3"/>
      <c r="AA135" s="3"/>
      <c r="AB135" s="3"/>
      <c r="AC135" s="3"/>
      <c r="AD135" s="3"/>
      <c r="AE135" s="3"/>
      <c r="AG135"/>
      <c r="AH135"/>
      <c r="AI135"/>
      <c r="AJ135"/>
      <c r="AK135"/>
      <c r="AL135"/>
      <c r="AM135"/>
      <c r="AN135"/>
    </row>
    <row r="136" spans="1:40" x14ac:dyDescent="0.25">
      <c r="A136" s="6">
        <v>44593</v>
      </c>
      <c r="B136" t="str">
        <f t="shared" si="15"/>
        <v>Febrero</v>
      </c>
      <c r="C136" s="1" t="s">
        <v>39</v>
      </c>
      <c r="D136" s="58" t="str">
        <f>VLOOKUP(Datos!$C136,$AQ$2:$AR$41,2,0)</f>
        <v>Sur</v>
      </c>
      <c r="E136" s="1">
        <v>23214</v>
      </c>
      <c r="F136" s="1" t="str">
        <f t="array" ref="F136">_xlfn.IFS(H136=0,"Alta sin facturar",H136&gt;2,"Cliente",H136&gt;0,"Cliente nuevo")</f>
        <v>Cliente nuevo</v>
      </c>
      <c r="G136" s="1"/>
      <c r="H136" s="1">
        <f t="shared" si="19"/>
        <v>2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89">
        <v>10455.080000000002</v>
      </c>
      <c r="O136" s="89">
        <v>0</v>
      </c>
      <c r="P136" s="89">
        <v>9795.0399999999991</v>
      </c>
      <c r="Q136" s="54">
        <f t="shared" si="16"/>
        <v>20250.120000000003</v>
      </c>
      <c r="R136" s="89">
        <v>4363.8</v>
      </c>
      <c r="S136" s="92">
        <f t="shared" si="20"/>
        <v>2</v>
      </c>
      <c r="T136" s="59">
        <f t="shared" si="17"/>
        <v>15886.320000000003</v>
      </c>
      <c r="U136" s="60">
        <f t="shared" si="18"/>
        <v>0.21549501928877457</v>
      </c>
      <c r="V136" s="59" t="str">
        <f t="array" ref="V136">_xlfn.IFS(S136=0,"Alta sin facturar",S136&gt;2,"Cliente",S136&gt;0,"Cliente nuevo")</f>
        <v>Cliente nuevo</v>
      </c>
      <c r="W136" s="59" t="str">
        <f t="shared" si="21"/>
        <v>Ha pagado</v>
      </c>
      <c r="X136" s="3"/>
      <c r="Y136" s="3"/>
      <c r="Z136" s="3"/>
      <c r="AA136" s="3"/>
      <c r="AB136" s="3"/>
      <c r="AC136" s="3"/>
      <c r="AD136" s="3"/>
      <c r="AE136" s="3"/>
      <c r="AG136"/>
      <c r="AH136"/>
      <c r="AI136"/>
      <c r="AJ136"/>
      <c r="AK136"/>
      <c r="AL136"/>
      <c r="AM136"/>
      <c r="AN136"/>
    </row>
    <row r="137" spans="1:40" x14ac:dyDescent="0.25">
      <c r="A137" s="6">
        <v>44593</v>
      </c>
      <c r="B137" t="str">
        <f t="shared" si="15"/>
        <v>Febrero</v>
      </c>
      <c r="C137" s="1" t="s">
        <v>34</v>
      </c>
      <c r="D137" s="58" t="str">
        <f>VLOOKUP(Datos!$C137,$AQ$2:$AR$41,2,0)</f>
        <v>Norte</v>
      </c>
      <c r="E137" s="1">
        <v>23215</v>
      </c>
      <c r="F137" s="1" t="str">
        <f t="array" ref="F137">_xlfn.IFS(H137=0,"Alta sin facturar",H137&gt;2,"Cliente",H137&gt;0,"Cliente nuevo")</f>
        <v>Alta sin facturar</v>
      </c>
      <c r="G137" s="1"/>
      <c r="H137" s="1">
        <f t="shared" si="19"/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89">
        <v>0</v>
      </c>
      <c r="O137" s="89">
        <v>0</v>
      </c>
      <c r="P137" s="89">
        <v>0</v>
      </c>
      <c r="Q137" s="54">
        <f t="shared" si="16"/>
        <v>0</v>
      </c>
      <c r="R137" s="89">
        <v>2436</v>
      </c>
      <c r="S137" s="92">
        <f t="shared" si="20"/>
        <v>0</v>
      </c>
      <c r="T137" s="59">
        <f t="shared" si="17"/>
        <v>-2436</v>
      </c>
      <c r="U137" s="60">
        <f t="shared" si="18"/>
        <v>0</v>
      </c>
      <c r="V137" s="59" t="str">
        <f t="array" ref="V137">_xlfn.IFS(S137=0,"Alta sin facturar",S137&gt;2,"Cliente",S137&gt;0,"Cliente nuevo")</f>
        <v>Alta sin facturar</v>
      </c>
      <c r="W137" s="59" t="str">
        <f t="shared" si="21"/>
        <v>Sin pago</v>
      </c>
      <c r="X137" s="3"/>
      <c r="Y137" s="3"/>
      <c r="Z137" s="3"/>
      <c r="AA137" s="3"/>
      <c r="AB137" s="3"/>
      <c r="AC137" s="3"/>
      <c r="AD137" s="3"/>
      <c r="AE137" s="3"/>
      <c r="AG137"/>
      <c r="AH137"/>
      <c r="AI137"/>
      <c r="AJ137"/>
      <c r="AK137"/>
      <c r="AL137"/>
      <c r="AM137"/>
      <c r="AN137"/>
    </row>
    <row r="138" spans="1:40" x14ac:dyDescent="0.25">
      <c r="A138" s="6">
        <v>44593</v>
      </c>
      <c r="B138" t="str">
        <f t="shared" si="15"/>
        <v>Febrero</v>
      </c>
      <c r="C138" s="1" t="s">
        <v>67</v>
      </c>
      <c r="D138" s="58" t="str">
        <f>VLOOKUP(Datos!$C138,$AQ$2:$AR$41,2,0)</f>
        <v>Norte</v>
      </c>
      <c r="E138" s="1">
        <v>23216</v>
      </c>
      <c r="F138" s="1" t="str">
        <f t="array" ref="F138">_xlfn.IFS(H138=0,"Alta sin facturar",H138&gt;2,"Cliente",H138&gt;0,"Cliente nuevo")</f>
        <v>Alta sin facturar</v>
      </c>
      <c r="G138" s="1"/>
      <c r="H138" s="1">
        <f t="shared" si="19"/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89">
        <v>0</v>
      </c>
      <c r="O138" s="89">
        <v>0</v>
      </c>
      <c r="P138" s="89">
        <v>0</v>
      </c>
      <c r="Q138" s="54">
        <f t="shared" si="16"/>
        <v>0</v>
      </c>
      <c r="R138" s="89"/>
      <c r="S138" s="92">
        <f t="shared" si="20"/>
        <v>0</v>
      </c>
      <c r="T138" s="59">
        <f t="shared" si="17"/>
        <v>0</v>
      </c>
      <c r="U138" s="60">
        <f t="shared" si="18"/>
        <v>0</v>
      </c>
      <c r="V138" s="59" t="str">
        <f t="array" ref="V138">_xlfn.IFS(S138=0,"Alta sin facturar",S138&gt;2,"Cliente",S138&gt;0,"Cliente nuevo")</f>
        <v>Alta sin facturar</v>
      </c>
      <c r="W138" s="59" t="str">
        <f t="shared" si="21"/>
        <v>Sin pago</v>
      </c>
      <c r="X138" s="3"/>
      <c r="Y138" s="3"/>
      <c r="Z138" s="3"/>
      <c r="AA138" s="3"/>
      <c r="AB138" s="3"/>
      <c r="AC138" s="3"/>
      <c r="AD138" s="3"/>
      <c r="AE138" s="3"/>
      <c r="AG138"/>
      <c r="AH138"/>
      <c r="AI138"/>
      <c r="AJ138"/>
      <c r="AK138"/>
      <c r="AL138"/>
      <c r="AM138"/>
      <c r="AN138"/>
    </row>
    <row r="139" spans="1:40" x14ac:dyDescent="0.25">
      <c r="A139" s="6">
        <v>44593</v>
      </c>
      <c r="B139" t="str">
        <f t="shared" si="15"/>
        <v>Febrero</v>
      </c>
      <c r="C139" s="1" t="s">
        <v>89</v>
      </c>
      <c r="D139" s="58" t="str">
        <f>VLOOKUP(Datos!$C139,$AQ$2:$AR$41,2,0)</f>
        <v>Centro</v>
      </c>
      <c r="E139" s="1">
        <v>23217</v>
      </c>
      <c r="F139" s="1" t="str">
        <f t="array" ref="F139">_xlfn.IFS(H139=0,"Alta sin facturar",H139&gt;2,"Cliente",H139&gt;0,"Cliente nuevo")</f>
        <v>Alta sin facturar</v>
      </c>
      <c r="G139" s="1"/>
      <c r="H139" s="1">
        <f t="shared" si="19"/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89">
        <v>0</v>
      </c>
      <c r="O139" s="89">
        <v>0</v>
      </c>
      <c r="P139" s="89">
        <v>0</v>
      </c>
      <c r="Q139" s="54">
        <f t="shared" si="16"/>
        <v>0</v>
      </c>
      <c r="R139" s="89">
        <v>0</v>
      </c>
      <c r="S139" s="92">
        <f t="shared" si="20"/>
        <v>0</v>
      </c>
      <c r="T139" s="59">
        <f t="shared" si="17"/>
        <v>0</v>
      </c>
      <c r="U139" s="60">
        <f t="shared" si="18"/>
        <v>0</v>
      </c>
      <c r="V139" s="59" t="str">
        <f t="array" ref="V139">_xlfn.IFS(S139=0,"Alta sin facturar",S139&gt;2,"Cliente",S139&gt;0,"Cliente nuevo")</f>
        <v>Alta sin facturar</v>
      </c>
      <c r="W139" s="59" t="str">
        <f t="shared" si="21"/>
        <v>Sin pago</v>
      </c>
      <c r="X139" s="3"/>
      <c r="Y139" s="3"/>
      <c r="Z139" s="3"/>
      <c r="AA139" s="3"/>
      <c r="AB139" s="3"/>
      <c r="AC139" s="3"/>
      <c r="AD139" s="3"/>
      <c r="AE139" s="3"/>
      <c r="AG139"/>
      <c r="AH139"/>
      <c r="AI139"/>
      <c r="AJ139"/>
      <c r="AK139"/>
      <c r="AL139"/>
      <c r="AM139"/>
      <c r="AN139"/>
    </row>
    <row r="140" spans="1:40" x14ac:dyDescent="0.25">
      <c r="A140" s="6">
        <v>44593</v>
      </c>
      <c r="B140" t="str">
        <f t="shared" si="15"/>
        <v>Febrero</v>
      </c>
      <c r="C140" s="1" t="s">
        <v>31</v>
      </c>
      <c r="D140" s="58" t="str">
        <f>VLOOKUP(Datos!$C140,$AQ$2:$AR$41,2,0)</f>
        <v>Centro</v>
      </c>
      <c r="E140" s="1">
        <v>23218</v>
      </c>
      <c r="F140" s="1" t="str">
        <f t="array" ref="F140">_xlfn.IFS(H140=0,"Alta sin facturar",H140&gt;2,"Cliente",H140&gt;0,"Cliente nuevo")</f>
        <v>Cliente nuevo</v>
      </c>
      <c r="G140" s="1"/>
      <c r="H140" s="1">
        <f t="shared" si="19"/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89">
        <v>303.92</v>
      </c>
      <c r="O140" s="89">
        <v>0</v>
      </c>
      <c r="P140" s="89">
        <v>0</v>
      </c>
      <c r="Q140" s="54">
        <f t="shared" si="16"/>
        <v>303.92</v>
      </c>
      <c r="R140" s="89">
        <v>0</v>
      </c>
      <c r="S140" s="92">
        <f t="shared" si="20"/>
        <v>1</v>
      </c>
      <c r="T140" s="59">
        <f t="shared" si="17"/>
        <v>303.92</v>
      </c>
      <c r="U140" s="60">
        <f t="shared" si="18"/>
        <v>0</v>
      </c>
      <c r="V140" s="59" t="str">
        <f t="array" ref="V140">_xlfn.IFS(S140=0,"Alta sin facturar",S140&gt;2,"Cliente",S140&gt;0,"Cliente nuevo")</f>
        <v>Cliente nuevo</v>
      </c>
      <c r="W140" s="59" t="str">
        <f t="shared" si="21"/>
        <v>Ha pagado</v>
      </c>
      <c r="X140" s="3"/>
      <c r="Y140" s="3"/>
      <c r="Z140" s="3"/>
      <c r="AA140" s="3"/>
      <c r="AB140" s="3"/>
      <c r="AC140" s="3"/>
      <c r="AD140" s="3"/>
      <c r="AE140" s="3"/>
      <c r="AG140"/>
      <c r="AH140"/>
      <c r="AI140"/>
      <c r="AJ140"/>
      <c r="AK140"/>
      <c r="AL140"/>
      <c r="AM140"/>
      <c r="AN140"/>
    </row>
    <row r="141" spans="1:40" x14ac:dyDescent="0.25">
      <c r="A141" s="6">
        <v>44593</v>
      </c>
      <c r="B141" t="str">
        <f t="shared" si="15"/>
        <v>Febrero</v>
      </c>
      <c r="C141" s="1" t="s">
        <v>31</v>
      </c>
      <c r="D141" s="58" t="str">
        <f>VLOOKUP(Datos!$C141,$AQ$2:$AR$41,2,0)</f>
        <v>Centro</v>
      </c>
      <c r="E141" s="1">
        <v>23219</v>
      </c>
      <c r="F141" s="1" t="str">
        <f t="array" ref="F141">_xlfn.IFS(H141=0,"Alta sin facturar",H141&gt;2,"Cliente",H141&gt;0,"Cliente nuevo")</f>
        <v>Alta sin facturar</v>
      </c>
      <c r="G141" s="1"/>
      <c r="H141" s="1">
        <f t="shared" si="19"/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89">
        <v>0</v>
      </c>
      <c r="O141" s="89">
        <v>0</v>
      </c>
      <c r="P141" s="89">
        <v>0</v>
      </c>
      <c r="Q141" s="54">
        <f t="shared" si="16"/>
        <v>0</v>
      </c>
      <c r="R141" s="89"/>
      <c r="S141" s="92">
        <f t="shared" si="20"/>
        <v>0</v>
      </c>
      <c r="T141" s="59">
        <f t="shared" si="17"/>
        <v>0</v>
      </c>
      <c r="U141" s="60">
        <f t="shared" si="18"/>
        <v>0</v>
      </c>
      <c r="V141" s="59" t="str">
        <f t="array" ref="V141">_xlfn.IFS(S141=0,"Alta sin facturar",S141&gt;2,"Cliente",S141&gt;0,"Cliente nuevo")</f>
        <v>Alta sin facturar</v>
      </c>
      <c r="W141" s="59" t="str">
        <f t="shared" si="21"/>
        <v>Sin pago</v>
      </c>
      <c r="X141" s="3"/>
      <c r="Y141" s="3"/>
      <c r="Z141" s="3"/>
      <c r="AA141" s="3"/>
      <c r="AB141" s="3"/>
      <c r="AC141" s="3"/>
      <c r="AD141" s="3"/>
      <c r="AE141" s="3"/>
      <c r="AG141"/>
      <c r="AH141"/>
      <c r="AI141"/>
      <c r="AJ141"/>
      <c r="AK141"/>
      <c r="AL141"/>
      <c r="AM141"/>
      <c r="AN141"/>
    </row>
    <row r="142" spans="1:40" x14ac:dyDescent="0.25">
      <c r="A142" s="6">
        <v>44594</v>
      </c>
      <c r="B142" t="str">
        <f t="shared" si="15"/>
        <v>Febrero</v>
      </c>
      <c r="C142" s="1" t="s">
        <v>60</v>
      </c>
      <c r="D142" s="58" t="str">
        <f>VLOOKUP(Datos!$C142,$AQ$2:$AR$41,2,0)</f>
        <v>Norte</v>
      </c>
      <c r="E142" s="1">
        <v>23220</v>
      </c>
      <c r="F142" s="1" t="str">
        <f t="array" ref="F142">_xlfn.IFS(H142=0,"Alta sin facturar",H142&gt;2,"Cliente",H142&gt;0,"Cliente nuevo")</f>
        <v>Cliente</v>
      </c>
      <c r="G142" s="1"/>
      <c r="H142" s="1">
        <f t="shared" si="19"/>
        <v>4</v>
      </c>
      <c r="I142" s="2">
        <v>0</v>
      </c>
      <c r="J142" s="2">
        <v>214.59999999999997</v>
      </c>
      <c r="K142" s="2">
        <v>1523.0800000000002</v>
      </c>
      <c r="L142" s="2">
        <v>0</v>
      </c>
      <c r="M142" s="2">
        <v>1502.2</v>
      </c>
      <c r="N142" s="89">
        <v>174</v>
      </c>
      <c r="O142" s="89">
        <v>0</v>
      </c>
      <c r="P142" s="89">
        <v>0</v>
      </c>
      <c r="Q142" s="54">
        <f t="shared" si="16"/>
        <v>3413.88</v>
      </c>
      <c r="R142" s="89">
        <v>0</v>
      </c>
      <c r="S142" s="92">
        <f t="shared" si="20"/>
        <v>4</v>
      </c>
      <c r="T142" s="59">
        <f t="shared" si="17"/>
        <v>3413.88</v>
      </c>
      <c r="U142" s="60">
        <f t="shared" si="18"/>
        <v>0</v>
      </c>
      <c r="V142" s="59" t="str">
        <f t="array" ref="V142">_xlfn.IFS(S142=0,"Alta sin facturar",S142&gt;2,"Cliente",S142&gt;0,"Cliente nuevo")</f>
        <v>Cliente</v>
      </c>
      <c r="W142" s="59" t="str">
        <f t="shared" si="21"/>
        <v>Ha pagado</v>
      </c>
      <c r="X142" s="3"/>
      <c r="Y142" s="3"/>
      <c r="Z142" s="3"/>
      <c r="AA142" s="3"/>
      <c r="AB142" s="3"/>
      <c r="AC142" s="3"/>
      <c r="AD142" s="3"/>
      <c r="AE142" s="3"/>
      <c r="AG142"/>
      <c r="AH142"/>
      <c r="AI142"/>
      <c r="AJ142"/>
      <c r="AK142"/>
      <c r="AL142"/>
      <c r="AM142"/>
      <c r="AN142"/>
    </row>
    <row r="143" spans="1:40" x14ac:dyDescent="0.25">
      <c r="A143" s="6">
        <v>44594</v>
      </c>
      <c r="B143" t="str">
        <f t="shared" si="15"/>
        <v>Febrero</v>
      </c>
      <c r="C143" s="1" t="s">
        <v>36</v>
      </c>
      <c r="D143" s="58" t="str">
        <f>VLOOKUP(Datos!$C143,$AQ$2:$AR$41,2,0)</f>
        <v>Magallanes</v>
      </c>
      <c r="E143" s="1">
        <v>23221</v>
      </c>
      <c r="F143" s="1" t="str">
        <f t="array" ref="F143">_xlfn.IFS(H143=0,"Alta sin facturar",H143&gt;2,"Cliente",H143&gt;0,"Cliente nuevo")</f>
        <v>Cliente nuevo</v>
      </c>
      <c r="G143" s="1"/>
      <c r="H143" s="1">
        <f t="shared" si="19"/>
        <v>1</v>
      </c>
      <c r="I143" s="2">
        <v>0</v>
      </c>
      <c r="J143" s="2">
        <v>287.67999999999995</v>
      </c>
      <c r="K143" s="2">
        <v>0</v>
      </c>
      <c r="L143" s="2">
        <v>0</v>
      </c>
      <c r="M143" s="2">
        <v>0</v>
      </c>
      <c r="N143" s="89">
        <v>0</v>
      </c>
      <c r="O143" s="89">
        <v>0</v>
      </c>
      <c r="P143" s="89">
        <v>0</v>
      </c>
      <c r="Q143" s="54">
        <f t="shared" si="16"/>
        <v>287.67999999999995</v>
      </c>
      <c r="R143" s="89">
        <v>287.68</v>
      </c>
      <c r="S143" s="92">
        <f t="shared" si="20"/>
        <v>1</v>
      </c>
      <c r="T143" s="59">
        <f t="shared" si="17"/>
        <v>0</v>
      </c>
      <c r="U143" s="60">
        <f t="shared" si="18"/>
        <v>1.0000000000000002</v>
      </c>
      <c r="V143" s="59" t="str">
        <f t="array" ref="V143">_xlfn.IFS(S143=0,"Alta sin facturar",S143&gt;2,"Cliente",S143&gt;0,"Cliente nuevo")</f>
        <v>Cliente nuevo</v>
      </c>
      <c r="W143" s="59" t="str">
        <f t="shared" si="21"/>
        <v>Sin pago</v>
      </c>
      <c r="X143" s="3"/>
      <c r="Y143" s="3"/>
      <c r="Z143" s="3"/>
      <c r="AA143" s="3"/>
      <c r="AB143" s="3"/>
      <c r="AC143" s="3"/>
      <c r="AD143" s="3"/>
      <c r="AE143" s="3"/>
      <c r="AG143"/>
      <c r="AH143"/>
      <c r="AI143"/>
      <c r="AJ143"/>
      <c r="AK143"/>
      <c r="AL143"/>
      <c r="AM143"/>
      <c r="AN143"/>
    </row>
    <row r="144" spans="1:40" x14ac:dyDescent="0.25">
      <c r="A144" s="6">
        <v>44594</v>
      </c>
      <c r="B144" t="str">
        <f t="shared" si="15"/>
        <v>Febrero</v>
      </c>
      <c r="C144" s="1" t="s">
        <v>36</v>
      </c>
      <c r="D144" s="58" t="str">
        <f>VLOOKUP(Datos!$C144,$AQ$2:$AR$41,2,0)</f>
        <v>Magallanes</v>
      </c>
      <c r="E144" s="1">
        <v>23222</v>
      </c>
      <c r="F144" s="1" t="str">
        <f t="array" ref="F144">_xlfn.IFS(H144=0,"Alta sin facturar",H144&gt;2,"Cliente",H144&gt;0,"Cliente nuevo")</f>
        <v>Cliente</v>
      </c>
      <c r="G144" s="1"/>
      <c r="H144" s="1">
        <f t="shared" si="19"/>
        <v>7</v>
      </c>
      <c r="I144" s="2">
        <v>0</v>
      </c>
      <c r="J144" s="2">
        <v>1229.5999999999999</v>
      </c>
      <c r="K144" s="2">
        <v>2894.2</v>
      </c>
      <c r="L144" s="2">
        <v>962.8</v>
      </c>
      <c r="M144" s="2">
        <v>4121.4799999999996</v>
      </c>
      <c r="N144" s="89">
        <v>4909.12</v>
      </c>
      <c r="O144" s="89">
        <v>4247.9199999999992</v>
      </c>
      <c r="P144" s="89">
        <v>13282</v>
      </c>
      <c r="Q144" s="54">
        <f t="shared" si="16"/>
        <v>31647.119999999995</v>
      </c>
      <c r="R144" s="89">
        <v>1734.2</v>
      </c>
      <c r="S144" s="92">
        <f t="shared" si="20"/>
        <v>7</v>
      </c>
      <c r="T144" s="59">
        <f t="shared" si="17"/>
        <v>29912.919999999995</v>
      </c>
      <c r="U144" s="60">
        <f t="shared" si="18"/>
        <v>5.4798035334652898E-2</v>
      </c>
      <c r="V144" s="59" t="str">
        <f t="array" ref="V144">_xlfn.IFS(S144=0,"Alta sin facturar",S144&gt;2,"Cliente",S144&gt;0,"Cliente nuevo")</f>
        <v>Cliente</v>
      </c>
      <c r="W144" s="59" t="str">
        <f t="shared" si="21"/>
        <v>Ha pagado</v>
      </c>
      <c r="X144" s="3"/>
      <c r="Y144" s="3"/>
      <c r="Z144" s="3"/>
      <c r="AA144" s="3"/>
      <c r="AB144" s="3"/>
      <c r="AC144" s="3"/>
      <c r="AD144" s="3"/>
      <c r="AE144" s="3"/>
      <c r="AG144"/>
      <c r="AH144"/>
      <c r="AI144"/>
      <c r="AJ144"/>
      <c r="AK144"/>
      <c r="AL144"/>
      <c r="AM144"/>
      <c r="AN144"/>
    </row>
    <row r="145" spans="1:40" x14ac:dyDescent="0.25">
      <c r="A145" s="6">
        <v>44594</v>
      </c>
      <c r="B145" t="str">
        <f t="shared" si="15"/>
        <v>Febrero</v>
      </c>
      <c r="C145" s="1" t="s">
        <v>39</v>
      </c>
      <c r="D145" s="58" t="str">
        <f>VLOOKUP(Datos!$C145,$AQ$2:$AR$41,2,0)</f>
        <v>Sur</v>
      </c>
      <c r="E145" s="1">
        <v>23223</v>
      </c>
      <c r="F145" s="1" t="str">
        <f t="array" ref="F145">_xlfn.IFS(H145=0,"Alta sin facturar",H145&gt;2,"Cliente",H145&gt;0,"Cliente nuevo")</f>
        <v>Cliente nuevo</v>
      </c>
      <c r="G145" s="1"/>
      <c r="H145" s="1">
        <f t="shared" si="19"/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89">
        <v>3248</v>
      </c>
      <c r="O145" s="89">
        <v>0</v>
      </c>
      <c r="P145" s="89">
        <v>0</v>
      </c>
      <c r="Q145" s="54">
        <f t="shared" si="16"/>
        <v>3248</v>
      </c>
      <c r="R145" s="89">
        <v>0</v>
      </c>
      <c r="S145" s="92">
        <f t="shared" si="20"/>
        <v>1</v>
      </c>
      <c r="T145" s="59">
        <f t="shared" si="17"/>
        <v>3248</v>
      </c>
      <c r="U145" s="60">
        <f t="shared" si="18"/>
        <v>0</v>
      </c>
      <c r="V145" s="59" t="str">
        <f t="array" ref="V145">_xlfn.IFS(S145=0,"Alta sin facturar",S145&gt;2,"Cliente",S145&gt;0,"Cliente nuevo")</f>
        <v>Cliente nuevo</v>
      </c>
      <c r="W145" s="59" t="str">
        <f t="shared" si="21"/>
        <v>Ha pagado</v>
      </c>
      <c r="X145" s="3"/>
      <c r="Y145" s="3"/>
      <c r="Z145" s="3"/>
      <c r="AA145" s="3"/>
      <c r="AB145" s="3"/>
      <c r="AC145" s="3"/>
      <c r="AD145" s="3"/>
      <c r="AE145" s="3"/>
      <c r="AG145"/>
      <c r="AH145"/>
      <c r="AI145"/>
      <c r="AJ145"/>
      <c r="AK145"/>
      <c r="AL145"/>
      <c r="AM145"/>
      <c r="AN145"/>
    </row>
    <row r="146" spans="1:40" x14ac:dyDescent="0.25">
      <c r="A146" s="6">
        <v>44595</v>
      </c>
      <c r="B146" t="str">
        <f t="shared" si="15"/>
        <v>Febrero</v>
      </c>
      <c r="C146" s="1" t="s">
        <v>33</v>
      </c>
      <c r="D146" s="58" t="str">
        <f>VLOOKUP(Datos!$C146,$AQ$2:$AR$41,2,0)</f>
        <v>Magallanes</v>
      </c>
      <c r="E146" s="1">
        <v>23224</v>
      </c>
      <c r="F146" s="1" t="str">
        <f t="array" ref="F146">_xlfn.IFS(H146=0,"Alta sin facturar",H146&gt;2,"Cliente",H146&gt;0,"Cliente nuevo")</f>
        <v>Alta sin facturar</v>
      </c>
      <c r="G146" s="1"/>
      <c r="H146" s="1">
        <f t="shared" si="19"/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89">
        <v>0</v>
      </c>
      <c r="O146" s="89">
        <v>0</v>
      </c>
      <c r="P146" s="89">
        <v>0</v>
      </c>
      <c r="Q146" s="54">
        <f t="shared" si="16"/>
        <v>0</v>
      </c>
      <c r="R146" s="89"/>
      <c r="S146" s="92">
        <f t="shared" si="20"/>
        <v>0</v>
      </c>
      <c r="T146" s="59">
        <f t="shared" si="17"/>
        <v>0</v>
      </c>
      <c r="U146" s="60">
        <f t="shared" si="18"/>
        <v>0</v>
      </c>
      <c r="V146" s="59" t="str">
        <f t="array" ref="V146">_xlfn.IFS(S146=0,"Alta sin facturar",S146&gt;2,"Cliente",S146&gt;0,"Cliente nuevo")</f>
        <v>Alta sin facturar</v>
      </c>
      <c r="W146" s="59" t="str">
        <f t="shared" si="21"/>
        <v>Sin pago</v>
      </c>
      <c r="X146" s="3"/>
      <c r="Y146" s="3"/>
      <c r="Z146" s="3"/>
      <c r="AA146" s="3"/>
      <c r="AB146" s="3"/>
      <c r="AC146" s="3"/>
      <c r="AD146" s="3"/>
      <c r="AE146" s="3"/>
      <c r="AG146"/>
      <c r="AH146"/>
      <c r="AI146"/>
      <c r="AJ146"/>
      <c r="AK146"/>
      <c r="AL146"/>
      <c r="AM146"/>
      <c r="AN146"/>
    </row>
    <row r="147" spans="1:40" x14ac:dyDescent="0.25">
      <c r="A147" s="6">
        <v>44595</v>
      </c>
      <c r="B147" t="str">
        <f t="shared" si="15"/>
        <v>Febrero</v>
      </c>
      <c r="C147" s="1" t="s">
        <v>31</v>
      </c>
      <c r="D147" s="58" t="str">
        <f>VLOOKUP(Datos!$C147,$AQ$2:$AR$41,2,0)</f>
        <v>Centro</v>
      </c>
      <c r="E147" s="1">
        <v>23225</v>
      </c>
      <c r="F147" s="1" t="str">
        <f t="array" ref="F147">_xlfn.IFS(H147=0,"Alta sin facturar",H147&gt;2,"Cliente",H147&gt;0,"Cliente nuevo")</f>
        <v>Cliente</v>
      </c>
      <c r="G147" s="1"/>
      <c r="H147" s="1">
        <f t="shared" si="19"/>
        <v>6</v>
      </c>
      <c r="I147" s="2">
        <v>0</v>
      </c>
      <c r="J147" s="2">
        <v>0</v>
      </c>
      <c r="K147" s="2">
        <v>488.3599999999999</v>
      </c>
      <c r="L147" s="2">
        <v>600.87999999999988</v>
      </c>
      <c r="M147" s="2">
        <v>1238.8800000000003</v>
      </c>
      <c r="N147" s="89">
        <v>1460.44</v>
      </c>
      <c r="O147" s="89">
        <v>1881.5200000000004</v>
      </c>
      <c r="P147" s="89">
        <v>1280.6399999999999</v>
      </c>
      <c r="Q147" s="54">
        <f t="shared" si="16"/>
        <v>6950.7199999999993</v>
      </c>
      <c r="R147" s="89">
        <v>1881.52</v>
      </c>
      <c r="S147" s="92">
        <f t="shared" si="20"/>
        <v>6</v>
      </c>
      <c r="T147" s="59">
        <f t="shared" si="17"/>
        <v>5069.1999999999989</v>
      </c>
      <c r="U147" s="60">
        <f t="shared" si="18"/>
        <v>0.27069425901201605</v>
      </c>
      <c r="V147" s="59" t="str">
        <f t="array" ref="V147">_xlfn.IFS(S147=0,"Alta sin facturar",S147&gt;2,"Cliente",S147&gt;0,"Cliente nuevo")</f>
        <v>Cliente</v>
      </c>
      <c r="W147" s="59" t="str">
        <f t="shared" si="21"/>
        <v>Ha pagado</v>
      </c>
      <c r="X147" s="3"/>
      <c r="Y147" s="3"/>
      <c r="Z147" s="3"/>
      <c r="AA147" s="3"/>
      <c r="AB147" s="3"/>
      <c r="AC147" s="3"/>
      <c r="AD147" s="3"/>
      <c r="AE147" s="3"/>
      <c r="AG147"/>
      <c r="AH147"/>
      <c r="AI147"/>
      <c r="AJ147"/>
      <c r="AK147"/>
      <c r="AL147"/>
      <c r="AM147"/>
      <c r="AN147"/>
    </row>
    <row r="148" spans="1:40" x14ac:dyDescent="0.25">
      <c r="A148" s="6">
        <v>44595</v>
      </c>
      <c r="B148" t="str">
        <f t="shared" si="15"/>
        <v>Febrero</v>
      </c>
      <c r="C148" s="1" t="s">
        <v>31</v>
      </c>
      <c r="D148" s="58" t="str">
        <f>VLOOKUP(Datos!$C148,$AQ$2:$AR$41,2,0)</f>
        <v>Centro</v>
      </c>
      <c r="E148" s="1">
        <v>23226</v>
      </c>
      <c r="F148" s="1" t="str">
        <f t="array" ref="F148">_xlfn.IFS(H148=0,"Alta sin facturar",H148&gt;2,"Cliente",H148&gt;0,"Cliente nuevo")</f>
        <v>Alta sin facturar</v>
      </c>
      <c r="G148" s="1"/>
      <c r="H148" s="1">
        <f t="shared" si="19"/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89">
        <v>0</v>
      </c>
      <c r="O148" s="89">
        <v>0</v>
      </c>
      <c r="P148" s="89">
        <v>0</v>
      </c>
      <c r="Q148" s="54">
        <f t="shared" si="16"/>
        <v>0</v>
      </c>
      <c r="R148" s="89"/>
      <c r="S148" s="92">
        <f t="shared" si="20"/>
        <v>0</v>
      </c>
      <c r="T148" s="59">
        <f t="shared" si="17"/>
        <v>0</v>
      </c>
      <c r="U148" s="60">
        <f t="shared" si="18"/>
        <v>0</v>
      </c>
      <c r="V148" s="59" t="str">
        <f t="array" ref="V148">_xlfn.IFS(S148=0,"Alta sin facturar",S148&gt;2,"Cliente",S148&gt;0,"Cliente nuevo")</f>
        <v>Alta sin facturar</v>
      </c>
      <c r="W148" s="59" t="str">
        <f t="shared" si="21"/>
        <v>Sin pago</v>
      </c>
      <c r="X148" s="3"/>
      <c r="Y148" s="3"/>
      <c r="Z148" s="3"/>
      <c r="AA148" s="3"/>
      <c r="AB148" s="3"/>
      <c r="AC148" s="3"/>
      <c r="AD148" s="3"/>
      <c r="AE148" s="3"/>
      <c r="AG148"/>
      <c r="AH148"/>
      <c r="AI148"/>
      <c r="AJ148"/>
      <c r="AK148"/>
      <c r="AL148"/>
      <c r="AM148"/>
      <c r="AN148"/>
    </row>
    <row r="149" spans="1:40" x14ac:dyDescent="0.25">
      <c r="A149" s="6">
        <v>44596</v>
      </c>
      <c r="B149" t="str">
        <f t="shared" si="15"/>
        <v>Febrero</v>
      </c>
      <c r="C149" s="1" t="s">
        <v>60</v>
      </c>
      <c r="D149" s="58" t="str">
        <f>VLOOKUP(Datos!$C149,$AQ$2:$AR$41,2,0)</f>
        <v>Norte</v>
      </c>
      <c r="E149" s="1">
        <v>23227</v>
      </c>
      <c r="F149" s="1" t="str">
        <f t="array" ref="F149">_xlfn.IFS(H149=0,"Alta sin facturar",H149&gt;2,"Cliente",H149&gt;0,"Cliente nuevo")</f>
        <v>Cliente</v>
      </c>
      <c r="G149" s="1"/>
      <c r="H149" s="1">
        <f t="shared" si="19"/>
        <v>6</v>
      </c>
      <c r="I149" s="2">
        <v>0</v>
      </c>
      <c r="J149" s="2">
        <v>0</v>
      </c>
      <c r="K149" s="2">
        <v>57.999999999999993</v>
      </c>
      <c r="L149" s="2">
        <v>776.04</v>
      </c>
      <c r="M149" s="2">
        <v>57.999999999999993</v>
      </c>
      <c r="N149" s="89">
        <v>2606.52</v>
      </c>
      <c r="O149" s="89">
        <v>3099.5199999999991</v>
      </c>
      <c r="P149" s="89">
        <v>1937.2</v>
      </c>
      <c r="Q149" s="54">
        <f t="shared" si="16"/>
        <v>8535.2799999999988</v>
      </c>
      <c r="R149" s="89">
        <v>976.72</v>
      </c>
      <c r="S149" s="92">
        <f t="shared" si="20"/>
        <v>6</v>
      </c>
      <c r="T149" s="59">
        <f t="shared" si="17"/>
        <v>7558.5599999999986</v>
      </c>
      <c r="U149" s="60">
        <f t="shared" si="18"/>
        <v>0.11443326991030173</v>
      </c>
      <c r="V149" s="59" t="str">
        <f t="array" ref="V149">_xlfn.IFS(S149=0,"Alta sin facturar",S149&gt;2,"Cliente",S149&gt;0,"Cliente nuevo")</f>
        <v>Cliente</v>
      </c>
      <c r="W149" s="59" t="str">
        <f t="shared" si="21"/>
        <v>Ha pagado</v>
      </c>
      <c r="X149" s="3"/>
      <c r="Y149" s="3"/>
      <c r="Z149" s="3"/>
      <c r="AA149" s="3"/>
      <c r="AB149" s="3"/>
      <c r="AC149" s="3"/>
      <c r="AD149" s="3"/>
      <c r="AE149" s="3"/>
      <c r="AG149"/>
      <c r="AH149"/>
      <c r="AI149"/>
      <c r="AJ149"/>
      <c r="AK149"/>
      <c r="AL149"/>
      <c r="AM149"/>
      <c r="AN149"/>
    </row>
    <row r="150" spans="1:40" x14ac:dyDescent="0.25">
      <c r="A150" s="6">
        <v>44596</v>
      </c>
      <c r="B150" t="str">
        <f t="shared" si="15"/>
        <v>Febrero</v>
      </c>
      <c r="C150" s="1" t="s">
        <v>39</v>
      </c>
      <c r="D150" s="58" t="str">
        <f>VLOOKUP(Datos!$C150,$AQ$2:$AR$41,2,0)</f>
        <v>Sur</v>
      </c>
      <c r="E150" s="1">
        <v>23228</v>
      </c>
      <c r="F150" s="1" t="str">
        <f t="array" ref="F150">_xlfn.IFS(H150=0,"Alta sin facturar",H150&gt;2,"Cliente",H150&gt;0,"Cliente nuevo")</f>
        <v>Cliente</v>
      </c>
      <c r="G150" s="1"/>
      <c r="H150" s="1">
        <f t="shared" si="19"/>
        <v>6</v>
      </c>
      <c r="I150" s="2">
        <v>0</v>
      </c>
      <c r="J150" s="2">
        <v>0</v>
      </c>
      <c r="K150" s="2">
        <v>5157.3599999999997</v>
      </c>
      <c r="L150" s="2">
        <v>1756.24</v>
      </c>
      <c r="M150" s="2">
        <v>2133.2399999999998</v>
      </c>
      <c r="N150" s="89">
        <v>887.40000000000009</v>
      </c>
      <c r="O150" s="89">
        <v>7436.76</v>
      </c>
      <c r="P150" s="89">
        <v>8430.880000000001</v>
      </c>
      <c r="Q150" s="54">
        <f t="shared" si="16"/>
        <v>25801.88</v>
      </c>
      <c r="R150" s="89">
        <v>3077.48</v>
      </c>
      <c r="S150" s="92">
        <f t="shared" si="20"/>
        <v>6</v>
      </c>
      <c r="T150" s="59">
        <f t="shared" si="17"/>
        <v>22724.400000000001</v>
      </c>
      <c r="U150" s="60">
        <f t="shared" si="18"/>
        <v>0.11927347929685743</v>
      </c>
      <c r="V150" s="59" t="str">
        <f t="array" ref="V150">_xlfn.IFS(S150=0,"Alta sin facturar",S150&gt;2,"Cliente",S150&gt;0,"Cliente nuevo")</f>
        <v>Cliente</v>
      </c>
      <c r="W150" s="59" t="str">
        <f t="shared" si="21"/>
        <v>Ha pagado</v>
      </c>
      <c r="X150" s="3"/>
      <c r="Y150" s="3"/>
      <c r="Z150" s="3"/>
      <c r="AA150" s="3"/>
      <c r="AB150" s="3"/>
      <c r="AC150" s="3"/>
      <c r="AD150" s="3"/>
      <c r="AE150" s="3"/>
      <c r="AG150"/>
      <c r="AH150"/>
      <c r="AI150"/>
      <c r="AJ150"/>
      <c r="AK150"/>
      <c r="AL150"/>
      <c r="AM150"/>
      <c r="AN150"/>
    </row>
    <row r="151" spans="1:40" x14ac:dyDescent="0.25">
      <c r="A151" s="6">
        <v>44600</v>
      </c>
      <c r="B151" t="str">
        <f t="shared" si="15"/>
        <v>Febrero</v>
      </c>
      <c r="C151" s="1" t="s">
        <v>60</v>
      </c>
      <c r="D151" s="58" t="str">
        <f>VLOOKUP(Datos!$C151,$AQ$2:$AR$41,2,0)</f>
        <v>Norte</v>
      </c>
      <c r="E151" s="1">
        <v>23229</v>
      </c>
      <c r="F151" s="1" t="str">
        <f t="array" ref="F151">_xlfn.IFS(H151=0,"Alta sin facturar",H151&gt;2,"Cliente",H151&gt;0,"Cliente nuevo")</f>
        <v>Cliente</v>
      </c>
      <c r="G151" s="1"/>
      <c r="H151" s="1">
        <f t="shared" si="19"/>
        <v>4</v>
      </c>
      <c r="I151" s="2">
        <v>0</v>
      </c>
      <c r="J151" s="2">
        <v>396.71999999999997</v>
      </c>
      <c r="K151" s="2">
        <v>2056.6799999999998</v>
      </c>
      <c r="L151" s="2">
        <v>972.07999999999993</v>
      </c>
      <c r="M151" s="2">
        <v>2713.2400000000002</v>
      </c>
      <c r="N151" s="89">
        <v>0</v>
      </c>
      <c r="O151" s="89">
        <v>0</v>
      </c>
      <c r="P151" s="89">
        <v>0</v>
      </c>
      <c r="Q151" s="54">
        <f t="shared" si="16"/>
        <v>6138.7199999999993</v>
      </c>
      <c r="R151" s="89">
        <v>0</v>
      </c>
      <c r="S151" s="92">
        <f t="shared" si="20"/>
        <v>4</v>
      </c>
      <c r="T151" s="59">
        <f t="shared" si="17"/>
        <v>6138.7199999999993</v>
      </c>
      <c r="U151" s="60">
        <f t="shared" si="18"/>
        <v>0</v>
      </c>
      <c r="V151" s="59" t="str">
        <f t="array" ref="V151">_xlfn.IFS(S151=0,"Alta sin facturar",S151&gt;2,"Cliente",S151&gt;0,"Cliente nuevo")</f>
        <v>Cliente</v>
      </c>
      <c r="W151" s="59" t="str">
        <f t="shared" si="21"/>
        <v>Ha pagado</v>
      </c>
      <c r="X151" s="3"/>
      <c r="Y151" s="3"/>
      <c r="Z151" s="3"/>
      <c r="AA151" s="3"/>
      <c r="AB151" s="3"/>
      <c r="AC151" s="3"/>
      <c r="AD151" s="3"/>
      <c r="AE151" s="3"/>
      <c r="AG151"/>
      <c r="AH151"/>
      <c r="AI151"/>
      <c r="AJ151"/>
      <c r="AK151"/>
      <c r="AL151"/>
      <c r="AM151"/>
      <c r="AN151"/>
    </row>
    <row r="152" spans="1:40" x14ac:dyDescent="0.25">
      <c r="A152" s="6">
        <v>44600</v>
      </c>
      <c r="B152" t="str">
        <f t="shared" si="15"/>
        <v>Febrero</v>
      </c>
      <c r="C152" s="1" t="s">
        <v>38</v>
      </c>
      <c r="D152" s="58" t="str">
        <f>VLOOKUP(Datos!$C152,$AQ$2:$AR$41,2,0)</f>
        <v>Centro</v>
      </c>
      <c r="E152" s="1">
        <v>23230</v>
      </c>
      <c r="F152" s="1" t="str">
        <f t="array" ref="F152">_xlfn.IFS(H152=0,"Alta sin facturar",H152&gt;2,"Cliente",H152&gt;0,"Cliente nuevo")</f>
        <v>Cliente nuevo</v>
      </c>
      <c r="G152" s="1"/>
      <c r="H152" s="1">
        <f t="shared" si="19"/>
        <v>1</v>
      </c>
      <c r="I152" s="2">
        <v>0</v>
      </c>
      <c r="J152" s="2">
        <v>0</v>
      </c>
      <c r="K152" s="2">
        <v>0</v>
      </c>
      <c r="L152" s="2">
        <v>151.95999999999998</v>
      </c>
      <c r="M152" s="2">
        <v>0</v>
      </c>
      <c r="N152" s="89">
        <v>0</v>
      </c>
      <c r="O152" s="89">
        <v>0</v>
      </c>
      <c r="P152" s="89">
        <v>0</v>
      </c>
      <c r="Q152" s="54">
        <f t="shared" si="16"/>
        <v>151.95999999999998</v>
      </c>
      <c r="R152" s="89">
        <v>0</v>
      </c>
      <c r="S152" s="92">
        <f t="shared" si="20"/>
        <v>1</v>
      </c>
      <c r="T152" s="59">
        <f t="shared" si="17"/>
        <v>151.95999999999998</v>
      </c>
      <c r="U152" s="60">
        <f t="shared" si="18"/>
        <v>0</v>
      </c>
      <c r="V152" s="59" t="str">
        <f t="array" ref="V152">_xlfn.IFS(S152=0,"Alta sin facturar",S152&gt;2,"Cliente",S152&gt;0,"Cliente nuevo")</f>
        <v>Cliente nuevo</v>
      </c>
      <c r="W152" s="59" t="str">
        <f t="shared" si="21"/>
        <v>Ha pagado</v>
      </c>
      <c r="X152" s="3"/>
      <c r="Y152" s="3"/>
      <c r="Z152" s="3"/>
      <c r="AA152" s="3"/>
      <c r="AB152" s="3"/>
      <c r="AC152" s="3"/>
      <c r="AD152" s="3"/>
      <c r="AE152" s="3"/>
      <c r="AG152"/>
      <c r="AH152"/>
      <c r="AI152"/>
      <c r="AJ152"/>
      <c r="AK152"/>
      <c r="AL152"/>
      <c r="AM152"/>
      <c r="AN152"/>
    </row>
    <row r="153" spans="1:40" x14ac:dyDescent="0.25">
      <c r="A153" s="6">
        <v>44600</v>
      </c>
      <c r="B153" t="str">
        <f t="shared" si="15"/>
        <v>Febrero</v>
      </c>
      <c r="C153" s="1" t="s">
        <v>38</v>
      </c>
      <c r="D153" s="58" t="str">
        <f>VLOOKUP(Datos!$C153,$AQ$2:$AR$41,2,0)</f>
        <v>Centro</v>
      </c>
      <c r="E153" s="1">
        <v>23231</v>
      </c>
      <c r="F153" s="1" t="str">
        <f t="array" ref="F153">_xlfn.IFS(H153=0,"Alta sin facturar",H153&gt;2,"Cliente",H153&gt;0,"Cliente nuevo")</f>
        <v>Alta sin facturar</v>
      </c>
      <c r="G153" s="1"/>
      <c r="H153" s="1">
        <f t="shared" si="19"/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89">
        <v>0</v>
      </c>
      <c r="O153" s="89">
        <v>0</v>
      </c>
      <c r="P153" s="89">
        <v>0</v>
      </c>
      <c r="Q153" s="54">
        <f t="shared" si="16"/>
        <v>0</v>
      </c>
      <c r="R153" s="89">
        <v>0</v>
      </c>
      <c r="S153" s="92">
        <f t="shared" si="20"/>
        <v>0</v>
      </c>
      <c r="T153" s="59">
        <f t="shared" si="17"/>
        <v>0</v>
      </c>
      <c r="U153" s="60">
        <f t="shared" si="18"/>
        <v>0</v>
      </c>
      <c r="V153" s="59" t="str">
        <f t="array" ref="V153">_xlfn.IFS(S153=0,"Alta sin facturar",S153&gt;2,"Cliente",S153&gt;0,"Cliente nuevo")</f>
        <v>Alta sin facturar</v>
      </c>
      <c r="W153" s="59" t="str">
        <f t="shared" si="21"/>
        <v>Sin pago</v>
      </c>
      <c r="X153" s="3"/>
      <c r="Y153" s="3"/>
      <c r="Z153" s="3"/>
      <c r="AA153" s="3"/>
      <c r="AB153" s="3"/>
      <c r="AC153" s="3"/>
      <c r="AD153" s="3"/>
      <c r="AE153" s="3"/>
      <c r="AG153"/>
      <c r="AH153"/>
      <c r="AI153"/>
      <c r="AJ153"/>
      <c r="AK153"/>
      <c r="AL153"/>
      <c r="AM153"/>
      <c r="AN153"/>
    </row>
    <row r="154" spans="1:40" x14ac:dyDescent="0.25">
      <c r="A154" s="6">
        <v>44569</v>
      </c>
      <c r="B154" t="str">
        <f t="shared" si="15"/>
        <v>Enero</v>
      </c>
      <c r="C154" s="1" t="s">
        <v>59</v>
      </c>
      <c r="D154" s="58" t="str">
        <f>VLOOKUP(Datos!$C154,$AQ$2:$AR$41,2,0)</f>
        <v>Magallanes</v>
      </c>
      <c r="E154" s="1">
        <v>23232</v>
      </c>
      <c r="F154" s="1" t="str">
        <f t="array" ref="F154">_xlfn.IFS(H154=0,"Alta sin facturar",H154&gt;2,"Cliente",H154&gt;0,"Cliente nuevo")</f>
        <v>Cliente</v>
      </c>
      <c r="G154" s="1"/>
      <c r="H154" s="1">
        <f t="shared" si="19"/>
        <v>7</v>
      </c>
      <c r="I154" s="2">
        <v>0</v>
      </c>
      <c r="J154" s="2">
        <v>70.759999999999991</v>
      </c>
      <c r="K154" s="2">
        <v>605.52</v>
      </c>
      <c r="L154" s="2">
        <v>463.99999999999994</v>
      </c>
      <c r="M154" s="2">
        <v>1021.9599999999999</v>
      </c>
      <c r="N154" s="89">
        <v>832.88</v>
      </c>
      <c r="O154" s="89">
        <v>807.3599999999999</v>
      </c>
      <c r="P154" s="89">
        <v>1449.9999999999995</v>
      </c>
      <c r="Q154" s="54">
        <f t="shared" si="16"/>
        <v>5252.48</v>
      </c>
      <c r="R154" s="89">
        <v>0</v>
      </c>
      <c r="S154" s="92">
        <f t="shared" si="20"/>
        <v>7</v>
      </c>
      <c r="T154" s="59">
        <f t="shared" si="17"/>
        <v>5252.48</v>
      </c>
      <c r="U154" s="60">
        <f t="shared" si="18"/>
        <v>0</v>
      </c>
      <c r="V154" s="59" t="str">
        <f t="array" ref="V154">_xlfn.IFS(S154=0,"Alta sin facturar",S154&gt;2,"Cliente",S154&gt;0,"Cliente nuevo")</f>
        <v>Cliente</v>
      </c>
      <c r="W154" s="59" t="str">
        <f t="shared" si="21"/>
        <v>Ha pagado</v>
      </c>
      <c r="X154" s="3"/>
      <c r="Y154" s="3"/>
      <c r="Z154" s="3"/>
      <c r="AA154" s="3"/>
      <c r="AB154" s="3"/>
      <c r="AC154" s="3"/>
      <c r="AD154" s="3"/>
      <c r="AE154" s="3"/>
      <c r="AG154"/>
      <c r="AH154"/>
      <c r="AI154"/>
      <c r="AJ154"/>
      <c r="AK154"/>
      <c r="AL154"/>
      <c r="AM154"/>
      <c r="AN154"/>
    </row>
    <row r="155" spans="1:40" x14ac:dyDescent="0.25">
      <c r="A155" s="6">
        <v>44600</v>
      </c>
      <c r="B155" t="str">
        <f t="shared" si="15"/>
        <v>Febrero</v>
      </c>
      <c r="C155" s="1" t="s">
        <v>61</v>
      </c>
      <c r="D155" s="58" t="str">
        <f>VLOOKUP(Datos!$C155,$AQ$2:$AR$41,2,0)</f>
        <v>Centro</v>
      </c>
      <c r="E155" s="1">
        <v>23233</v>
      </c>
      <c r="F155" s="1" t="str">
        <f t="array" ref="F155">_xlfn.IFS(H155=0,"Alta sin facturar",H155&gt;2,"Cliente",H155&gt;0,"Cliente nuevo")</f>
        <v>Cliente</v>
      </c>
      <c r="G155" s="1"/>
      <c r="H155" s="1">
        <f t="shared" si="19"/>
        <v>3</v>
      </c>
      <c r="I155" s="2">
        <v>0</v>
      </c>
      <c r="J155" s="2">
        <v>0</v>
      </c>
      <c r="K155" s="2">
        <v>0</v>
      </c>
      <c r="L155" s="2">
        <v>0</v>
      </c>
      <c r="M155" s="2">
        <v>198.35999999999999</v>
      </c>
      <c r="N155" s="89">
        <v>3717.8</v>
      </c>
      <c r="O155" s="89">
        <v>0</v>
      </c>
      <c r="P155" s="89">
        <v>407.15999999999997</v>
      </c>
      <c r="Q155" s="54">
        <f t="shared" si="16"/>
        <v>4323.3200000000006</v>
      </c>
      <c r="R155" s="89">
        <v>0</v>
      </c>
      <c r="S155" s="92">
        <f t="shared" si="20"/>
        <v>3</v>
      </c>
      <c r="T155" s="59">
        <f t="shared" si="17"/>
        <v>4323.3200000000006</v>
      </c>
      <c r="U155" s="60">
        <f t="shared" si="18"/>
        <v>0</v>
      </c>
      <c r="V155" s="59" t="str">
        <f t="array" ref="V155">_xlfn.IFS(S155=0,"Alta sin facturar",S155&gt;2,"Cliente",S155&gt;0,"Cliente nuevo")</f>
        <v>Cliente</v>
      </c>
      <c r="W155" s="59" t="str">
        <f t="shared" si="21"/>
        <v>Ha pagado</v>
      </c>
      <c r="X155" s="3"/>
      <c r="Y155" s="3"/>
      <c r="Z155" s="3"/>
      <c r="AA155" s="3"/>
      <c r="AB155" s="3"/>
      <c r="AC155" s="3"/>
      <c r="AD155" s="3"/>
      <c r="AE155" s="3"/>
      <c r="AG155"/>
      <c r="AH155"/>
      <c r="AI155"/>
      <c r="AJ155"/>
      <c r="AK155"/>
      <c r="AL155"/>
      <c r="AM155"/>
      <c r="AN155"/>
    </row>
    <row r="156" spans="1:40" x14ac:dyDescent="0.25">
      <c r="A156" s="6">
        <v>44600</v>
      </c>
      <c r="B156" t="str">
        <f t="shared" si="15"/>
        <v>Febrero</v>
      </c>
      <c r="C156" s="1" t="s">
        <v>37</v>
      </c>
      <c r="D156" s="58" t="str">
        <f>VLOOKUP(Datos!$C156,$AQ$2:$AR$41,2,0)</f>
        <v>Norte</v>
      </c>
      <c r="E156" s="1">
        <v>23234</v>
      </c>
      <c r="F156" s="1" t="str">
        <f t="array" ref="F156">_xlfn.IFS(H156=0,"Alta sin facturar",H156&gt;2,"Cliente",H156&gt;0,"Cliente nuevo")</f>
        <v>Cliente nuevo</v>
      </c>
      <c r="G156" s="1"/>
      <c r="H156" s="1">
        <f t="shared" si="19"/>
        <v>2</v>
      </c>
      <c r="I156" s="2">
        <v>0</v>
      </c>
      <c r="J156" s="2">
        <v>0</v>
      </c>
      <c r="K156" s="2">
        <v>136.88</v>
      </c>
      <c r="L156" s="2">
        <v>0</v>
      </c>
      <c r="M156" s="2">
        <v>0</v>
      </c>
      <c r="N156" s="89">
        <v>5800</v>
      </c>
      <c r="O156" s="89">
        <v>0</v>
      </c>
      <c r="P156" s="89">
        <v>0</v>
      </c>
      <c r="Q156" s="54">
        <f t="shared" si="16"/>
        <v>5936.88</v>
      </c>
      <c r="R156" s="89">
        <v>7560.88</v>
      </c>
      <c r="S156" s="92">
        <f t="shared" si="20"/>
        <v>2</v>
      </c>
      <c r="T156" s="59">
        <f t="shared" si="17"/>
        <v>-1624</v>
      </c>
      <c r="U156" s="60">
        <f t="shared" si="18"/>
        <v>1.2735443532629933</v>
      </c>
      <c r="V156" s="59" t="str">
        <f t="array" ref="V156">_xlfn.IFS(S156=0,"Alta sin facturar",S156&gt;2,"Cliente",S156&gt;0,"Cliente nuevo")</f>
        <v>Cliente nuevo</v>
      </c>
      <c r="W156" s="59" t="str">
        <f t="shared" si="21"/>
        <v>Sin pago</v>
      </c>
      <c r="X156" s="3"/>
      <c r="Y156" s="3"/>
      <c r="Z156" s="3"/>
      <c r="AA156" s="3"/>
      <c r="AB156" s="3"/>
      <c r="AC156" s="3"/>
      <c r="AD156" s="3"/>
      <c r="AE156" s="3"/>
      <c r="AG156"/>
      <c r="AH156"/>
      <c r="AI156"/>
      <c r="AJ156"/>
      <c r="AK156"/>
      <c r="AL156"/>
      <c r="AM156"/>
      <c r="AN156"/>
    </row>
    <row r="157" spans="1:40" x14ac:dyDescent="0.25">
      <c r="A157" s="6">
        <v>44601</v>
      </c>
      <c r="B157" t="str">
        <f t="shared" si="15"/>
        <v>Febrero</v>
      </c>
      <c r="C157" s="1" t="s">
        <v>67</v>
      </c>
      <c r="D157" s="58" t="str">
        <f>VLOOKUP(Datos!$C157,$AQ$2:$AR$41,2,0)</f>
        <v>Norte</v>
      </c>
      <c r="E157" s="1">
        <v>23235</v>
      </c>
      <c r="F157" s="1" t="str">
        <f t="array" ref="F157">_xlfn.IFS(H157=0,"Alta sin facturar",H157&gt;2,"Cliente",H157&gt;0,"Cliente nuevo")</f>
        <v>Cliente nuevo</v>
      </c>
      <c r="G157" s="1"/>
      <c r="H157" s="1">
        <f t="shared" si="19"/>
        <v>2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89">
        <v>1160</v>
      </c>
      <c r="O157" s="89">
        <v>0</v>
      </c>
      <c r="P157" s="89">
        <v>348</v>
      </c>
      <c r="Q157" s="54">
        <f t="shared" si="16"/>
        <v>1508</v>
      </c>
      <c r="R157" s="89">
        <v>0</v>
      </c>
      <c r="S157" s="92">
        <f t="shared" si="20"/>
        <v>2</v>
      </c>
      <c r="T157" s="59">
        <f t="shared" si="17"/>
        <v>1508</v>
      </c>
      <c r="U157" s="60">
        <f t="shared" si="18"/>
        <v>0</v>
      </c>
      <c r="V157" s="59" t="str">
        <f t="array" ref="V157">_xlfn.IFS(S157=0,"Alta sin facturar",S157&gt;2,"Cliente",S157&gt;0,"Cliente nuevo")</f>
        <v>Cliente nuevo</v>
      </c>
      <c r="W157" s="59" t="str">
        <f t="shared" si="21"/>
        <v>Ha pagado</v>
      </c>
      <c r="X157" s="3"/>
      <c r="Y157" s="3"/>
      <c r="Z157" s="3"/>
      <c r="AA157" s="3"/>
      <c r="AB157" s="3"/>
      <c r="AC157" s="3"/>
      <c r="AD157" s="3"/>
      <c r="AE157" s="3"/>
      <c r="AG157"/>
      <c r="AH157"/>
      <c r="AI157"/>
      <c r="AJ157"/>
      <c r="AK157"/>
      <c r="AL157"/>
      <c r="AM157"/>
      <c r="AN157"/>
    </row>
    <row r="158" spans="1:40" x14ac:dyDescent="0.25">
      <c r="A158" s="6">
        <v>44601</v>
      </c>
      <c r="B158" t="str">
        <f t="shared" si="15"/>
        <v>Febrero</v>
      </c>
      <c r="C158" s="1" t="s">
        <v>36</v>
      </c>
      <c r="D158" s="58" t="str">
        <f>VLOOKUP(Datos!$C158,$AQ$2:$AR$41,2,0)</f>
        <v>Magallanes</v>
      </c>
      <c r="E158" s="1">
        <v>23236</v>
      </c>
      <c r="F158" s="1" t="str">
        <f t="array" ref="F158">_xlfn.IFS(H158=0,"Alta sin facturar",H158&gt;2,"Cliente",H158&gt;0,"Cliente nuevo")</f>
        <v>Alta sin facturar</v>
      </c>
      <c r="G158" s="1"/>
      <c r="H158" s="1">
        <f t="shared" si="19"/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89">
        <v>0</v>
      </c>
      <c r="O158" s="89">
        <v>0</v>
      </c>
      <c r="P158" s="89">
        <v>0</v>
      </c>
      <c r="Q158" s="54">
        <f t="shared" si="16"/>
        <v>0</v>
      </c>
      <c r="R158" s="89"/>
      <c r="S158" s="92">
        <f t="shared" si="20"/>
        <v>0</v>
      </c>
      <c r="T158" s="59">
        <f t="shared" si="17"/>
        <v>0</v>
      </c>
      <c r="U158" s="60">
        <f t="shared" si="18"/>
        <v>0</v>
      </c>
      <c r="V158" s="59" t="str">
        <f t="array" ref="V158">_xlfn.IFS(S158=0,"Alta sin facturar",S158&gt;2,"Cliente",S158&gt;0,"Cliente nuevo")</f>
        <v>Alta sin facturar</v>
      </c>
      <c r="W158" s="59" t="str">
        <f t="shared" si="21"/>
        <v>Sin pago</v>
      </c>
      <c r="X158" s="3"/>
      <c r="Y158" s="3"/>
      <c r="Z158" s="3"/>
      <c r="AA158" s="3"/>
      <c r="AB158" s="3"/>
      <c r="AC158" s="3"/>
      <c r="AD158" s="3"/>
      <c r="AE158" s="3"/>
      <c r="AG158"/>
      <c r="AH158"/>
      <c r="AI158"/>
      <c r="AJ158"/>
      <c r="AK158"/>
      <c r="AL158"/>
      <c r="AM158"/>
      <c r="AN158"/>
    </row>
    <row r="159" spans="1:40" x14ac:dyDescent="0.25">
      <c r="A159" s="6">
        <v>44601</v>
      </c>
      <c r="B159" t="str">
        <f t="shared" si="15"/>
        <v>Febrero</v>
      </c>
      <c r="C159" s="1" t="s">
        <v>65</v>
      </c>
      <c r="D159" s="58" t="str">
        <f>VLOOKUP(Datos!$C159,$AQ$2:$AR$41,2,0)</f>
        <v>Centro</v>
      </c>
      <c r="E159" s="1">
        <v>23237</v>
      </c>
      <c r="F159" s="1" t="str">
        <f t="array" ref="F159">_xlfn.IFS(H159=0,"Alta sin facturar",H159&gt;2,"Cliente",H159&gt;0,"Cliente nuevo")</f>
        <v>Alta sin facturar</v>
      </c>
      <c r="G159" s="1"/>
      <c r="H159" s="1">
        <f t="shared" si="19"/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89">
        <v>0</v>
      </c>
      <c r="O159" s="89">
        <v>0</v>
      </c>
      <c r="P159" s="89">
        <v>0</v>
      </c>
      <c r="Q159" s="54">
        <f t="shared" si="16"/>
        <v>0</v>
      </c>
      <c r="R159" s="89"/>
      <c r="S159" s="92">
        <f t="shared" si="20"/>
        <v>0</v>
      </c>
      <c r="T159" s="59">
        <f t="shared" si="17"/>
        <v>0</v>
      </c>
      <c r="U159" s="60">
        <f t="shared" si="18"/>
        <v>0</v>
      </c>
      <c r="V159" s="59" t="str">
        <f t="array" ref="V159">_xlfn.IFS(S159=0,"Alta sin facturar",S159&gt;2,"Cliente",S159&gt;0,"Cliente nuevo")</f>
        <v>Alta sin facturar</v>
      </c>
      <c r="W159" s="59" t="str">
        <f t="shared" si="21"/>
        <v>Sin pago</v>
      </c>
      <c r="X159" s="3"/>
      <c r="Y159" s="3"/>
      <c r="Z159" s="3"/>
      <c r="AA159" s="3"/>
      <c r="AB159" s="3"/>
      <c r="AC159" s="3"/>
      <c r="AD159" s="3"/>
      <c r="AE159" s="3"/>
      <c r="AG159"/>
      <c r="AH159"/>
      <c r="AI159"/>
      <c r="AJ159"/>
      <c r="AK159"/>
      <c r="AL159"/>
      <c r="AM159"/>
      <c r="AN159"/>
    </row>
    <row r="160" spans="1:40" x14ac:dyDescent="0.25">
      <c r="A160" s="6">
        <v>44602</v>
      </c>
      <c r="B160" t="str">
        <f t="shared" si="15"/>
        <v>Febrero</v>
      </c>
      <c r="C160" s="1" t="s">
        <v>65</v>
      </c>
      <c r="D160" s="58" t="str">
        <f>VLOOKUP(Datos!$C160,$AQ$2:$AR$41,2,0)</f>
        <v>Centro</v>
      </c>
      <c r="E160" s="1">
        <v>23238</v>
      </c>
      <c r="F160" s="1" t="str">
        <f t="array" ref="F160">_xlfn.IFS(H160=0,"Alta sin facturar",H160&gt;2,"Cliente",H160&gt;0,"Cliente nuevo")</f>
        <v>Cliente nuevo</v>
      </c>
      <c r="G160" s="1"/>
      <c r="H160" s="1">
        <f t="shared" si="19"/>
        <v>1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89">
        <v>11.6</v>
      </c>
      <c r="O160" s="89">
        <v>0</v>
      </c>
      <c r="P160" s="89">
        <v>0</v>
      </c>
      <c r="Q160" s="54">
        <f t="shared" si="16"/>
        <v>11.6</v>
      </c>
      <c r="R160" s="89">
        <v>11.6</v>
      </c>
      <c r="S160" s="92">
        <f t="shared" si="20"/>
        <v>1</v>
      </c>
      <c r="T160" s="59">
        <f t="shared" si="17"/>
        <v>0</v>
      </c>
      <c r="U160" s="60">
        <f t="shared" si="18"/>
        <v>1</v>
      </c>
      <c r="V160" s="59" t="str">
        <f t="array" ref="V160">_xlfn.IFS(S160=0,"Alta sin facturar",S160&gt;2,"Cliente",S160&gt;0,"Cliente nuevo")</f>
        <v>Cliente nuevo</v>
      </c>
      <c r="W160" s="59" t="str">
        <f t="shared" si="21"/>
        <v>Sin pago</v>
      </c>
      <c r="X160" s="3"/>
      <c r="Y160" s="3"/>
      <c r="Z160" s="3"/>
      <c r="AA160" s="3"/>
      <c r="AB160" s="3"/>
      <c r="AC160" s="3"/>
      <c r="AD160" s="3"/>
      <c r="AE160" s="3"/>
      <c r="AG160"/>
      <c r="AH160"/>
      <c r="AI160"/>
      <c r="AJ160"/>
      <c r="AK160"/>
      <c r="AL160"/>
      <c r="AM160"/>
      <c r="AN160"/>
    </row>
    <row r="161" spans="1:40" x14ac:dyDescent="0.25">
      <c r="A161" s="6">
        <v>44602</v>
      </c>
      <c r="B161" t="str">
        <f t="shared" si="15"/>
        <v>Febrero</v>
      </c>
      <c r="C161" s="1" t="s">
        <v>59</v>
      </c>
      <c r="D161" s="58" t="str">
        <f>VLOOKUP(Datos!$C161,$AQ$2:$AR$41,2,0)</f>
        <v>Magallanes</v>
      </c>
      <c r="E161" s="1">
        <v>23239</v>
      </c>
      <c r="F161" s="1" t="str">
        <f t="array" ref="F161">_xlfn.IFS(H161=0,"Alta sin facturar",H161&gt;2,"Cliente",H161&gt;0,"Cliente nuevo")</f>
        <v>Alta sin facturar</v>
      </c>
      <c r="G161" s="1"/>
      <c r="H161" s="1">
        <f t="shared" si="19"/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89">
        <v>0</v>
      </c>
      <c r="O161" s="89">
        <v>0</v>
      </c>
      <c r="P161" s="89">
        <v>0</v>
      </c>
      <c r="Q161" s="54">
        <f t="shared" si="16"/>
        <v>0</v>
      </c>
      <c r="R161" s="89"/>
      <c r="S161" s="92">
        <f t="shared" si="20"/>
        <v>0</v>
      </c>
      <c r="T161" s="59">
        <f t="shared" si="17"/>
        <v>0</v>
      </c>
      <c r="U161" s="60">
        <f t="shared" si="18"/>
        <v>0</v>
      </c>
      <c r="V161" s="59" t="str">
        <f t="array" ref="V161">_xlfn.IFS(S161=0,"Alta sin facturar",S161&gt;2,"Cliente",S161&gt;0,"Cliente nuevo")</f>
        <v>Alta sin facturar</v>
      </c>
      <c r="W161" s="59" t="str">
        <f t="shared" si="21"/>
        <v>Sin pago</v>
      </c>
      <c r="X161" s="3"/>
      <c r="Y161" s="3"/>
      <c r="Z161" s="3"/>
      <c r="AA161" s="3"/>
      <c r="AB161" s="3"/>
      <c r="AC161" s="3"/>
      <c r="AD161" s="3"/>
      <c r="AE161" s="3"/>
      <c r="AG161"/>
      <c r="AH161"/>
      <c r="AI161"/>
      <c r="AJ161"/>
      <c r="AK161"/>
      <c r="AL161"/>
      <c r="AM161"/>
      <c r="AN161"/>
    </row>
    <row r="162" spans="1:40" x14ac:dyDescent="0.25">
      <c r="A162" s="6">
        <v>44602</v>
      </c>
      <c r="B162" t="str">
        <f t="shared" si="15"/>
        <v>Febrero</v>
      </c>
      <c r="C162" s="1" t="s">
        <v>34</v>
      </c>
      <c r="D162" s="58" t="str">
        <f>VLOOKUP(Datos!$C162,$AQ$2:$AR$41,2,0)</f>
        <v>Norte</v>
      </c>
      <c r="E162" s="1">
        <v>23240</v>
      </c>
      <c r="F162" s="1" t="str">
        <f t="array" ref="F162">_xlfn.IFS(H162=0,"Alta sin facturar",H162&gt;2,"Cliente",H162&gt;0,"Cliente nuevo")</f>
        <v>Cliente</v>
      </c>
      <c r="G162" s="1"/>
      <c r="H162" s="1">
        <f t="shared" si="19"/>
        <v>5</v>
      </c>
      <c r="I162" s="2">
        <v>0</v>
      </c>
      <c r="J162" s="2">
        <v>0</v>
      </c>
      <c r="K162" s="2">
        <v>2397.7199999999998</v>
      </c>
      <c r="L162" s="2">
        <v>0</v>
      </c>
      <c r="M162" s="2">
        <v>6276.7599999999984</v>
      </c>
      <c r="N162" s="89">
        <v>5303.52</v>
      </c>
      <c r="O162" s="89">
        <v>13752.959999999997</v>
      </c>
      <c r="P162" s="89">
        <v>5158.5199999999986</v>
      </c>
      <c r="Q162" s="54">
        <f t="shared" si="16"/>
        <v>32889.479999999996</v>
      </c>
      <c r="R162" s="89">
        <v>16188.96</v>
      </c>
      <c r="S162" s="92">
        <f t="shared" si="20"/>
        <v>5</v>
      </c>
      <c r="T162" s="59">
        <f t="shared" si="17"/>
        <v>16700.519999999997</v>
      </c>
      <c r="U162" s="60">
        <f t="shared" si="18"/>
        <v>0.49222304518040422</v>
      </c>
      <c r="V162" s="59" t="str">
        <f t="array" ref="V162">_xlfn.IFS(S162=0,"Alta sin facturar",S162&gt;2,"Cliente",S162&gt;0,"Cliente nuevo")</f>
        <v>Cliente</v>
      </c>
      <c r="W162" s="59" t="str">
        <f t="shared" si="21"/>
        <v>Ha pagado</v>
      </c>
      <c r="X162" s="3"/>
      <c r="Y162" s="3"/>
      <c r="Z162" s="3"/>
      <c r="AA162" s="3"/>
      <c r="AB162" s="3"/>
      <c r="AC162" s="3"/>
      <c r="AD162" s="3"/>
      <c r="AE162" s="3"/>
      <c r="AG162"/>
      <c r="AH162"/>
      <c r="AI162"/>
      <c r="AJ162"/>
      <c r="AK162"/>
      <c r="AL162"/>
      <c r="AM162"/>
      <c r="AN162"/>
    </row>
    <row r="163" spans="1:40" x14ac:dyDescent="0.25">
      <c r="A163" s="6">
        <v>44602</v>
      </c>
      <c r="B163" t="str">
        <f t="shared" si="15"/>
        <v>Febrero</v>
      </c>
      <c r="C163" s="1" t="s">
        <v>64</v>
      </c>
      <c r="D163" s="58" t="str">
        <f>VLOOKUP(Datos!$C163,$AQ$2:$AR$41,2,0)</f>
        <v>Norte</v>
      </c>
      <c r="E163" s="1">
        <v>23241</v>
      </c>
      <c r="F163" s="1" t="str">
        <f t="array" ref="F163">_xlfn.IFS(H163=0,"Alta sin facturar",H163&gt;2,"Cliente",H163&gt;0,"Cliente nuevo")</f>
        <v>Cliente</v>
      </c>
      <c r="G163" s="1"/>
      <c r="H163" s="1">
        <f t="shared" si="19"/>
        <v>5</v>
      </c>
      <c r="I163" s="2">
        <v>0</v>
      </c>
      <c r="J163" s="2">
        <v>1308.4799999999998</v>
      </c>
      <c r="K163" s="2">
        <v>2300.2799999999993</v>
      </c>
      <c r="L163" s="2">
        <v>2145.9999999999995</v>
      </c>
      <c r="M163" s="2">
        <v>1006.88</v>
      </c>
      <c r="N163" s="89">
        <v>2633.2000000000003</v>
      </c>
      <c r="O163" s="89">
        <v>0</v>
      </c>
      <c r="P163" s="89">
        <v>0</v>
      </c>
      <c r="Q163" s="54">
        <f t="shared" si="16"/>
        <v>9394.8399999999983</v>
      </c>
      <c r="R163" s="89">
        <v>2633.2000000000003</v>
      </c>
      <c r="S163" s="92">
        <f t="shared" si="20"/>
        <v>5</v>
      </c>
      <c r="T163" s="59">
        <f t="shared" si="17"/>
        <v>6761.6399999999976</v>
      </c>
      <c r="U163" s="60">
        <f t="shared" si="18"/>
        <v>0.28028151623657249</v>
      </c>
      <c r="V163" s="59" t="str">
        <f t="array" ref="V163">_xlfn.IFS(S163=0,"Alta sin facturar",S163&gt;2,"Cliente",S163&gt;0,"Cliente nuevo")</f>
        <v>Cliente</v>
      </c>
      <c r="W163" s="59" t="str">
        <f t="shared" si="21"/>
        <v>Ha pagado</v>
      </c>
      <c r="X163" s="3"/>
      <c r="Y163" s="3"/>
      <c r="Z163" s="3"/>
      <c r="AA163" s="3"/>
      <c r="AB163" s="3"/>
      <c r="AC163" s="3"/>
      <c r="AD163" s="3"/>
      <c r="AE163" s="3"/>
      <c r="AG163"/>
      <c r="AH163"/>
      <c r="AI163"/>
      <c r="AJ163"/>
      <c r="AK163"/>
      <c r="AL163"/>
      <c r="AM163"/>
      <c r="AN163"/>
    </row>
    <row r="164" spans="1:40" x14ac:dyDescent="0.25">
      <c r="A164" s="6">
        <v>44602</v>
      </c>
      <c r="B164" t="str">
        <f t="shared" si="15"/>
        <v>Febrero</v>
      </c>
      <c r="C164" s="1" t="s">
        <v>66</v>
      </c>
      <c r="D164" s="58" t="str">
        <f>VLOOKUP(Datos!$C164,$AQ$2:$AR$41,2,0)</f>
        <v>Sur</v>
      </c>
      <c r="E164" s="1">
        <v>23242</v>
      </c>
      <c r="F164" s="1" t="str">
        <f t="array" ref="F164">_xlfn.IFS(H164=0,"Alta sin facturar",H164&gt;2,"Cliente",H164&gt;0,"Cliente nuevo")</f>
        <v>Cliente nuevo</v>
      </c>
      <c r="G164" s="1"/>
      <c r="H164" s="1">
        <f t="shared" si="19"/>
        <v>2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89">
        <v>27444.440000000002</v>
      </c>
      <c r="O164" s="89">
        <v>0</v>
      </c>
      <c r="P164" s="89">
        <v>1940.6799999999996</v>
      </c>
      <c r="Q164" s="54">
        <f t="shared" si="16"/>
        <v>29385.120000000003</v>
      </c>
      <c r="R164" s="89">
        <v>3424.3199999999997</v>
      </c>
      <c r="S164" s="92">
        <f t="shared" si="20"/>
        <v>2</v>
      </c>
      <c r="T164" s="59">
        <f t="shared" si="17"/>
        <v>25960.800000000003</v>
      </c>
      <c r="U164" s="60">
        <f t="shared" si="18"/>
        <v>0.11653244907626716</v>
      </c>
      <c r="V164" s="59" t="str">
        <f t="array" ref="V164">_xlfn.IFS(S164=0,"Alta sin facturar",S164&gt;2,"Cliente",S164&gt;0,"Cliente nuevo")</f>
        <v>Cliente nuevo</v>
      </c>
      <c r="W164" s="59" t="str">
        <f t="shared" si="21"/>
        <v>Ha pagado</v>
      </c>
      <c r="X164" s="3"/>
      <c r="Y164" s="3"/>
      <c r="Z164" s="3"/>
      <c r="AA164" s="3"/>
      <c r="AB164" s="3"/>
      <c r="AC164" s="3"/>
      <c r="AD164" s="3"/>
      <c r="AE164" s="3"/>
      <c r="AG164"/>
      <c r="AH164"/>
      <c r="AI164"/>
      <c r="AJ164"/>
      <c r="AK164"/>
      <c r="AL164"/>
      <c r="AM164"/>
      <c r="AN164"/>
    </row>
    <row r="165" spans="1:40" x14ac:dyDescent="0.25">
      <c r="A165" s="6">
        <v>44603</v>
      </c>
      <c r="B165" t="str">
        <f t="shared" si="15"/>
        <v>Febrero</v>
      </c>
      <c r="C165" s="1" t="s">
        <v>106</v>
      </c>
      <c r="D165" s="58" t="e">
        <f>VLOOKUP(Datos!$C165,$AQ$2:$AR$41,2,0)</f>
        <v>#N/A</v>
      </c>
      <c r="E165" s="1">
        <v>23243</v>
      </c>
      <c r="F165" s="1" t="str">
        <f t="array" ref="F165">_xlfn.IFS(H165=0,"Alta sin facturar",H165&gt;2,"Cliente",H165&gt;0,"Cliente nuevo")</f>
        <v>Alta sin facturar</v>
      </c>
      <c r="G165" s="1"/>
      <c r="H165" s="1">
        <f t="shared" si="19"/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89">
        <v>0</v>
      </c>
      <c r="O165" s="89">
        <v>0</v>
      </c>
      <c r="P165" s="89">
        <v>0</v>
      </c>
      <c r="Q165" s="54">
        <f t="shared" si="16"/>
        <v>0</v>
      </c>
      <c r="R165" s="89">
        <v>44011.31</v>
      </c>
      <c r="S165" s="92">
        <f t="shared" si="20"/>
        <v>0</v>
      </c>
      <c r="T165" s="59">
        <f t="shared" si="17"/>
        <v>-44011.31</v>
      </c>
      <c r="U165" s="60">
        <f t="shared" si="18"/>
        <v>0</v>
      </c>
      <c r="V165" s="59" t="str">
        <f t="array" ref="V165">_xlfn.IFS(S165=0,"Alta sin facturar",S165&gt;2,"Cliente",S165&gt;0,"Cliente nuevo")</f>
        <v>Alta sin facturar</v>
      </c>
      <c r="W165" s="59" t="str">
        <f t="shared" si="21"/>
        <v>Sin pago</v>
      </c>
      <c r="X165" s="3"/>
      <c r="Y165" s="3"/>
      <c r="Z165" s="3"/>
      <c r="AA165" s="3"/>
      <c r="AB165" s="3"/>
      <c r="AC165" s="3"/>
      <c r="AD165" s="3"/>
      <c r="AE165" s="3"/>
      <c r="AG165"/>
      <c r="AH165"/>
      <c r="AI165"/>
      <c r="AJ165"/>
      <c r="AK165"/>
      <c r="AL165"/>
      <c r="AM165"/>
      <c r="AN165"/>
    </row>
    <row r="166" spans="1:40" x14ac:dyDescent="0.25">
      <c r="A166" s="6">
        <v>44603</v>
      </c>
      <c r="B166" t="str">
        <f t="shared" si="15"/>
        <v>Febrero</v>
      </c>
      <c r="C166" s="1" t="s">
        <v>34</v>
      </c>
      <c r="D166" s="58" t="str">
        <f>VLOOKUP(Datos!$C166,$AQ$2:$AR$41,2,0)</f>
        <v>Norte</v>
      </c>
      <c r="E166" s="1">
        <v>23244</v>
      </c>
      <c r="F166" s="1" t="str">
        <f t="array" ref="F166">_xlfn.IFS(H166=0,"Alta sin facturar",H166&gt;2,"Cliente",H166&gt;0,"Cliente nuevo")</f>
        <v>Cliente</v>
      </c>
      <c r="G166" s="1"/>
      <c r="H166" s="1">
        <f t="shared" si="19"/>
        <v>7</v>
      </c>
      <c r="I166" s="2">
        <v>0</v>
      </c>
      <c r="J166" s="2">
        <v>1648.36</v>
      </c>
      <c r="K166" s="2">
        <v>3821.04</v>
      </c>
      <c r="L166" s="2">
        <v>6950.7199999999984</v>
      </c>
      <c r="M166" s="2">
        <v>5675.8799999999992</v>
      </c>
      <c r="N166" s="89">
        <v>3829.16</v>
      </c>
      <c r="O166" s="89">
        <v>6290.68</v>
      </c>
      <c r="P166" s="89">
        <v>4637.68</v>
      </c>
      <c r="Q166" s="54">
        <f t="shared" si="16"/>
        <v>32853.520000000004</v>
      </c>
      <c r="R166" s="89">
        <v>1647.2</v>
      </c>
      <c r="S166" s="92">
        <f t="shared" si="20"/>
        <v>7</v>
      </c>
      <c r="T166" s="59">
        <f t="shared" si="17"/>
        <v>31206.320000000003</v>
      </c>
      <c r="U166" s="60">
        <f t="shared" si="18"/>
        <v>5.0137702139679399E-2</v>
      </c>
      <c r="V166" s="59" t="str">
        <f t="array" ref="V166">_xlfn.IFS(S166=0,"Alta sin facturar",S166&gt;2,"Cliente",S166&gt;0,"Cliente nuevo")</f>
        <v>Cliente</v>
      </c>
      <c r="W166" s="59" t="str">
        <f t="shared" si="21"/>
        <v>Ha pagado</v>
      </c>
      <c r="X166" s="3"/>
      <c r="Y166" s="3"/>
      <c r="Z166" s="3"/>
      <c r="AA166" s="3"/>
      <c r="AB166" s="3"/>
      <c r="AC166" s="3"/>
      <c r="AD166" s="3"/>
      <c r="AE166" s="3"/>
      <c r="AG166"/>
      <c r="AH166"/>
      <c r="AI166"/>
      <c r="AJ166"/>
      <c r="AK166"/>
      <c r="AL166"/>
      <c r="AM166"/>
      <c r="AN166"/>
    </row>
    <row r="167" spans="1:40" x14ac:dyDescent="0.25">
      <c r="A167" s="6">
        <v>44603</v>
      </c>
      <c r="B167" t="str">
        <f t="shared" si="15"/>
        <v>Febrero</v>
      </c>
      <c r="C167" s="1" t="s">
        <v>62</v>
      </c>
      <c r="D167" s="58" t="str">
        <f>VLOOKUP(Datos!$C167,$AQ$2:$AR$41,2,0)</f>
        <v>Norte</v>
      </c>
      <c r="E167" s="1">
        <v>23245</v>
      </c>
      <c r="F167" s="1" t="str">
        <f t="array" ref="F167">_xlfn.IFS(H167=0,"Alta sin facturar",H167&gt;2,"Cliente",H167&gt;0,"Cliente nuevo")</f>
        <v>Alta sin facturar</v>
      </c>
      <c r="G167" s="1"/>
      <c r="H167" s="1">
        <f t="shared" si="19"/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89">
        <v>0</v>
      </c>
      <c r="O167" s="89">
        <v>0</v>
      </c>
      <c r="P167" s="89">
        <v>0</v>
      </c>
      <c r="Q167" s="54">
        <f t="shared" si="16"/>
        <v>0</v>
      </c>
      <c r="R167" s="89"/>
      <c r="S167" s="92">
        <f t="shared" si="20"/>
        <v>0</v>
      </c>
      <c r="T167" s="59">
        <f t="shared" si="17"/>
        <v>0</v>
      </c>
      <c r="U167" s="60">
        <f t="shared" si="18"/>
        <v>0</v>
      </c>
      <c r="V167" s="59" t="str">
        <f t="array" ref="V167">_xlfn.IFS(S167=0,"Alta sin facturar",S167&gt;2,"Cliente",S167&gt;0,"Cliente nuevo")</f>
        <v>Alta sin facturar</v>
      </c>
      <c r="W167" s="59" t="str">
        <f t="shared" si="21"/>
        <v>Sin pago</v>
      </c>
      <c r="X167" s="3"/>
      <c r="Y167" s="3"/>
      <c r="Z167" s="3"/>
      <c r="AA167" s="3"/>
      <c r="AB167" s="3"/>
      <c r="AC167" s="3"/>
      <c r="AD167" s="3"/>
      <c r="AE167" s="3"/>
      <c r="AG167"/>
      <c r="AH167"/>
      <c r="AI167"/>
      <c r="AJ167"/>
      <c r="AK167"/>
      <c r="AL167"/>
      <c r="AM167"/>
      <c r="AN167"/>
    </row>
    <row r="168" spans="1:40" x14ac:dyDescent="0.25">
      <c r="A168" s="6">
        <v>44603</v>
      </c>
      <c r="B168" t="str">
        <f t="shared" si="15"/>
        <v>Febrero</v>
      </c>
      <c r="C168" s="1" t="s">
        <v>62</v>
      </c>
      <c r="D168" s="58" t="str">
        <f>VLOOKUP(Datos!$C168,$AQ$2:$AR$41,2,0)</f>
        <v>Norte</v>
      </c>
      <c r="E168" s="1">
        <v>23246</v>
      </c>
      <c r="F168" s="1" t="str">
        <f t="array" ref="F168">_xlfn.IFS(H168=0,"Alta sin facturar",H168&gt;2,"Cliente",H168&gt;0,"Cliente nuevo")</f>
        <v>Alta sin facturar</v>
      </c>
      <c r="G168" s="1"/>
      <c r="H168" s="1">
        <f t="shared" si="19"/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89">
        <v>0</v>
      </c>
      <c r="O168" s="89">
        <v>0</v>
      </c>
      <c r="P168" s="89">
        <v>0</v>
      </c>
      <c r="Q168" s="54">
        <f t="shared" si="16"/>
        <v>0</v>
      </c>
      <c r="R168" s="89">
        <v>17052</v>
      </c>
      <c r="S168" s="92">
        <f t="shared" si="20"/>
        <v>0</v>
      </c>
      <c r="T168" s="59">
        <f t="shared" si="17"/>
        <v>-17052</v>
      </c>
      <c r="U168" s="60">
        <f t="shared" si="18"/>
        <v>0</v>
      </c>
      <c r="V168" s="59" t="str">
        <f t="array" ref="V168">_xlfn.IFS(S168=0,"Alta sin facturar",S168&gt;2,"Cliente",S168&gt;0,"Cliente nuevo")</f>
        <v>Alta sin facturar</v>
      </c>
      <c r="W168" s="59" t="str">
        <f t="shared" si="21"/>
        <v>Sin pago</v>
      </c>
      <c r="X168" s="3"/>
      <c r="Y168" s="3"/>
      <c r="Z168" s="3"/>
      <c r="AA168" s="3"/>
      <c r="AB168" s="3"/>
      <c r="AC168" s="3"/>
      <c r="AD168" s="3"/>
      <c r="AE168" s="3"/>
      <c r="AG168"/>
      <c r="AH168"/>
      <c r="AI168"/>
      <c r="AJ168"/>
      <c r="AK168"/>
      <c r="AL168"/>
      <c r="AM168"/>
      <c r="AN168"/>
    </row>
    <row r="169" spans="1:40" x14ac:dyDescent="0.25">
      <c r="A169" s="6">
        <v>44603</v>
      </c>
      <c r="B169" t="str">
        <f t="shared" si="15"/>
        <v>Febrero</v>
      </c>
      <c r="C169" s="1" t="s">
        <v>61</v>
      </c>
      <c r="D169" s="58" t="str">
        <f>VLOOKUP(Datos!$C169,$AQ$2:$AR$41,2,0)</f>
        <v>Centro</v>
      </c>
      <c r="E169" s="1">
        <v>23247</v>
      </c>
      <c r="F169" s="1" t="str">
        <f t="array" ref="F169">_xlfn.IFS(H169=0,"Alta sin facturar",H169&gt;2,"Cliente",H169&gt;0,"Cliente nuevo")</f>
        <v>Cliente</v>
      </c>
      <c r="G169" s="1"/>
      <c r="H169" s="1">
        <f t="shared" si="19"/>
        <v>3</v>
      </c>
      <c r="I169" s="2">
        <v>0</v>
      </c>
      <c r="J169" s="2">
        <v>8107.24</v>
      </c>
      <c r="K169" s="2">
        <v>17606.479999999992</v>
      </c>
      <c r="L169" s="2">
        <v>14146.199999999972</v>
      </c>
      <c r="M169" s="2">
        <v>0</v>
      </c>
      <c r="N169" s="89">
        <v>0</v>
      </c>
      <c r="O169" s="89">
        <v>0</v>
      </c>
      <c r="P169" s="89">
        <v>0</v>
      </c>
      <c r="Q169" s="54">
        <f t="shared" si="16"/>
        <v>39859.919999999969</v>
      </c>
      <c r="R169" s="89">
        <v>0</v>
      </c>
      <c r="S169" s="92">
        <f t="shared" si="20"/>
        <v>3</v>
      </c>
      <c r="T169" s="59">
        <f t="shared" si="17"/>
        <v>39859.919999999969</v>
      </c>
      <c r="U169" s="60">
        <f t="shared" si="18"/>
        <v>0</v>
      </c>
      <c r="V169" s="59" t="str">
        <f t="array" ref="V169">_xlfn.IFS(S169=0,"Alta sin facturar",S169&gt;2,"Cliente",S169&gt;0,"Cliente nuevo")</f>
        <v>Cliente</v>
      </c>
      <c r="W169" s="59" t="str">
        <f t="shared" si="21"/>
        <v>Ha pagado</v>
      </c>
      <c r="X169" s="3"/>
      <c r="Y169" s="3"/>
      <c r="Z169" s="3"/>
      <c r="AA169" s="3"/>
      <c r="AB169" s="3"/>
      <c r="AC169" s="3"/>
      <c r="AD169" s="3"/>
      <c r="AE169" s="3"/>
      <c r="AG169"/>
      <c r="AH169"/>
      <c r="AI169"/>
      <c r="AJ169"/>
      <c r="AK169"/>
      <c r="AL169"/>
      <c r="AM169"/>
      <c r="AN169"/>
    </row>
    <row r="170" spans="1:40" x14ac:dyDescent="0.25">
      <c r="A170" s="6">
        <v>44604</v>
      </c>
      <c r="B170" t="str">
        <f t="shared" si="15"/>
        <v>Febrero</v>
      </c>
      <c r="C170" s="1" t="s">
        <v>66</v>
      </c>
      <c r="D170" s="58" t="str">
        <f>VLOOKUP(Datos!$C170,$AQ$2:$AR$41,2,0)</f>
        <v>Sur</v>
      </c>
      <c r="E170" s="1">
        <v>23248</v>
      </c>
      <c r="F170" s="1" t="str">
        <f t="array" ref="F170">_xlfn.IFS(H170=0,"Alta sin facturar",H170&gt;2,"Cliente",H170&gt;0,"Cliente nuevo")</f>
        <v>Alta sin facturar</v>
      </c>
      <c r="G170" s="1"/>
      <c r="H170" s="1">
        <f t="shared" si="19"/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89">
        <v>0</v>
      </c>
      <c r="O170" s="89">
        <v>0</v>
      </c>
      <c r="P170" s="89">
        <v>0</v>
      </c>
      <c r="Q170" s="54">
        <f t="shared" si="16"/>
        <v>0</v>
      </c>
      <c r="R170" s="89"/>
      <c r="S170" s="92">
        <f t="shared" si="20"/>
        <v>0</v>
      </c>
      <c r="T170" s="59">
        <f t="shared" si="17"/>
        <v>0</v>
      </c>
      <c r="U170" s="60">
        <f t="shared" si="18"/>
        <v>0</v>
      </c>
      <c r="V170" s="59" t="str">
        <f t="array" ref="V170">_xlfn.IFS(S170=0,"Alta sin facturar",S170&gt;2,"Cliente",S170&gt;0,"Cliente nuevo")</f>
        <v>Alta sin facturar</v>
      </c>
      <c r="W170" s="59" t="str">
        <f t="shared" si="21"/>
        <v>Sin pago</v>
      </c>
      <c r="X170" s="3"/>
      <c r="Y170" s="3"/>
      <c r="Z170" s="3"/>
      <c r="AA170" s="3"/>
      <c r="AB170" s="3"/>
      <c r="AC170" s="3"/>
      <c r="AD170" s="3"/>
      <c r="AE170" s="3"/>
      <c r="AG170"/>
      <c r="AH170"/>
      <c r="AI170"/>
      <c r="AJ170"/>
      <c r="AK170"/>
      <c r="AL170"/>
      <c r="AM170"/>
      <c r="AN170"/>
    </row>
    <row r="171" spans="1:40" x14ac:dyDescent="0.25">
      <c r="A171" s="6">
        <v>44604</v>
      </c>
      <c r="B171" t="str">
        <f t="shared" si="15"/>
        <v>Febrero</v>
      </c>
      <c r="C171" s="1" t="s">
        <v>60</v>
      </c>
      <c r="D171" s="58" t="str">
        <f>VLOOKUP(Datos!$C171,$AQ$2:$AR$41,2,0)</f>
        <v>Norte</v>
      </c>
      <c r="E171" s="1">
        <v>23249</v>
      </c>
      <c r="F171" s="1" t="str">
        <f t="array" ref="F171">_xlfn.IFS(H171=0,"Alta sin facturar",H171&gt;2,"Cliente",H171&gt;0,"Cliente nuevo")</f>
        <v>Cliente nuevo</v>
      </c>
      <c r="G171" s="1"/>
      <c r="H171" s="1">
        <f t="shared" si="19"/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89">
        <v>580</v>
      </c>
      <c r="O171" s="89">
        <v>0</v>
      </c>
      <c r="P171" s="89">
        <v>0</v>
      </c>
      <c r="Q171" s="54">
        <f t="shared" si="16"/>
        <v>580</v>
      </c>
      <c r="R171" s="89">
        <v>580</v>
      </c>
      <c r="S171" s="92">
        <f t="shared" si="20"/>
        <v>1</v>
      </c>
      <c r="T171" s="59">
        <f t="shared" si="17"/>
        <v>0</v>
      </c>
      <c r="U171" s="60">
        <f t="shared" si="18"/>
        <v>1</v>
      </c>
      <c r="V171" s="59" t="str">
        <f t="array" ref="V171">_xlfn.IFS(S171=0,"Alta sin facturar",S171&gt;2,"Cliente",S171&gt;0,"Cliente nuevo")</f>
        <v>Cliente nuevo</v>
      </c>
      <c r="W171" s="59" t="str">
        <f t="shared" si="21"/>
        <v>Sin pago</v>
      </c>
      <c r="X171" s="3"/>
      <c r="Y171" s="3"/>
      <c r="Z171" s="3"/>
      <c r="AA171" s="3"/>
      <c r="AB171" s="3"/>
      <c r="AC171" s="3"/>
      <c r="AD171" s="3"/>
      <c r="AE171" s="3"/>
      <c r="AG171"/>
      <c r="AH171"/>
      <c r="AI171"/>
      <c r="AJ171"/>
      <c r="AK171"/>
      <c r="AL171"/>
      <c r="AM171"/>
      <c r="AN171"/>
    </row>
    <row r="172" spans="1:40" x14ac:dyDescent="0.25">
      <c r="A172" s="6">
        <v>44604</v>
      </c>
      <c r="B172" t="str">
        <f t="shared" si="15"/>
        <v>Febrero</v>
      </c>
      <c r="C172" s="1" t="s">
        <v>62</v>
      </c>
      <c r="D172" s="58" t="str">
        <f>VLOOKUP(Datos!$C172,$AQ$2:$AR$41,2,0)</f>
        <v>Norte</v>
      </c>
      <c r="E172" s="1">
        <v>23250</v>
      </c>
      <c r="F172" s="1" t="str">
        <f t="array" ref="F172">_xlfn.IFS(H172=0,"Alta sin facturar",H172&gt;2,"Cliente",H172&gt;0,"Cliente nuevo")</f>
        <v>Cliente</v>
      </c>
      <c r="G172" s="1"/>
      <c r="H172" s="1">
        <f t="shared" si="19"/>
        <v>5</v>
      </c>
      <c r="I172" s="2">
        <v>0</v>
      </c>
      <c r="J172" s="2">
        <v>0</v>
      </c>
      <c r="K172" s="2">
        <v>1237.7199999999998</v>
      </c>
      <c r="L172" s="2">
        <v>0</v>
      </c>
      <c r="M172" s="2">
        <v>2207.48</v>
      </c>
      <c r="N172" s="89">
        <v>1227.28</v>
      </c>
      <c r="O172" s="89">
        <v>11254.32</v>
      </c>
      <c r="P172" s="89">
        <v>11745</v>
      </c>
      <c r="Q172" s="54">
        <f t="shared" si="16"/>
        <v>27671.8</v>
      </c>
      <c r="R172" s="89">
        <v>11627.84</v>
      </c>
      <c r="S172" s="92">
        <f t="shared" si="20"/>
        <v>5</v>
      </c>
      <c r="T172" s="59">
        <f t="shared" si="17"/>
        <v>16043.96</v>
      </c>
      <c r="U172" s="60">
        <f t="shared" si="18"/>
        <v>0.42020540767134773</v>
      </c>
      <c r="V172" s="59" t="str">
        <f t="array" ref="V172">_xlfn.IFS(S172=0,"Alta sin facturar",S172&gt;2,"Cliente",S172&gt;0,"Cliente nuevo")</f>
        <v>Cliente</v>
      </c>
      <c r="W172" s="59" t="str">
        <f t="shared" si="21"/>
        <v>Ha pagado</v>
      </c>
      <c r="X172" s="3"/>
      <c r="Y172" s="3"/>
      <c r="Z172" s="3"/>
      <c r="AA172" s="3"/>
      <c r="AB172" s="3"/>
      <c r="AC172" s="3"/>
      <c r="AD172" s="3"/>
      <c r="AE172" s="3"/>
      <c r="AG172"/>
      <c r="AH172"/>
      <c r="AI172"/>
      <c r="AJ172"/>
      <c r="AK172"/>
      <c r="AL172"/>
      <c r="AM172"/>
      <c r="AN172"/>
    </row>
    <row r="173" spans="1:40" x14ac:dyDescent="0.25">
      <c r="A173" s="6">
        <v>44604</v>
      </c>
      <c r="B173" t="str">
        <f t="shared" si="15"/>
        <v>Febrero</v>
      </c>
      <c r="C173" s="1" t="s">
        <v>34</v>
      </c>
      <c r="D173" s="58" t="str">
        <f>VLOOKUP(Datos!$C173,$AQ$2:$AR$41,2,0)</f>
        <v>Norte</v>
      </c>
      <c r="E173" s="1">
        <v>23251</v>
      </c>
      <c r="F173" s="1" t="str">
        <f t="array" ref="F173">_xlfn.IFS(H173=0,"Alta sin facturar",H173&gt;2,"Cliente",H173&gt;0,"Cliente nuevo")</f>
        <v>Cliente</v>
      </c>
      <c r="G173" s="1"/>
      <c r="H173" s="1">
        <f t="shared" si="19"/>
        <v>3</v>
      </c>
      <c r="I173" s="2">
        <v>0</v>
      </c>
      <c r="J173" s="2">
        <v>0</v>
      </c>
      <c r="K173" s="2">
        <v>4776.88</v>
      </c>
      <c r="L173" s="2">
        <v>676.28</v>
      </c>
      <c r="M173" s="2">
        <v>2533.44</v>
      </c>
      <c r="N173" s="89">
        <v>0</v>
      </c>
      <c r="O173" s="89">
        <v>0</v>
      </c>
      <c r="P173" s="89">
        <v>0</v>
      </c>
      <c r="Q173" s="54">
        <f t="shared" si="16"/>
        <v>7986.6</v>
      </c>
      <c r="R173" s="89">
        <v>0</v>
      </c>
      <c r="S173" s="92">
        <f t="shared" si="20"/>
        <v>3</v>
      </c>
      <c r="T173" s="59">
        <f t="shared" si="17"/>
        <v>7986.6</v>
      </c>
      <c r="U173" s="60">
        <f t="shared" si="18"/>
        <v>0</v>
      </c>
      <c r="V173" s="59" t="str">
        <f t="array" ref="V173">_xlfn.IFS(S173=0,"Alta sin facturar",S173&gt;2,"Cliente",S173&gt;0,"Cliente nuevo")</f>
        <v>Cliente</v>
      </c>
      <c r="W173" s="59" t="str">
        <f t="shared" si="21"/>
        <v>Ha pagado</v>
      </c>
      <c r="X173" s="3"/>
      <c r="Y173" s="3"/>
      <c r="Z173" s="3"/>
      <c r="AA173" s="3"/>
      <c r="AB173" s="3"/>
      <c r="AC173" s="3"/>
      <c r="AD173" s="3"/>
      <c r="AE173" s="3"/>
      <c r="AG173"/>
      <c r="AH173"/>
      <c r="AI173"/>
      <c r="AJ173"/>
      <c r="AK173"/>
      <c r="AL173"/>
      <c r="AM173"/>
      <c r="AN173"/>
    </row>
    <row r="174" spans="1:40" x14ac:dyDescent="0.25">
      <c r="A174" s="6">
        <v>44604</v>
      </c>
      <c r="B174" t="str">
        <f t="shared" si="15"/>
        <v>Febrero</v>
      </c>
      <c r="C174" s="1" t="s">
        <v>39</v>
      </c>
      <c r="D174" s="58" t="str">
        <f>VLOOKUP(Datos!$C174,$AQ$2:$AR$41,2,0)</f>
        <v>Sur</v>
      </c>
      <c r="E174" s="1">
        <v>23252</v>
      </c>
      <c r="F174" s="1" t="str">
        <f t="array" ref="F174">_xlfn.IFS(H174=0,"Alta sin facturar",H174&gt;2,"Cliente",H174&gt;0,"Cliente nuevo")</f>
        <v>Cliente</v>
      </c>
      <c r="G174" s="1"/>
      <c r="H174" s="1">
        <f t="shared" si="19"/>
        <v>6</v>
      </c>
      <c r="I174" s="2">
        <v>0</v>
      </c>
      <c r="J174" s="2">
        <v>546.36</v>
      </c>
      <c r="K174" s="2">
        <v>1422.1599999999999</v>
      </c>
      <c r="L174" s="2">
        <v>0</v>
      </c>
      <c r="M174" s="2">
        <v>2396.56</v>
      </c>
      <c r="N174" s="89">
        <v>1211.04</v>
      </c>
      <c r="O174" s="89">
        <v>751.68</v>
      </c>
      <c r="P174" s="89">
        <v>1390.84</v>
      </c>
      <c r="Q174" s="54">
        <f t="shared" si="16"/>
        <v>7718.64</v>
      </c>
      <c r="R174" s="89">
        <v>0</v>
      </c>
      <c r="S174" s="92">
        <f t="shared" si="20"/>
        <v>6</v>
      </c>
      <c r="T174" s="59">
        <f t="shared" si="17"/>
        <v>7718.64</v>
      </c>
      <c r="U174" s="60">
        <f t="shared" si="18"/>
        <v>0</v>
      </c>
      <c r="V174" s="59" t="str">
        <f t="array" ref="V174">_xlfn.IFS(S174=0,"Alta sin facturar",S174&gt;2,"Cliente",S174&gt;0,"Cliente nuevo")</f>
        <v>Cliente</v>
      </c>
      <c r="W174" s="59" t="str">
        <f t="shared" si="21"/>
        <v>Ha pagado</v>
      </c>
      <c r="X174" s="3"/>
      <c r="Y174" s="3"/>
      <c r="Z174" s="3"/>
      <c r="AA174" s="3"/>
      <c r="AB174" s="3"/>
      <c r="AC174" s="3"/>
      <c r="AD174" s="3"/>
      <c r="AE174" s="3"/>
      <c r="AG174"/>
      <c r="AH174"/>
      <c r="AI174"/>
      <c r="AJ174"/>
      <c r="AK174"/>
      <c r="AL174"/>
      <c r="AM174"/>
      <c r="AN174"/>
    </row>
    <row r="175" spans="1:40" x14ac:dyDescent="0.25">
      <c r="A175" s="6">
        <v>44607</v>
      </c>
      <c r="B175" t="str">
        <f t="shared" si="15"/>
        <v>Febrero</v>
      </c>
      <c r="C175" s="1" t="s">
        <v>34</v>
      </c>
      <c r="D175" s="58" t="str">
        <f>VLOOKUP(Datos!$C175,$AQ$2:$AR$41,2,0)</f>
        <v>Norte</v>
      </c>
      <c r="E175" s="1">
        <v>23253</v>
      </c>
      <c r="F175" s="1" t="str">
        <f t="array" ref="F175">_xlfn.IFS(H175=0,"Alta sin facturar",H175&gt;2,"Cliente",H175&gt;0,"Cliente nuevo")</f>
        <v>Cliente nuevo</v>
      </c>
      <c r="G175" s="1"/>
      <c r="H175" s="1">
        <f t="shared" si="19"/>
        <v>1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89">
        <v>0</v>
      </c>
      <c r="O175" s="89">
        <v>0</v>
      </c>
      <c r="P175" s="89">
        <v>5051.7999999999984</v>
      </c>
      <c r="Q175" s="54">
        <f t="shared" si="16"/>
        <v>5051.7999999999984</v>
      </c>
      <c r="R175" s="89">
        <v>866.52</v>
      </c>
      <c r="S175" s="92">
        <f t="shared" si="20"/>
        <v>1</v>
      </c>
      <c r="T175" s="59">
        <f t="shared" si="17"/>
        <v>4185.2799999999988</v>
      </c>
      <c r="U175" s="60">
        <f t="shared" si="18"/>
        <v>0.17152698048220441</v>
      </c>
      <c r="V175" s="59" t="str">
        <f t="array" ref="V175">_xlfn.IFS(S175=0,"Alta sin facturar",S175&gt;2,"Cliente",S175&gt;0,"Cliente nuevo")</f>
        <v>Cliente nuevo</v>
      </c>
      <c r="W175" s="59" t="str">
        <f t="shared" si="21"/>
        <v>Ha pagado</v>
      </c>
      <c r="X175" s="3"/>
      <c r="Y175" s="3"/>
      <c r="Z175" s="3"/>
      <c r="AA175" s="3"/>
      <c r="AB175" s="3"/>
      <c r="AC175" s="3"/>
      <c r="AD175" s="3"/>
      <c r="AE175" s="3"/>
      <c r="AG175"/>
      <c r="AH175"/>
      <c r="AI175"/>
      <c r="AJ175"/>
      <c r="AK175"/>
      <c r="AL175"/>
      <c r="AM175"/>
      <c r="AN175"/>
    </row>
    <row r="176" spans="1:40" x14ac:dyDescent="0.25">
      <c r="A176" s="6">
        <v>44576</v>
      </c>
      <c r="B176" t="str">
        <f t="shared" si="15"/>
        <v>Enero</v>
      </c>
      <c r="C176" s="1" t="s">
        <v>36</v>
      </c>
      <c r="D176" s="58" t="str">
        <f>VLOOKUP(Datos!$C176,$AQ$2:$AR$41,2,0)</f>
        <v>Magallanes</v>
      </c>
      <c r="E176" s="1">
        <v>23255</v>
      </c>
      <c r="F176" s="1" t="str">
        <f t="array" ref="F176">_xlfn.IFS(H176=0,"Alta sin facturar",H176&gt;2,"Cliente",H176&gt;0,"Cliente nuevo")</f>
        <v>Cliente nuevo</v>
      </c>
      <c r="G176" s="1"/>
      <c r="H176" s="1">
        <f t="shared" si="19"/>
        <v>2</v>
      </c>
      <c r="I176" s="2">
        <v>0</v>
      </c>
      <c r="J176" s="2">
        <v>0</v>
      </c>
      <c r="K176" s="2">
        <v>784.16</v>
      </c>
      <c r="L176" s="2">
        <v>0</v>
      </c>
      <c r="M176" s="2">
        <v>0</v>
      </c>
      <c r="N176" s="89">
        <v>3016</v>
      </c>
      <c r="O176" s="89">
        <v>0</v>
      </c>
      <c r="P176" s="89">
        <v>0</v>
      </c>
      <c r="Q176" s="54">
        <f t="shared" si="16"/>
        <v>3800.16</v>
      </c>
      <c r="R176" s="89">
        <v>0</v>
      </c>
      <c r="S176" s="92">
        <f t="shared" si="20"/>
        <v>2</v>
      </c>
      <c r="T176" s="59">
        <f t="shared" si="17"/>
        <v>3800.16</v>
      </c>
      <c r="U176" s="60">
        <f t="shared" si="18"/>
        <v>0</v>
      </c>
      <c r="V176" s="59" t="str">
        <f t="array" ref="V176">_xlfn.IFS(S176=0,"Alta sin facturar",S176&gt;2,"Cliente",S176&gt;0,"Cliente nuevo")</f>
        <v>Cliente nuevo</v>
      </c>
      <c r="W176" s="59" t="str">
        <f t="shared" si="21"/>
        <v>Ha pagado</v>
      </c>
      <c r="X176" s="3"/>
      <c r="Y176" s="3"/>
      <c r="Z176" s="3"/>
      <c r="AA176" s="3"/>
      <c r="AB176" s="3"/>
      <c r="AC176" s="3"/>
      <c r="AD176" s="3"/>
      <c r="AE176" s="3"/>
      <c r="AG176"/>
      <c r="AH176"/>
      <c r="AI176"/>
      <c r="AJ176"/>
      <c r="AK176"/>
      <c r="AL176"/>
      <c r="AM176"/>
      <c r="AN176"/>
    </row>
    <row r="177" spans="1:40" x14ac:dyDescent="0.25">
      <c r="A177" s="6">
        <v>44607</v>
      </c>
      <c r="B177" t="str">
        <f t="shared" si="15"/>
        <v>Febrero</v>
      </c>
      <c r="C177" s="1" t="s">
        <v>65</v>
      </c>
      <c r="D177" s="58" t="str">
        <f>VLOOKUP(Datos!$C177,$AQ$2:$AR$41,2,0)</f>
        <v>Centro</v>
      </c>
      <c r="E177" s="1">
        <v>23256</v>
      </c>
      <c r="F177" s="1" t="str">
        <f t="array" ref="F177">_xlfn.IFS(H177=0,"Alta sin facturar",H177&gt;2,"Cliente",H177&gt;0,"Cliente nuevo")</f>
        <v>Alta sin facturar</v>
      </c>
      <c r="G177" s="1"/>
      <c r="H177" s="1">
        <f t="shared" si="19"/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89">
        <v>0</v>
      </c>
      <c r="O177" s="89">
        <v>0</v>
      </c>
      <c r="P177" s="89">
        <v>0</v>
      </c>
      <c r="Q177" s="54">
        <f t="shared" si="16"/>
        <v>0</v>
      </c>
      <c r="R177" s="89"/>
      <c r="S177" s="92">
        <f t="shared" si="20"/>
        <v>0</v>
      </c>
      <c r="T177" s="59">
        <f t="shared" si="17"/>
        <v>0</v>
      </c>
      <c r="U177" s="60">
        <f t="shared" si="18"/>
        <v>0</v>
      </c>
      <c r="V177" s="59" t="str">
        <f t="array" ref="V177">_xlfn.IFS(S177=0,"Alta sin facturar",S177&gt;2,"Cliente",S177&gt;0,"Cliente nuevo")</f>
        <v>Alta sin facturar</v>
      </c>
      <c r="W177" s="59" t="str">
        <f t="shared" si="21"/>
        <v>Sin pago</v>
      </c>
      <c r="X177" s="3"/>
      <c r="Y177" s="3"/>
      <c r="Z177" s="3"/>
      <c r="AA177" s="3"/>
      <c r="AB177" s="3"/>
      <c r="AC177" s="3"/>
      <c r="AD177" s="3"/>
      <c r="AE177" s="3"/>
      <c r="AG177"/>
      <c r="AH177"/>
      <c r="AI177"/>
      <c r="AJ177"/>
      <c r="AK177"/>
      <c r="AL177"/>
      <c r="AM177"/>
      <c r="AN177"/>
    </row>
    <row r="178" spans="1:40" x14ac:dyDescent="0.25">
      <c r="A178" s="6">
        <v>44607</v>
      </c>
      <c r="B178" t="str">
        <f t="shared" si="15"/>
        <v>Febrero</v>
      </c>
      <c r="C178" s="1" t="s">
        <v>59</v>
      </c>
      <c r="D178" s="58" t="str">
        <f>VLOOKUP(Datos!$C178,$AQ$2:$AR$41,2,0)</f>
        <v>Magallanes</v>
      </c>
      <c r="E178" s="1">
        <v>23257</v>
      </c>
      <c r="F178" s="1" t="str">
        <f t="array" ref="F178">_xlfn.IFS(H178=0,"Alta sin facturar",H178&gt;2,"Cliente",H178&gt;0,"Cliente nuevo")</f>
        <v>Cliente nuevo</v>
      </c>
      <c r="G178" s="1"/>
      <c r="H178" s="1">
        <f t="shared" si="19"/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89">
        <v>696</v>
      </c>
      <c r="O178" s="89">
        <v>0</v>
      </c>
      <c r="P178" s="89">
        <v>0</v>
      </c>
      <c r="Q178" s="54">
        <f t="shared" si="16"/>
        <v>696</v>
      </c>
      <c r="R178" s="89">
        <v>696</v>
      </c>
      <c r="S178" s="92">
        <f t="shared" si="20"/>
        <v>1</v>
      </c>
      <c r="T178" s="59">
        <f t="shared" si="17"/>
        <v>0</v>
      </c>
      <c r="U178" s="60">
        <f t="shared" si="18"/>
        <v>1</v>
      </c>
      <c r="V178" s="59" t="str">
        <f t="array" ref="V178">_xlfn.IFS(S178=0,"Alta sin facturar",S178&gt;2,"Cliente",S178&gt;0,"Cliente nuevo")</f>
        <v>Cliente nuevo</v>
      </c>
      <c r="W178" s="59" t="str">
        <f t="shared" si="21"/>
        <v>Sin pago</v>
      </c>
      <c r="X178" s="3"/>
      <c r="Y178" s="3"/>
      <c r="Z178" s="3"/>
      <c r="AA178" s="3"/>
      <c r="AB178" s="3"/>
      <c r="AC178" s="3"/>
      <c r="AD178" s="3"/>
      <c r="AE178" s="3"/>
      <c r="AG178"/>
      <c r="AH178"/>
      <c r="AI178"/>
      <c r="AJ178"/>
      <c r="AK178"/>
      <c r="AL178"/>
      <c r="AM178"/>
      <c r="AN178"/>
    </row>
    <row r="179" spans="1:40" x14ac:dyDescent="0.25">
      <c r="A179" s="6">
        <v>44607</v>
      </c>
      <c r="B179" t="str">
        <f t="shared" si="15"/>
        <v>Febrero</v>
      </c>
      <c r="C179" s="1" t="s">
        <v>75</v>
      </c>
      <c r="D179" s="58" t="str">
        <f>VLOOKUP(Datos!$C179,$AQ$2:$AR$41,2,0)</f>
        <v>Centro</v>
      </c>
      <c r="E179" s="1">
        <v>23258</v>
      </c>
      <c r="F179" s="1" t="str">
        <f t="array" ref="F179">_xlfn.IFS(H179=0,"Alta sin facturar",H179&gt;2,"Cliente",H179&gt;0,"Cliente nuevo")</f>
        <v>Alta sin facturar</v>
      </c>
      <c r="G179" s="1"/>
      <c r="H179" s="1">
        <f t="shared" si="19"/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89">
        <v>0</v>
      </c>
      <c r="O179" s="89">
        <v>0</v>
      </c>
      <c r="P179" s="89">
        <v>0</v>
      </c>
      <c r="Q179" s="54">
        <f t="shared" si="16"/>
        <v>0</v>
      </c>
      <c r="R179" s="89">
        <v>0</v>
      </c>
      <c r="S179" s="92">
        <f t="shared" si="20"/>
        <v>0</v>
      </c>
      <c r="T179" s="59">
        <f t="shared" si="17"/>
        <v>0</v>
      </c>
      <c r="U179" s="60">
        <f t="shared" si="18"/>
        <v>0</v>
      </c>
      <c r="V179" s="59" t="str">
        <f t="array" ref="V179">_xlfn.IFS(S179=0,"Alta sin facturar",S179&gt;2,"Cliente",S179&gt;0,"Cliente nuevo")</f>
        <v>Alta sin facturar</v>
      </c>
      <c r="W179" s="59" t="str">
        <f t="shared" si="21"/>
        <v>Sin pago</v>
      </c>
      <c r="X179" s="3"/>
      <c r="Y179" s="3"/>
      <c r="Z179" s="3"/>
      <c r="AA179" s="3"/>
      <c r="AB179" s="3"/>
      <c r="AC179" s="3"/>
      <c r="AD179" s="3"/>
      <c r="AE179" s="3"/>
      <c r="AG179"/>
      <c r="AH179"/>
      <c r="AI179"/>
      <c r="AJ179"/>
      <c r="AK179"/>
      <c r="AL179"/>
      <c r="AM179"/>
      <c r="AN179"/>
    </row>
    <row r="180" spans="1:40" x14ac:dyDescent="0.25">
      <c r="A180" s="6">
        <v>44608</v>
      </c>
      <c r="B180" t="str">
        <f t="shared" si="15"/>
        <v>Febrero</v>
      </c>
      <c r="C180" s="1" t="s">
        <v>60</v>
      </c>
      <c r="D180" s="58" t="str">
        <f>VLOOKUP(Datos!$C180,$AQ$2:$AR$41,2,0)</f>
        <v>Norte</v>
      </c>
      <c r="E180" s="1">
        <v>23259</v>
      </c>
      <c r="F180" s="1" t="str">
        <f t="array" ref="F180">_xlfn.IFS(H180=0,"Alta sin facturar",H180&gt;2,"Cliente",H180&gt;0,"Cliente nuevo")</f>
        <v>Cliente</v>
      </c>
      <c r="G180" s="1"/>
      <c r="H180" s="1">
        <f t="shared" si="19"/>
        <v>3</v>
      </c>
      <c r="I180" s="2">
        <v>0</v>
      </c>
      <c r="J180" s="2">
        <v>2650.599999999999</v>
      </c>
      <c r="K180" s="2">
        <v>9152.4000000000051</v>
      </c>
      <c r="L180" s="2">
        <v>3753.7599999999993</v>
      </c>
      <c r="M180" s="2">
        <v>0</v>
      </c>
      <c r="N180" s="89">
        <v>0</v>
      </c>
      <c r="O180" s="89">
        <v>0</v>
      </c>
      <c r="P180" s="89">
        <v>0</v>
      </c>
      <c r="Q180" s="54">
        <f t="shared" si="16"/>
        <v>15556.760000000002</v>
      </c>
      <c r="R180" s="89">
        <v>0</v>
      </c>
      <c r="S180" s="92">
        <f t="shared" si="20"/>
        <v>3</v>
      </c>
      <c r="T180" s="59">
        <f t="shared" si="17"/>
        <v>15556.760000000002</v>
      </c>
      <c r="U180" s="60">
        <f t="shared" si="18"/>
        <v>0</v>
      </c>
      <c r="V180" s="59" t="str">
        <f t="array" ref="V180">_xlfn.IFS(S180=0,"Alta sin facturar",S180&gt;2,"Cliente",S180&gt;0,"Cliente nuevo")</f>
        <v>Cliente</v>
      </c>
      <c r="W180" s="59" t="str">
        <f t="shared" si="21"/>
        <v>Ha pagado</v>
      </c>
      <c r="X180" s="3"/>
      <c r="Y180" s="3"/>
      <c r="Z180" s="3"/>
      <c r="AA180" s="3"/>
      <c r="AB180" s="3"/>
      <c r="AC180" s="3"/>
      <c r="AD180" s="3"/>
      <c r="AE180" s="3"/>
      <c r="AG180"/>
      <c r="AH180"/>
      <c r="AI180"/>
      <c r="AJ180"/>
      <c r="AK180"/>
      <c r="AL180"/>
      <c r="AM180"/>
      <c r="AN180"/>
    </row>
    <row r="181" spans="1:40" x14ac:dyDescent="0.25">
      <c r="A181" s="6">
        <v>44609</v>
      </c>
      <c r="B181" t="str">
        <f t="shared" si="15"/>
        <v>Febrero</v>
      </c>
      <c r="C181" s="1" t="s">
        <v>60</v>
      </c>
      <c r="D181" s="58" t="str">
        <f>VLOOKUP(Datos!$C181,$AQ$2:$AR$41,2,0)</f>
        <v>Norte</v>
      </c>
      <c r="E181" s="1">
        <v>23260</v>
      </c>
      <c r="F181" s="1" t="str">
        <f t="array" ref="F181">_xlfn.IFS(H181=0,"Alta sin facturar",H181&gt;2,"Cliente",H181&gt;0,"Cliente nuevo")</f>
        <v>Cliente</v>
      </c>
      <c r="G181" s="1"/>
      <c r="H181" s="1">
        <f t="shared" si="19"/>
        <v>5</v>
      </c>
      <c r="I181" s="2">
        <v>0</v>
      </c>
      <c r="J181" s="2">
        <v>0</v>
      </c>
      <c r="K181" s="2">
        <v>506.91999999999996</v>
      </c>
      <c r="L181" s="2">
        <v>395.55999999999995</v>
      </c>
      <c r="M181" s="2">
        <v>0</v>
      </c>
      <c r="N181" s="89">
        <v>95.12</v>
      </c>
      <c r="O181" s="89">
        <v>1131</v>
      </c>
      <c r="P181" s="89">
        <v>1256.28</v>
      </c>
      <c r="Q181" s="54">
        <f t="shared" si="16"/>
        <v>3384.88</v>
      </c>
      <c r="R181" s="89">
        <v>0</v>
      </c>
      <c r="S181" s="92">
        <f t="shared" si="20"/>
        <v>5</v>
      </c>
      <c r="T181" s="59">
        <f t="shared" si="17"/>
        <v>3384.88</v>
      </c>
      <c r="U181" s="60">
        <f t="shared" si="18"/>
        <v>0</v>
      </c>
      <c r="V181" s="59" t="str">
        <f t="array" ref="V181">_xlfn.IFS(S181=0,"Alta sin facturar",S181&gt;2,"Cliente",S181&gt;0,"Cliente nuevo")</f>
        <v>Cliente</v>
      </c>
      <c r="W181" s="59" t="str">
        <f t="shared" si="21"/>
        <v>Ha pagado</v>
      </c>
      <c r="X181" s="3"/>
      <c r="Y181" s="3"/>
      <c r="Z181" s="3"/>
      <c r="AA181" s="3"/>
      <c r="AB181" s="3"/>
      <c r="AC181" s="3"/>
      <c r="AD181" s="3"/>
      <c r="AE181" s="3"/>
      <c r="AG181"/>
      <c r="AH181"/>
      <c r="AI181"/>
      <c r="AJ181"/>
      <c r="AK181"/>
      <c r="AL181"/>
      <c r="AM181"/>
      <c r="AN181"/>
    </row>
    <row r="182" spans="1:40" x14ac:dyDescent="0.25">
      <c r="A182" s="6">
        <v>44609</v>
      </c>
      <c r="B182" t="str">
        <f t="shared" si="15"/>
        <v>Febrero</v>
      </c>
      <c r="C182" s="1" t="s">
        <v>89</v>
      </c>
      <c r="D182" s="58" t="str">
        <f>VLOOKUP(Datos!$C182,$AQ$2:$AR$41,2,0)</f>
        <v>Centro</v>
      </c>
      <c r="E182" s="1">
        <v>23261</v>
      </c>
      <c r="F182" s="1" t="str">
        <f t="array" ref="F182">_xlfn.IFS(H182=0,"Alta sin facturar",H182&gt;2,"Cliente",H182&gt;0,"Cliente nuevo")</f>
        <v>Alta sin facturar</v>
      </c>
      <c r="G182" s="1"/>
      <c r="H182" s="1">
        <f t="shared" si="19"/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89">
        <v>0</v>
      </c>
      <c r="O182" s="89">
        <v>0</v>
      </c>
      <c r="P182" s="89">
        <v>0</v>
      </c>
      <c r="Q182" s="54">
        <f t="shared" si="16"/>
        <v>0</v>
      </c>
      <c r="R182" s="89"/>
      <c r="S182" s="92">
        <f t="shared" si="20"/>
        <v>0</v>
      </c>
      <c r="T182" s="59">
        <f t="shared" si="17"/>
        <v>0</v>
      </c>
      <c r="U182" s="60">
        <f t="shared" si="18"/>
        <v>0</v>
      </c>
      <c r="V182" s="59" t="str">
        <f t="array" ref="V182">_xlfn.IFS(S182=0,"Alta sin facturar",S182&gt;2,"Cliente",S182&gt;0,"Cliente nuevo")</f>
        <v>Alta sin facturar</v>
      </c>
      <c r="W182" s="59" t="str">
        <f t="shared" si="21"/>
        <v>Sin pago</v>
      </c>
      <c r="X182" s="3"/>
      <c r="Y182" s="3"/>
      <c r="Z182" s="3"/>
      <c r="AA182" s="3"/>
      <c r="AB182" s="3"/>
      <c r="AC182" s="3"/>
      <c r="AD182" s="3"/>
      <c r="AE182" s="3"/>
      <c r="AG182"/>
      <c r="AH182"/>
      <c r="AI182"/>
      <c r="AJ182"/>
      <c r="AK182"/>
      <c r="AL182"/>
      <c r="AM182"/>
      <c r="AN182"/>
    </row>
    <row r="183" spans="1:40" x14ac:dyDescent="0.25">
      <c r="A183" s="6">
        <v>44610</v>
      </c>
      <c r="B183" t="str">
        <f t="shared" si="15"/>
        <v>Febrero</v>
      </c>
      <c r="C183" s="1" t="s">
        <v>63</v>
      </c>
      <c r="D183" s="58" t="str">
        <f>VLOOKUP(Datos!$C183,$AQ$2:$AR$41,2,0)</f>
        <v>Centro</v>
      </c>
      <c r="E183" s="1">
        <v>23262</v>
      </c>
      <c r="F183" s="1" t="str">
        <f t="array" ref="F183">_xlfn.IFS(H183=0,"Alta sin facturar",H183&gt;2,"Cliente",H183&gt;0,"Cliente nuevo")</f>
        <v>Cliente</v>
      </c>
      <c r="G183" s="1"/>
      <c r="H183" s="1">
        <f t="shared" si="19"/>
        <v>5</v>
      </c>
      <c r="I183" s="2">
        <v>0</v>
      </c>
      <c r="J183" s="2">
        <v>0</v>
      </c>
      <c r="K183" s="2">
        <v>0</v>
      </c>
      <c r="L183" s="2">
        <v>1160</v>
      </c>
      <c r="M183" s="2">
        <v>2320</v>
      </c>
      <c r="N183" s="89">
        <v>8352</v>
      </c>
      <c r="O183" s="89">
        <v>1160</v>
      </c>
      <c r="P183" s="89">
        <v>2900</v>
      </c>
      <c r="Q183" s="54">
        <f t="shared" si="16"/>
        <v>15892</v>
      </c>
      <c r="R183" s="89">
        <v>3016</v>
      </c>
      <c r="S183" s="92">
        <f t="shared" si="20"/>
        <v>5</v>
      </c>
      <c r="T183" s="59">
        <f t="shared" si="17"/>
        <v>12876</v>
      </c>
      <c r="U183" s="60">
        <f t="shared" si="18"/>
        <v>0.18978102189781021</v>
      </c>
      <c r="V183" s="59" t="str">
        <f t="array" ref="V183">_xlfn.IFS(S183=0,"Alta sin facturar",S183&gt;2,"Cliente",S183&gt;0,"Cliente nuevo")</f>
        <v>Cliente</v>
      </c>
      <c r="W183" s="59" t="str">
        <f t="shared" si="21"/>
        <v>Ha pagado</v>
      </c>
      <c r="X183" s="3"/>
      <c r="Y183" s="3"/>
      <c r="Z183" s="3"/>
      <c r="AA183" s="3"/>
      <c r="AB183" s="3"/>
      <c r="AC183" s="3"/>
      <c r="AD183" s="3"/>
      <c r="AE183" s="3"/>
      <c r="AG183"/>
      <c r="AH183"/>
      <c r="AI183"/>
      <c r="AJ183"/>
      <c r="AK183"/>
      <c r="AL183"/>
      <c r="AM183"/>
      <c r="AN183"/>
    </row>
    <row r="184" spans="1:40" x14ac:dyDescent="0.25">
      <c r="A184" s="6">
        <v>44611</v>
      </c>
      <c r="B184" t="str">
        <f t="shared" si="15"/>
        <v>Febrero</v>
      </c>
      <c r="C184" s="1" t="s">
        <v>66</v>
      </c>
      <c r="D184" s="58" t="str">
        <f>VLOOKUP(Datos!$C184,$AQ$2:$AR$41,2,0)</f>
        <v>Sur</v>
      </c>
      <c r="E184" s="1">
        <v>23263</v>
      </c>
      <c r="F184" s="1" t="str">
        <f t="array" ref="F184">_xlfn.IFS(H184=0,"Alta sin facturar",H184&gt;2,"Cliente",H184&gt;0,"Cliente nuevo")</f>
        <v>Cliente nuevo</v>
      </c>
      <c r="G184" s="1"/>
      <c r="H184" s="1">
        <f t="shared" si="19"/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89">
        <v>1624</v>
      </c>
      <c r="O184" s="89">
        <v>0</v>
      </c>
      <c r="P184" s="89">
        <v>0</v>
      </c>
      <c r="Q184" s="54">
        <f t="shared" si="16"/>
        <v>1624</v>
      </c>
      <c r="R184" s="89">
        <v>1084.5999999999999</v>
      </c>
      <c r="S184" s="92">
        <f t="shared" si="20"/>
        <v>1</v>
      </c>
      <c r="T184" s="59">
        <f t="shared" si="17"/>
        <v>539.40000000000009</v>
      </c>
      <c r="U184" s="60">
        <f t="shared" si="18"/>
        <v>0.66785714285714282</v>
      </c>
      <c r="V184" s="59" t="str">
        <f t="array" ref="V184">_xlfn.IFS(S184=0,"Alta sin facturar",S184&gt;2,"Cliente",S184&gt;0,"Cliente nuevo")</f>
        <v>Cliente nuevo</v>
      </c>
      <c r="W184" s="59" t="str">
        <f t="shared" si="21"/>
        <v>Ha pagado</v>
      </c>
      <c r="X184" s="3"/>
      <c r="Y184" s="3"/>
      <c r="Z184" s="3"/>
      <c r="AA184" s="3"/>
      <c r="AB184" s="3"/>
      <c r="AC184" s="3"/>
      <c r="AD184" s="3"/>
      <c r="AE184" s="3"/>
      <c r="AG184"/>
      <c r="AH184"/>
      <c r="AI184"/>
      <c r="AJ184"/>
      <c r="AK184"/>
      <c r="AL184"/>
      <c r="AM184"/>
      <c r="AN184"/>
    </row>
    <row r="185" spans="1:40" x14ac:dyDescent="0.25">
      <c r="A185" s="6">
        <v>44611</v>
      </c>
      <c r="B185" t="str">
        <f t="shared" si="15"/>
        <v>Febrero</v>
      </c>
      <c r="C185" s="1" t="s">
        <v>38</v>
      </c>
      <c r="D185" s="58" t="str">
        <f>VLOOKUP(Datos!$C185,$AQ$2:$AR$41,2,0)</f>
        <v>Centro</v>
      </c>
      <c r="E185" s="1">
        <v>23264</v>
      </c>
      <c r="F185" s="1" t="str">
        <f t="array" ref="F185">_xlfn.IFS(H185=0,"Alta sin facturar",H185&gt;2,"Cliente",H185&gt;0,"Cliente nuevo")</f>
        <v>Alta sin facturar</v>
      </c>
      <c r="G185" s="1"/>
      <c r="H185" s="1">
        <f t="shared" si="19"/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89">
        <v>0</v>
      </c>
      <c r="O185" s="89">
        <v>0</v>
      </c>
      <c r="P185" s="89">
        <v>0</v>
      </c>
      <c r="Q185" s="54">
        <f t="shared" si="16"/>
        <v>0</v>
      </c>
      <c r="R185" s="89">
        <v>928</v>
      </c>
      <c r="S185" s="92">
        <f t="shared" si="20"/>
        <v>0</v>
      </c>
      <c r="T185" s="59">
        <f t="shared" si="17"/>
        <v>-928</v>
      </c>
      <c r="U185" s="60">
        <f t="shared" si="18"/>
        <v>0</v>
      </c>
      <c r="V185" s="59" t="str">
        <f t="array" ref="V185">_xlfn.IFS(S185=0,"Alta sin facturar",S185&gt;2,"Cliente",S185&gt;0,"Cliente nuevo")</f>
        <v>Alta sin facturar</v>
      </c>
      <c r="W185" s="59" t="str">
        <f t="shared" si="21"/>
        <v>Sin pago</v>
      </c>
      <c r="X185" s="3"/>
      <c r="Y185" s="3"/>
      <c r="Z185" s="3"/>
      <c r="AA185" s="3"/>
      <c r="AB185" s="3"/>
      <c r="AC185" s="3"/>
      <c r="AD185" s="3"/>
      <c r="AE185" s="3"/>
      <c r="AG185"/>
      <c r="AH185"/>
      <c r="AI185"/>
      <c r="AJ185"/>
      <c r="AK185"/>
      <c r="AL185"/>
      <c r="AM185"/>
      <c r="AN185"/>
    </row>
    <row r="186" spans="1:40" x14ac:dyDescent="0.25">
      <c r="A186" s="6">
        <v>44611</v>
      </c>
      <c r="B186" t="str">
        <f t="shared" si="15"/>
        <v>Febrero</v>
      </c>
      <c r="C186" s="1" t="s">
        <v>61</v>
      </c>
      <c r="D186" s="58" t="str">
        <f>VLOOKUP(Datos!$C186,$AQ$2:$AR$41,2,0)</f>
        <v>Centro</v>
      </c>
      <c r="E186" s="1">
        <v>23265</v>
      </c>
      <c r="F186" s="1" t="str">
        <f t="array" ref="F186">_xlfn.IFS(H186=0,"Alta sin facturar",H186&gt;2,"Cliente",H186&gt;0,"Cliente nuevo")</f>
        <v>Cliente</v>
      </c>
      <c r="G186" s="1"/>
      <c r="H186" s="1">
        <f t="shared" si="19"/>
        <v>5</v>
      </c>
      <c r="I186" s="2">
        <v>0</v>
      </c>
      <c r="J186" s="2">
        <v>0</v>
      </c>
      <c r="K186" s="2">
        <v>327.12</v>
      </c>
      <c r="L186" s="2">
        <v>0</v>
      </c>
      <c r="M186" s="2">
        <v>93.96</v>
      </c>
      <c r="N186" s="89">
        <v>81.2</v>
      </c>
      <c r="O186" s="89">
        <v>3064.7200000000012</v>
      </c>
      <c r="P186" s="89">
        <v>1643.7199999999998</v>
      </c>
      <c r="Q186" s="54">
        <f t="shared" si="16"/>
        <v>5210.7200000000012</v>
      </c>
      <c r="R186" s="89">
        <v>0</v>
      </c>
      <c r="S186" s="92">
        <f t="shared" si="20"/>
        <v>5</v>
      </c>
      <c r="T186" s="59">
        <f t="shared" si="17"/>
        <v>5210.7200000000012</v>
      </c>
      <c r="U186" s="60">
        <f t="shared" si="18"/>
        <v>0</v>
      </c>
      <c r="V186" s="59" t="str">
        <f t="array" ref="V186">_xlfn.IFS(S186=0,"Alta sin facturar",S186&gt;2,"Cliente",S186&gt;0,"Cliente nuevo")</f>
        <v>Cliente</v>
      </c>
      <c r="W186" s="59" t="str">
        <f t="shared" si="21"/>
        <v>Ha pagado</v>
      </c>
      <c r="X186" s="3"/>
      <c r="Y186" s="3"/>
      <c r="Z186" s="3"/>
      <c r="AA186" s="3"/>
      <c r="AB186" s="3"/>
      <c r="AC186" s="3"/>
      <c r="AD186" s="3"/>
      <c r="AE186" s="3"/>
      <c r="AG186"/>
      <c r="AH186"/>
      <c r="AI186"/>
      <c r="AJ186"/>
      <c r="AK186"/>
      <c r="AL186"/>
      <c r="AM186"/>
      <c r="AN186"/>
    </row>
    <row r="187" spans="1:40" x14ac:dyDescent="0.25">
      <c r="A187" s="6">
        <v>44611</v>
      </c>
      <c r="B187" t="str">
        <f t="shared" si="15"/>
        <v>Febrero</v>
      </c>
      <c r="C187" s="1" t="s">
        <v>63</v>
      </c>
      <c r="D187" s="58" t="str">
        <f>VLOOKUP(Datos!$C187,$AQ$2:$AR$41,2,0)</f>
        <v>Centro</v>
      </c>
      <c r="E187" s="1">
        <v>23266</v>
      </c>
      <c r="F187" s="1" t="str">
        <f t="array" ref="F187">_xlfn.IFS(H187=0,"Alta sin facturar",H187&gt;2,"Cliente",H187&gt;0,"Cliente nuevo")</f>
        <v>Cliente</v>
      </c>
      <c r="G187" s="1"/>
      <c r="H187" s="1">
        <f t="shared" si="19"/>
        <v>6</v>
      </c>
      <c r="I187" s="2">
        <v>0</v>
      </c>
      <c r="J187" s="2">
        <v>0</v>
      </c>
      <c r="K187" s="2">
        <v>2217.92</v>
      </c>
      <c r="L187" s="2">
        <v>1364.1599999999999</v>
      </c>
      <c r="M187" s="2">
        <v>532.43999999999994</v>
      </c>
      <c r="N187" s="89">
        <v>2894.2</v>
      </c>
      <c r="O187" s="89">
        <v>1474.3599999999997</v>
      </c>
      <c r="P187" s="89">
        <v>3309.4799999999996</v>
      </c>
      <c r="Q187" s="54">
        <f t="shared" si="16"/>
        <v>11792.559999999998</v>
      </c>
      <c r="R187" s="89">
        <v>4170.2</v>
      </c>
      <c r="S187" s="92">
        <f t="shared" si="20"/>
        <v>6</v>
      </c>
      <c r="T187" s="59">
        <f t="shared" si="17"/>
        <v>7622.3599999999979</v>
      </c>
      <c r="U187" s="60">
        <f t="shared" si="18"/>
        <v>0.35362974621286647</v>
      </c>
      <c r="V187" s="59" t="str">
        <f t="array" ref="V187">_xlfn.IFS(S187=0,"Alta sin facturar",S187&gt;2,"Cliente",S187&gt;0,"Cliente nuevo")</f>
        <v>Cliente</v>
      </c>
      <c r="W187" s="59" t="str">
        <f t="shared" si="21"/>
        <v>Ha pagado</v>
      </c>
      <c r="X187" s="3"/>
      <c r="Y187" s="3"/>
      <c r="Z187" s="3"/>
      <c r="AA187" s="3"/>
      <c r="AB187" s="3"/>
      <c r="AC187" s="3"/>
      <c r="AD187" s="3"/>
      <c r="AE187" s="3"/>
      <c r="AG187"/>
      <c r="AH187"/>
      <c r="AI187"/>
      <c r="AJ187"/>
      <c r="AK187"/>
      <c r="AL187"/>
      <c r="AM187"/>
      <c r="AN187"/>
    </row>
    <row r="188" spans="1:40" x14ac:dyDescent="0.25">
      <c r="A188" s="6">
        <v>44613</v>
      </c>
      <c r="B188" t="str">
        <f t="shared" si="15"/>
        <v>Febrero</v>
      </c>
      <c r="C188" s="1" t="s">
        <v>39</v>
      </c>
      <c r="D188" s="58" t="str">
        <f>VLOOKUP(Datos!$C188,$AQ$2:$AR$41,2,0)</f>
        <v>Sur</v>
      </c>
      <c r="E188" s="1">
        <v>23267</v>
      </c>
      <c r="F188" s="1" t="str">
        <f t="array" ref="F188">_xlfn.IFS(H188=0,"Alta sin facturar",H188&gt;2,"Cliente",H188&gt;0,"Cliente nuevo")</f>
        <v>Cliente nuevo</v>
      </c>
      <c r="G188" s="1"/>
      <c r="H188" s="1">
        <f t="shared" si="19"/>
        <v>2</v>
      </c>
      <c r="I188" s="2">
        <v>0</v>
      </c>
      <c r="J188" s="2">
        <v>0</v>
      </c>
      <c r="K188" s="2">
        <v>194.88</v>
      </c>
      <c r="L188" s="2">
        <v>0</v>
      </c>
      <c r="M188" s="2">
        <v>0</v>
      </c>
      <c r="N188" s="89">
        <v>0</v>
      </c>
      <c r="O188" s="89">
        <v>976.71999999999991</v>
      </c>
      <c r="P188" s="89">
        <v>0</v>
      </c>
      <c r="Q188" s="54">
        <f t="shared" si="16"/>
        <v>1171.5999999999999</v>
      </c>
      <c r="R188" s="89">
        <v>976.72</v>
      </c>
      <c r="S188" s="92">
        <f t="shared" si="20"/>
        <v>2</v>
      </c>
      <c r="T188" s="59">
        <f t="shared" si="17"/>
        <v>194.87999999999988</v>
      </c>
      <c r="U188" s="60">
        <f t="shared" si="18"/>
        <v>0.83366336633663374</v>
      </c>
      <c r="V188" s="59" t="str">
        <f t="array" ref="V188">_xlfn.IFS(S188=0,"Alta sin facturar",S188&gt;2,"Cliente",S188&gt;0,"Cliente nuevo")</f>
        <v>Cliente nuevo</v>
      </c>
      <c r="W188" s="59" t="str">
        <f t="shared" si="21"/>
        <v>Ha pagado</v>
      </c>
      <c r="X188" s="3"/>
      <c r="Y188" s="3"/>
      <c r="Z188" s="3"/>
      <c r="AA188" s="3"/>
      <c r="AB188" s="3"/>
      <c r="AC188" s="3"/>
      <c r="AD188" s="3"/>
      <c r="AE188" s="3"/>
      <c r="AG188"/>
      <c r="AH188"/>
      <c r="AI188"/>
      <c r="AJ188"/>
      <c r="AK188"/>
      <c r="AL188"/>
      <c r="AM188"/>
      <c r="AN188"/>
    </row>
    <row r="189" spans="1:40" x14ac:dyDescent="0.25">
      <c r="A189" s="6">
        <v>44613</v>
      </c>
      <c r="B189" t="str">
        <f t="shared" si="15"/>
        <v>Febrero</v>
      </c>
      <c r="C189" s="1" t="s">
        <v>66</v>
      </c>
      <c r="D189" s="58" t="str">
        <f>VLOOKUP(Datos!$C189,$AQ$2:$AR$41,2,0)</f>
        <v>Sur</v>
      </c>
      <c r="E189" s="1">
        <v>23268</v>
      </c>
      <c r="F189" s="1" t="str">
        <f t="array" ref="F189">_xlfn.IFS(H189=0,"Alta sin facturar",H189&gt;2,"Cliente",H189&gt;0,"Cliente nuevo")</f>
        <v>Cliente nuevo</v>
      </c>
      <c r="G189" s="1"/>
      <c r="H189" s="1">
        <f t="shared" si="19"/>
        <v>2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89">
        <v>1133.3200000000002</v>
      </c>
      <c r="O189" s="89">
        <v>0</v>
      </c>
      <c r="P189" s="89">
        <v>618.28</v>
      </c>
      <c r="Q189" s="54">
        <f t="shared" si="16"/>
        <v>1751.6000000000001</v>
      </c>
      <c r="R189" s="89">
        <v>649.6</v>
      </c>
      <c r="S189" s="92">
        <f t="shared" si="20"/>
        <v>2</v>
      </c>
      <c r="T189" s="59">
        <f t="shared" si="17"/>
        <v>1102</v>
      </c>
      <c r="U189" s="60">
        <f t="shared" si="18"/>
        <v>0.37086092715231789</v>
      </c>
      <c r="V189" s="59" t="str">
        <f t="array" ref="V189">_xlfn.IFS(S189=0,"Alta sin facturar",S189&gt;2,"Cliente",S189&gt;0,"Cliente nuevo")</f>
        <v>Cliente nuevo</v>
      </c>
      <c r="W189" s="59" t="str">
        <f t="shared" si="21"/>
        <v>Ha pagado</v>
      </c>
      <c r="X189" s="3"/>
      <c r="Y189" s="3"/>
      <c r="Z189" s="3"/>
      <c r="AA189" s="3"/>
      <c r="AB189" s="3"/>
      <c r="AC189" s="3"/>
      <c r="AD189" s="3"/>
      <c r="AE189" s="3"/>
      <c r="AG189"/>
      <c r="AH189"/>
      <c r="AI189"/>
      <c r="AJ189"/>
      <c r="AK189"/>
      <c r="AL189"/>
      <c r="AM189"/>
      <c r="AN189"/>
    </row>
    <row r="190" spans="1:40" x14ac:dyDescent="0.25">
      <c r="A190" s="6">
        <v>44613</v>
      </c>
      <c r="B190" t="str">
        <f t="shared" si="15"/>
        <v>Febrero</v>
      </c>
      <c r="C190" s="1" t="s">
        <v>97</v>
      </c>
      <c r="D190" s="58" t="str">
        <f>VLOOKUP(Datos!$C190,$AQ$2:$AR$41,2,0)</f>
        <v>Centro</v>
      </c>
      <c r="E190" s="1">
        <v>23269</v>
      </c>
      <c r="F190" s="1" t="str">
        <f t="array" ref="F190">_xlfn.IFS(H190=0,"Alta sin facturar",H190&gt;2,"Cliente",H190&gt;0,"Cliente nuevo")</f>
        <v>Cliente</v>
      </c>
      <c r="G190" s="1"/>
      <c r="H190" s="1">
        <f t="shared" si="19"/>
        <v>6</v>
      </c>
      <c r="I190" s="2">
        <v>0</v>
      </c>
      <c r="J190" s="2">
        <v>0</v>
      </c>
      <c r="K190" s="2">
        <v>1359.52</v>
      </c>
      <c r="L190" s="2">
        <v>3701.5599999999995</v>
      </c>
      <c r="M190" s="2">
        <v>404.84</v>
      </c>
      <c r="N190" s="89">
        <v>1270.1999999999998</v>
      </c>
      <c r="O190" s="89">
        <v>2842</v>
      </c>
      <c r="P190" s="89">
        <v>3528.7199999999989</v>
      </c>
      <c r="Q190" s="54">
        <f t="shared" si="16"/>
        <v>13106.839999999998</v>
      </c>
      <c r="R190" s="89">
        <v>6101.04</v>
      </c>
      <c r="S190" s="92">
        <f t="shared" si="20"/>
        <v>6</v>
      </c>
      <c r="T190" s="59">
        <f t="shared" si="17"/>
        <v>7005.7999999999984</v>
      </c>
      <c r="U190" s="60">
        <f t="shared" si="18"/>
        <v>0.46548519704215513</v>
      </c>
      <c r="V190" s="59" t="str">
        <f t="array" ref="V190">_xlfn.IFS(S190=0,"Alta sin facturar",S190&gt;2,"Cliente",S190&gt;0,"Cliente nuevo")</f>
        <v>Cliente</v>
      </c>
      <c r="W190" s="59" t="str">
        <f t="shared" si="21"/>
        <v>Ha pagado</v>
      </c>
      <c r="X190" s="3"/>
      <c r="Y190" s="3"/>
      <c r="Z190" s="3"/>
      <c r="AA190" s="3"/>
      <c r="AB190" s="3"/>
      <c r="AC190" s="3"/>
      <c r="AD190" s="3"/>
      <c r="AE190" s="3"/>
      <c r="AG190"/>
      <c r="AH190"/>
      <c r="AI190"/>
      <c r="AJ190"/>
      <c r="AK190"/>
      <c r="AL190"/>
      <c r="AM190"/>
      <c r="AN190"/>
    </row>
    <row r="191" spans="1:40" x14ac:dyDescent="0.25">
      <c r="A191" s="6">
        <v>44614</v>
      </c>
      <c r="B191" t="str">
        <f t="shared" si="15"/>
        <v>Febrero</v>
      </c>
      <c r="C191" s="1" t="s">
        <v>59</v>
      </c>
      <c r="D191" s="58" t="str">
        <f>VLOOKUP(Datos!$C191,$AQ$2:$AR$41,2,0)</f>
        <v>Magallanes</v>
      </c>
      <c r="E191" s="1">
        <v>23270</v>
      </c>
      <c r="F191" s="1" t="str">
        <f t="array" ref="F191">_xlfn.IFS(H191=0,"Alta sin facturar",H191&gt;2,"Cliente",H191&gt;0,"Cliente nuevo")</f>
        <v>Alta sin facturar</v>
      </c>
      <c r="G191" s="1"/>
      <c r="H191" s="1">
        <f t="shared" si="19"/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89">
        <v>0</v>
      </c>
      <c r="O191" s="89">
        <v>0</v>
      </c>
      <c r="P191" s="89">
        <v>0</v>
      </c>
      <c r="Q191" s="54">
        <f t="shared" si="16"/>
        <v>0</v>
      </c>
      <c r="R191" s="89"/>
      <c r="S191" s="92">
        <f t="shared" si="20"/>
        <v>0</v>
      </c>
      <c r="T191" s="59">
        <f t="shared" si="17"/>
        <v>0</v>
      </c>
      <c r="U191" s="60">
        <f t="shared" si="18"/>
        <v>0</v>
      </c>
      <c r="V191" s="59" t="str">
        <f t="array" ref="V191">_xlfn.IFS(S191=0,"Alta sin facturar",S191&gt;2,"Cliente",S191&gt;0,"Cliente nuevo")</f>
        <v>Alta sin facturar</v>
      </c>
      <c r="W191" s="59" t="str">
        <f t="shared" si="21"/>
        <v>Sin pago</v>
      </c>
      <c r="X191" s="3"/>
      <c r="Y191" s="3"/>
      <c r="Z191" s="3"/>
      <c r="AA191" s="3"/>
      <c r="AB191" s="3"/>
      <c r="AC191" s="3"/>
      <c r="AD191" s="3"/>
      <c r="AE191" s="3"/>
      <c r="AG191"/>
      <c r="AH191"/>
      <c r="AI191"/>
      <c r="AJ191"/>
      <c r="AK191"/>
      <c r="AL191"/>
      <c r="AM191"/>
      <c r="AN191"/>
    </row>
    <row r="192" spans="1:40" x14ac:dyDescent="0.25">
      <c r="A192" s="6">
        <v>44614</v>
      </c>
      <c r="B192" t="str">
        <f t="shared" si="15"/>
        <v>Febrero</v>
      </c>
      <c r="C192" s="1" t="s">
        <v>31</v>
      </c>
      <c r="D192" s="58" t="str">
        <f>VLOOKUP(Datos!$C192,$AQ$2:$AR$41,2,0)</f>
        <v>Centro</v>
      </c>
      <c r="E192" s="1">
        <v>23271</v>
      </c>
      <c r="F192" s="1" t="str">
        <f t="array" ref="F192">_xlfn.IFS(H192=0,"Alta sin facturar",H192&gt;2,"Cliente",H192&gt;0,"Cliente nuevo")</f>
        <v>Cliente</v>
      </c>
      <c r="G192" s="1"/>
      <c r="H192" s="1">
        <f t="shared" si="19"/>
        <v>6</v>
      </c>
      <c r="I192" s="2">
        <v>0</v>
      </c>
      <c r="J192" s="2">
        <v>0</v>
      </c>
      <c r="K192" s="2">
        <v>2277.0800000000004</v>
      </c>
      <c r="L192" s="2">
        <v>5079.6399999999985</v>
      </c>
      <c r="M192" s="2">
        <v>3853.5199999999991</v>
      </c>
      <c r="N192" s="89">
        <v>5079.6400000000003</v>
      </c>
      <c r="O192" s="89">
        <v>26211.360000000008</v>
      </c>
      <c r="P192" s="89">
        <v>53210.360000000088</v>
      </c>
      <c r="Q192" s="54">
        <f t="shared" si="16"/>
        <v>95711.600000000093</v>
      </c>
      <c r="R192" s="89">
        <v>31291</v>
      </c>
      <c r="S192" s="92">
        <f t="shared" si="20"/>
        <v>6</v>
      </c>
      <c r="T192" s="59">
        <f t="shared" si="17"/>
        <v>64420.600000000093</v>
      </c>
      <c r="U192" s="60">
        <f t="shared" si="18"/>
        <v>0.32693006908253514</v>
      </c>
      <c r="V192" s="59" t="str">
        <f t="array" ref="V192">_xlfn.IFS(S192=0,"Alta sin facturar",S192&gt;2,"Cliente",S192&gt;0,"Cliente nuevo")</f>
        <v>Cliente</v>
      </c>
      <c r="W192" s="59" t="str">
        <f t="shared" si="21"/>
        <v>Ha pagado</v>
      </c>
      <c r="X192" s="3"/>
      <c r="Y192" s="3"/>
      <c r="Z192" s="3"/>
      <c r="AA192" s="3"/>
      <c r="AB192" s="3"/>
      <c r="AC192" s="3"/>
      <c r="AD192" s="3"/>
      <c r="AE192" s="3"/>
      <c r="AG192"/>
      <c r="AH192"/>
      <c r="AI192"/>
      <c r="AJ192"/>
      <c r="AK192"/>
      <c r="AL192"/>
      <c r="AM192"/>
      <c r="AN192"/>
    </row>
    <row r="193" spans="1:40" x14ac:dyDescent="0.25">
      <c r="A193" s="6">
        <v>44614</v>
      </c>
      <c r="B193" t="str">
        <f t="shared" si="15"/>
        <v>Febrero</v>
      </c>
      <c r="C193" s="1" t="s">
        <v>62</v>
      </c>
      <c r="D193" s="58" t="str">
        <f>VLOOKUP(Datos!$C193,$AQ$2:$AR$41,2,0)</f>
        <v>Norte</v>
      </c>
      <c r="E193" s="1">
        <v>23272</v>
      </c>
      <c r="F193" s="1" t="str">
        <f t="array" ref="F193">_xlfn.IFS(H193=0,"Alta sin facturar",H193&gt;2,"Cliente",H193&gt;0,"Cliente nuevo")</f>
        <v>Cliente nuevo</v>
      </c>
      <c r="G193" s="1"/>
      <c r="H193" s="1">
        <f t="shared" si="19"/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89">
        <v>1160</v>
      </c>
      <c r="O193" s="89">
        <v>0</v>
      </c>
      <c r="P193" s="89">
        <v>0</v>
      </c>
      <c r="Q193" s="54">
        <f t="shared" si="16"/>
        <v>1160</v>
      </c>
      <c r="R193" s="89">
        <v>1160</v>
      </c>
      <c r="S193" s="92">
        <f t="shared" si="20"/>
        <v>1</v>
      </c>
      <c r="T193" s="59">
        <f t="shared" si="17"/>
        <v>0</v>
      </c>
      <c r="U193" s="60">
        <f t="shared" si="18"/>
        <v>1</v>
      </c>
      <c r="V193" s="59" t="str">
        <f t="array" ref="V193">_xlfn.IFS(S193=0,"Alta sin facturar",S193&gt;2,"Cliente",S193&gt;0,"Cliente nuevo")</f>
        <v>Cliente nuevo</v>
      </c>
      <c r="W193" s="59" t="str">
        <f t="shared" si="21"/>
        <v>Sin pago</v>
      </c>
      <c r="X193" s="3"/>
      <c r="Y193" s="3"/>
      <c r="Z193" s="3"/>
      <c r="AA193" s="3"/>
      <c r="AB193" s="3"/>
      <c r="AC193" s="3"/>
      <c r="AD193" s="3"/>
      <c r="AE193" s="3"/>
      <c r="AG193"/>
      <c r="AH193"/>
      <c r="AI193"/>
      <c r="AJ193"/>
      <c r="AK193"/>
      <c r="AL193"/>
      <c r="AM193"/>
      <c r="AN193"/>
    </row>
    <row r="194" spans="1:40" x14ac:dyDescent="0.25">
      <c r="A194" s="6">
        <v>44614</v>
      </c>
      <c r="B194" t="str">
        <f t="shared" ref="B194:B257" si="22">PROPER(TEXT(A194,"mmmm"))</f>
        <v>Febrero</v>
      </c>
      <c r="C194" s="1" t="s">
        <v>38</v>
      </c>
      <c r="D194" s="58" t="str">
        <f>VLOOKUP(Datos!$C194,$AQ$2:$AR$41,2,0)</f>
        <v>Centro</v>
      </c>
      <c r="E194" s="1">
        <v>23273</v>
      </c>
      <c r="F194" s="1" t="str">
        <f t="array" ref="F194">_xlfn.IFS(H194=0,"Alta sin facturar",H194&gt;2,"Cliente",H194&gt;0,"Cliente nuevo")</f>
        <v>Alta sin facturar</v>
      </c>
      <c r="G194" s="1"/>
      <c r="H194" s="1">
        <f t="shared" si="19"/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89">
        <v>0</v>
      </c>
      <c r="O194" s="89">
        <v>0</v>
      </c>
      <c r="P194" s="89">
        <v>0</v>
      </c>
      <c r="Q194" s="54">
        <f t="shared" ref="Q194:Q257" si="23">SUBTOTAL(109,I194:P194)</f>
        <v>0</v>
      </c>
      <c r="R194" s="89"/>
      <c r="S194" s="92">
        <f t="shared" si="20"/>
        <v>0</v>
      </c>
      <c r="T194" s="59">
        <f t="shared" ref="T194:T257" si="24">Q194-R194</f>
        <v>0</v>
      </c>
      <c r="U194" s="60">
        <f t="shared" ref="U194:U257" si="25">IF(Q194=0,0,R194/Q194)</f>
        <v>0</v>
      </c>
      <c r="V194" s="59" t="str">
        <f t="array" ref="V194">_xlfn.IFS(S194=0,"Alta sin facturar",S194&gt;2,"Cliente",S194&gt;0,"Cliente nuevo")</f>
        <v>Alta sin facturar</v>
      </c>
      <c r="W194" s="59" t="str">
        <f t="shared" si="21"/>
        <v>Sin pago</v>
      </c>
      <c r="X194" s="3"/>
      <c r="Y194" s="3"/>
      <c r="Z194" s="3"/>
      <c r="AA194" s="3"/>
      <c r="AB194" s="3"/>
      <c r="AC194" s="3"/>
      <c r="AD194" s="3"/>
      <c r="AE194" s="3"/>
      <c r="AG194"/>
      <c r="AH194"/>
      <c r="AI194"/>
      <c r="AJ194"/>
      <c r="AK194"/>
      <c r="AL194"/>
      <c r="AM194"/>
      <c r="AN194"/>
    </row>
    <row r="195" spans="1:40" x14ac:dyDescent="0.25">
      <c r="A195" s="6">
        <v>44614</v>
      </c>
      <c r="B195" t="str">
        <f t="shared" si="22"/>
        <v>Febrero</v>
      </c>
      <c r="C195" s="1" t="s">
        <v>64</v>
      </c>
      <c r="D195" s="58" t="str">
        <f>VLOOKUP(Datos!$C195,$AQ$2:$AR$41,2,0)</f>
        <v>Norte</v>
      </c>
      <c r="E195" s="1">
        <v>23274</v>
      </c>
      <c r="F195" s="1" t="str">
        <f t="array" ref="F195">_xlfn.IFS(H195=0,"Alta sin facturar",H195&gt;2,"Cliente",H195&gt;0,"Cliente nuevo")</f>
        <v>Cliente nuevo</v>
      </c>
      <c r="G195" s="1"/>
      <c r="H195" s="1">
        <f t="shared" ref="H195:H258" si="26">COUNTIF(I195:P195,"&gt;0")</f>
        <v>2</v>
      </c>
      <c r="I195" s="2">
        <v>0</v>
      </c>
      <c r="J195" s="2">
        <v>0</v>
      </c>
      <c r="K195" s="2">
        <v>0</v>
      </c>
      <c r="L195" s="2">
        <v>115.99999999999999</v>
      </c>
      <c r="M195" s="2">
        <v>10609.36000000001</v>
      </c>
      <c r="N195" s="89">
        <v>0</v>
      </c>
      <c r="O195" s="89">
        <v>0</v>
      </c>
      <c r="P195" s="89">
        <v>0</v>
      </c>
      <c r="Q195" s="54">
        <f t="shared" si="23"/>
        <v>10725.36000000001</v>
      </c>
      <c r="R195" s="89">
        <v>5323.24</v>
      </c>
      <c r="S195" s="92">
        <f t="shared" ref="S195:S258" si="27">COUNTIF(I195:P195,"&gt;0")</f>
        <v>2</v>
      </c>
      <c r="T195" s="59">
        <f t="shared" si="24"/>
        <v>5402.1200000000099</v>
      </c>
      <c r="U195" s="60">
        <f t="shared" si="25"/>
        <v>0.49632273415530992</v>
      </c>
      <c r="V195" s="59" t="str">
        <f t="array" ref="V195">_xlfn.IFS(S195=0,"Alta sin facturar",S195&gt;2,"Cliente",S195&gt;0,"Cliente nuevo")</f>
        <v>Cliente nuevo</v>
      </c>
      <c r="W195" s="59" t="str">
        <f t="shared" ref="W195:W258" si="28">IF(T195&lt;1,"Sin pago","Ha pagado")</f>
        <v>Ha pagado</v>
      </c>
      <c r="X195" s="3"/>
      <c r="Y195" s="3"/>
      <c r="Z195" s="3"/>
      <c r="AA195" s="3"/>
      <c r="AB195" s="3"/>
      <c r="AC195" s="3"/>
      <c r="AD195" s="3"/>
      <c r="AE195" s="3"/>
      <c r="AG195"/>
      <c r="AH195"/>
      <c r="AI195"/>
      <c r="AJ195"/>
      <c r="AK195"/>
      <c r="AL195"/>
      <c r="AM195"/>
      <c r="AN195"/>
    </row>
    <row r="196" spans="1:40" x14ac:dyDescent="0.25">
      <c r="A196" s="6">
        <v>44615</v>
      </c>
      <c r="B196" t="str">
        <f t="shared" si="22"/>
        <v>Febrero</v>
      </c>
      <c r="C196" s="1" t="s">
        <v>35</v>
      </c>
      <c r="D196" s="58" t="str">
        <f>VLOOKUP(Datos!$C196,$AQ$2:$AR$41,2,0)</f>
        <v>Centro</v>
      </c>
      <c r="E196" s="1">
        <v>23275</v>
      </c>
      <c r="F196" s="1" t="str">
        <f t="array" ref="F196">_xlfn.IFS(H196=0,"Alta sin facturar",H196&gt;2,"Cliente",H196&gt;0,"Cliente nuevo")</f>
        <v>Cliente nuevo</v>
      </c>
      <c r="G196" s="1"/>
      <c r="H196" s="1">
        <f t="shared" si="26"/>
        <v>2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89">
        <v>1472.04</v>
      </c>
      <c r="O196" s="89">
        <v>0</v>
      </c>
      <c r="P196" s="89">
        <v>1300.3600000000004</v>
      </c>
      <c r="Q196" s="54">
        <f t="shared" si="23"/>
        <v>2772.4000000000005</v>
      </c>
      <c r="R196" s="89">
        <v>2637.84</v>
      </c>
      <c r="S196" s="92">
        <f t="shared" si="27"/>
        <v>2</v>
      </c>
      <c r="T196" s="59">
        <f t="shared" si="24"/>
        <v>134.5600000000004</v>
      </c>
      <c r="U196" s="60">
        <f t="shared" si="25"/>
        <v>0.95146443514644341</v>
      </c>
      <c r="V196" s="59" t="str">
        <f t="array" ref="V196">_xlfn.IFS(S196=0,"Alta sin facturar",S196&gt;2,"Cliente",S196&gt;0,"Cliente nuevo")</f>
        <v>Cliente nuevo</v>
      </c>
      <c r="W196" s="59" t="str">
        <f t="shared" si="28"/>
        <v>Ha pagado</v>
      </c>
      <c r="X196" s="3"/>
      <c r="Y196" s="3"/>
      <c r="Z196" s="3"/>
      <c r="AA196" s="3"/>
      <c r="AB196" s="3"/>
      <c r="AC196" s="3"/>
      <c r="AD196" s="3"/>
      <c r="AE196" s="3"/>
      <c r="AG196"/>
      <c r="AH196"/>
      <c r="AI196"/>
      <c r="AJ196"/>
      <c r="AK196"/>
      <c r="AL196"/>
      <c r="AM196"/>
      <c r="AN196"/>
    </row>
    <row r="197" spans="1:40" x14ac:dyDescent="0.25">
      <c r="A197" s="6">
        <v>44615</v>
      </c>
      <c r="B197" t="str">
        <f t="shared" si="22"/>
        <v>Febrero</v>
      </c>
      <c r="C197" s="1" t="s">
        <v>31</v>
      </c>
      <c r="D197" s="58" t="str">
        <f>VLOOKUP(Datos!$C197,$AQ$2:$AR$41,2,0)</f>
        <v>Centro</v>
      </c>
      <c r="E197" s="1">
        <v>23276</v>
      </c>
      <c r="F197" s="1" t="str">
        <f t="array" ref="F197">_xlfn.IFS(H197=0,"Alta sin facturar",H197&gt;2,"Cliente",H197&gt;0,"Cliente nuevo")</f>
        <v>Alta sin facturar</v>
      </c>
      <c r="G197" s="1"/>
      <c r="H197" s="1">
        <f t="shared" si="26"/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89">
        <v>0</v>
      </c>
      <c r="O197" s="89">
        <v>0</v>
      </c>
      <c r="P197" s="89">
        <v>0</v>
      </c>
      <c r="Q197" s="54">
        <f t="shared" si="23"/>
        <v>0</v>
      </c>
      <c r="R197" s="89"/>
      <c r="S197" s="92">
        <f t="shared" si="27"/>
        <v>0</v>
      </c>
      <c r="T197" s="59">
        <f t="shared" si="24"/>
        <v>0</v>
      </c>
      <c r="U197" s="60">
        <f t="shared" si="25"/>
        <v>0</v>
      </c>
      <c r="V197" s="59" t="str">
        <f t="array" ref="V197">_xlfn.IFS(S197=0,"Alta sin facturar",S197&gt;2,"Cliente",S197&gt;0,"Cliente nuevo")</f>
        <v>Alta sin facturar</v>
      </c>
      <c r="W197" s="59" t="str">
        <f t="shared" si="28"/>
        <v>Sin pago</v>
      </c>
      <c r="X197" s="3"/>
      <c r="Y197" s="3"/>
      <c r="Z197" s="3"/>
      <c r="AA197" s="3"/>
      <c r="AB197" s="3"/>
      <c r="AC197" s="3"/>
      <c r="AD197" s="3"/>
      <c r="AE197" s="3"/>
      <c r="AG197"/>
      <c r="AH197"/>
      <c r="AI197"/>
      <c r="AJ197"/>
      <c r="AK197"/>
      <c r="AL197"/>
      <c r="AM197"/>
      <c r="AN197"/>
    </row>
    <row r="198" spans="1:40" x14ac:dyDescent="0.25">
      <c r="A198" s="6">
        <v>44615</v>
      </c>
      <c r="B198" t="str">
        <f t="shared" si="22"/>
        <v>Febrero</v>
      </c>
      <c r="C198" s="1" t="s">
        <v>31</v>
      </c>
      <c r="D198" s="58" t="str">
        <f>VLOOKUP(Datos!$C198,$AQ$2:$AR$41,2,0)</f>
        <v>Centro</v>
      </c>
      <c r="E198" s="1">
        <v>23277</v>
      </c>
      <c r="F198" s="1" t="str">
        <f t="array" ref="F198">_xlfn.IFS(H198=0,"Alta sin facturar",H198&gt;2,"Cliente",H198&gt;0,"Cliente nuevo")</f>
        <v>Cliente</v>
      </c>
      <c r="G198" s="1"/>
      <c r="H198" s="1">
        <f t="shared" si="26"/>
        <v>4</v>
      </c>
      <c r="I198" s="2">
        <v>0</v>
      </c>
      <c r="J198" s="2">
        <v>0</v>
      </c>
      <c r="K198" s="2">
        <v>2648.2799999999997</v>
      </c>
      <c r="L198" s="2">
        <v>3594.84</v>
      </c>
      <c r="M198" s="2">
        <v>1198.28</v>
      </c>
      <c r="N198" s="89">
        <v>1198.28</v>
      </c>
      <c r="O198" s="89">
        <v>0</v>
      </c>
      <c r="P198" s="89">
        <v>0</v>
      </c>
      <c r="Q198" s="54">
        <f t="shared" si="23"/>
        <v>8639.68</v>
      </c>
      <c r="R198" s="89">
        <v>0</v>
      </c>
      <c r="S198" s="92">
        <f t="shared" si="27"/>
        <v>4</v>
      </c>
      <c r="T198" s="59">
        <f t="shared" si="24"/>
        <v>8639.68</v>
      </c>
      <c r="U198" s="60">
        <f t="shared" si="25"/>
        <v>0</v>
      </c>
      <c r="V198" s="59" t="str">
        <f t="array" ref="V198">_xlfn.IFS(S198=0,"Alta sin facturar",S198&gt;2,"Cliente",S198&gt;0,"Cliente nuevo")</f>
        <v>Cliente</v>
      </c>
      <c r="W198" s="59" t="str">
        <f t="shared" si="28"/>
        <v>Ha pagado</v>
      </c>
      <c r="X198" s="3"/>
      <c r="Y198" s="3"/>
      <c r="Z198" s="3"/>
      <c r="AA198" s="3"/>
      <c r="AB198" s="3"/>
      <c r="AC198" s="3"/>
      <c r="AD198" s="3"/>
      <c r="AE198" s="3"/>
      <c r="AG198"/>
      <c r="AH198"/>
      <c r="AI198"/>
      <c r="AJ198"/>
      <c r="AK198"/>
      <c r="AL198"/>
      <c r="AM198"/>
      <c r="AN198"/>
    </row>
    <row r="199" spans="1:40" x14ac:dyDescent="0.25">
      <c r="A199" s="6">
        <v>44615</v>
      </c>
      <c r="B199" t="str">
        <f t="shared" si="22"/>
        <v>Febrero</v>
      </c>
      <c r="C199" s="1" t="s">
        <v>31</v>
      </c>
      <c r="D199" s="58" t="str">
        <f>VLOOKUP(Datos!$C199,$AQ$2:$AR$41,2,0)</f>
        <v>Centro</v>
      </c>
      <c r="E199" s="1">
        <v>23278</v>
      </c>
      <c r="F199" s="1" t="str">
        <f t="array" ref="F199">_xlfn.IFS(H199=0,"Alta sin facturar",H199&gt;2,"Cliente",H199&gt;0,"Cliente nuevo")</f>
        <v>Alta sin facturar</v>
      </c>
      <c r="G199" s="1"/>
      <c r="H199" s="1">
        <f t="shared" si="26"/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89">
        <v>0</v>
      </c>
      <c r="O199" s="89">
        <v>0</v>
      </c>
      <c r="P199" s="89">
        <v>0</v>
      </c>
      <c r="Q199" s="54">
        <f t="shared" si="23"/>
        <v>0</v>
      </c>
      <c r="R199" s="89"/>
      <c r="S199" s="92">
        <f t="shared" si="27"/>
        <v>0</v>
      </c>
      <c r="T199" s="59">
        <f t="shared" si="24"/>
        <v>0</v>
      </c>
      <c r="U199" s="60">
        <f t="shared" si="25"/>
        <v>0</v>
      </c>
      <c r="V199" s="59" t="str">
        <f t="array" ref="V199">_xlfn.IFS(S199=0,"Alta sin facturar",S199&gt;2,"Cliente",S199&gt;0,"Cliente nuevo")</f>
        <v>Alta sin facturar</v>
      </c>
      <c r="W199" s="59" t="str">
        <f t="shared" si="28"/>
        <v>Sin pago</v>
      </c>
      <c r="X199" s="3"/>
      <c r="Y199" s="3"/>
      <c r="Z199" s="3"/>
      <c r="AA199" s="3"/>
      <c r="AB199" s="3"/>
      <c r="AC199" s="3"/>
      <c r="AD199" s="3"/>
      <c r="AE199" s="3"/>
      <c r="AG199"/>
      <c r="AH199"/>
      <c r="AI199"/>
      <c r="AJ199"/>
      <c r="AK199"/>
      <c r="AL199"/>
      <c r="AM199"/>
      <c r="AN199"/>
    </row>
    <row r="200" spans="1:40" x14ac:dyDescent="0.25">
      <c r="A200" s="6">
        <v>44615</v>
      </c>
      <c r="B200" t="str">
        <f t="shared" si="22"/>
        <v>Febrero</v>
      </c>
      <c r="C200" s="1" t="s">
        <v>89</v>
      </c>
      <c r="D200" s="58" t="str">
        <f>VLOOKUP(Datos!$C200,$AQ$2:$AR$41,2,0)</f>
        <v>Centro</v>
      </c>
      <c r="E200" s="1">
        <v>23279</v>
      </c>
      <c r="F200" s="1" t="str">
        <f t="array" ref="F200">_xlfn.IFS(H200=0,"Alta sin facturar",H200&gt;2,"Cliente",H200&gt;0,"Cliente nuevo")</f>
        <v>Cliente</v>
      </c>
      <c r="G200" s="1"/>
      <c r="H200" s="1">
        <f t="shared" si="26"/>
        <v>6</v>
      </c>
      <c r="I200" s="2">
        <v>0</v>
      </c>
      <c r="J200" s="2">
        <v>0</v>
      </c>
      <c r="K200" s="2">
        <v>5071.5199999999995</v>
      </c>
      <c r="L200" s="2">
        <v>582.31999999999994</v>
      </c>
      <c r="M200" s="2">
        <v>2324.64</v>
      </c>
      <c r="N200" s="89">
        <v>2555.48</v>
      </c>
      <c r="O200" s="89">
        <v>2451.08</v>
      </c>
      <c r="P200" s="89">
        <v>3710.84</v>
      </c>
      <c r="Q200" s="54">
        <f t="shared" si="23"/>
        <v>16695.879999999997</v>
      </c>
      <c r="R200" s="89">
        <v>2858.24</v>
      </c>
      <c r="S200" s="92">
        <f t="shared" si="27"/>
        <v>6</v>
      </c>
      <c r="T200" s="59">
        <f t="shared" si="24"/>
        <v>13837.639999999998</v>
      </c>
      <c r="U200" s="60">
        <f t="shared" si="25"/>
        <v>0.17119433057736402</v>
      </c>
      <c r="V200" s="59" t="str">
        <f t="array" ref="V200">_xlfn.IFS(S200=0,"Alta sin facturar",S200&gt;2,"Cliente",S200&gt;0,"Cliente nuevo")</f>
        <v>Cliente</v>
      </c>
      <c r="W200" s="59" t="str">
        <f t="shared" si="28"/>
        <v>Ha pagado</v>
      </c>
      <c r="X200" s="3"/>
      <c r="Y200" s="3"/>
      <c r="Z200" s="3"/>
      <c r="AA200" s="3"/>
      <c r="AB200" s="3"/>
      <c r="AC200" s="3"/>
      <c r="AD200" s="3"/>
      <c r="AE200" s="3"/>
      <c r="AG200"/>
      <c r="AH200"/>
      <c r="AI200"/>
      <c r="AJ200"/>
      <c r="AK200"/>
      <c r="AL200"/>
      <c r="AM200"/>
      <c r="AN200"/>
    </row>
    <row r="201" spans="1:40" x14ac:dyDescent="0.25">
      <c r="A201" s="6">
        <v>44615</v>
      </c>
      <c r="B201" t="str">
        <f t="shared" si="22"/>
        <v>Febrero</v>
      </c>
      <c r="C201" s="1" t="s">
        <v>39</v>
      </c>
      <c r="D201" s="58" t="str">
        <f>VLOOKUP(Datos!$C201,$AQ$2:$AR$41,2,0)</f>
        <v>Sur</v>
      </c>
      <c r="E201" s="1">
        <v>23280</v>
      </c>
      <c r="F201" s="1" t="str">
        <f t="array" ref="F201">_xlfn.IFS(H201=0,"Alta sin facturar",H201&gt;2,"Cliente",H201&gt;0,"Cliente nuevo")</f>
        <v>Cliente</v>
      </c>
      <c r="G201" s="1"/>
      <c r="H201" s="1">
        <f t="shared" si="26"/>
        <v>6</v>
      </c>
      <c r="I201" s="2">
        <v>0</v>
      </c>
      <c r="J201" s="2">
        <v>0</v>
      </c>
      <c r="K201" s="2">
        <v>1763.1999999999998</v>
      </c>
      <c r="L201" s="2">
        <v>2643.64</v>
      </c>
      <c r="M201" s="2">
        <v>1276</v>
      </c>
      <c r="N201" s="89">
        <v>1451.16</v>
      </c>
      <c r="O201" s="89">
        <v>5184.0400000000009</v>
      </c>
      <c r="P201" s="89">
        <v>2162.2399999999998</v>
      </c>
      <c r="Q201" s="54">
        <f t="shared" si="23"/>
        <v>14480.28</v>
      </c>
      <c r="R201" s="89">
        <v>2446.44</v>
      </c>
      <c r="S201" s="92">
        <f t="shared" si="27"/>
        <v>6</v>
      </c>
      <c r="T201" s="59">
        <f t="shared" si="24"/>
        <v>12033.84</v>
      </c>
      <c r="U201" s="60">
        <f t="shared" si="25"/>
        <v>0.16894977168949771</v>
      </c>
      <c r="V201" s="59" t="str">
        <f t="array" ref="V201">_xlfn.IFS(S201=0,"Alta sin facturar",S201&gt;2,"Cliente",S201&gt;0,"Cliente nuevo")</f>
        <v>Cliente</v>
      </c>
      <c r="W201" s="59" t="str">
        <f t="shared" si="28"/>
        <v>Ha pagado</v>
      </c>
      <c r="X201" s="3"/>
      <c r="Y201" s="3"/>
      <c r="Z201" s="3"/>
      <c r="AA201" s="3"/>
      <c r="AB201" s="3"/>
      <c r="AC201" s="3"/>
      <c r="AD201" s="3"/>
      <c r="AE201" s="3"/>
      <c r="AG201"/>
      <c r="AH201"/>
      <c r="AI201"/>
      <c r="AJ201"/>
      <c r="AK201"/>
      <c r="AL201"/>
      <c r="AM201"/>
      <c r="AN201"/>
    </row>
    <row r="202" spans="1:40" x14ac:dyDescent="0.25">
      <c r="A202" s="6">
        <v>44615</v>
      </c>
      <c r="B202" t="str">
        <f t="shared" si="22"/>
        <v>Febrero</v>
      </c>
      <c r="C202" s="1" t="s">
        <v>66</v>
      </c>
      <c r="D202" s="58" t="str">
        <f>VLOOKUP(Datos!$C202,$AQ$2:$AR$41,2,0)</f>
        <v>Sur</v>
      </c>
      <c r="E202" s="1">
        <v>23281</v>
      </c>
      <c r="F202" s="1" t="str">
        <f t="array" ref="F202">_xlfn.IFS(H202=0,"Alta sin facturar",H202&gt;2,"Cliente",H202&gt;0,"Cliente nuevo")</f>
        <v>Cliente nuevo</v>
      </c>
      <c r="G202" s="1"/>
      <c r="H202" s="1">
        <f t="shared" si="26"/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89">
        <v>870</v>
      </c>
      <c r="O202" s="89">
        <v>0</v>
      </c>
      <c r="P202" s="89">
        <v>0</v>
      </c>
      <c r="Q202" s="54">
        <f t="shared" si="23"/>
        <v>870</v>
      </c>
      <c r="R202" s="89">
        <v>0</v>
      </c>
      <c r="S202" s="92">
        <f t="shared" si="27"/>
        <v>1</v>
      </c>
      <c r="T202" s="59">
        <f t="shared" si="24"/>
        <v>870</v>
      </c>
      <c r="U202" s="60">
        <f t="shared" si="25"/>
        <v>0</v>
      </c>
      <c r="V202" s="59" t="str">
        <f t="array" ref="V202">_xlfn.IFS(S202=0,"Alta sin facturar",S202&gt;2,"Cliente",S202&gt;0,"Cliente nuevo")</f>
        <v>Cliente nuevo</v>
      </c>
      <c r="W202" s="59" t="str">
        <f t="shared" si="28"/>
        <v>Ha pagado</v>
      </c>
      <c r="X202" s="3"/>
      <c r="Y202" s="3"/>
      <c r="Z202" s="3"/>
      <c r="AA202" s="3"/>
      <c r="AB202" s="3"/>
      <c r="AC202" s="3"/>
      <c r="AD202" s="3"/>
      <c r="AE202" s="3"/>
      <c r="AG202"/>
      <c r="AH202"/>
      <c r="AI202"/>
      <c r="AJ202"/>
      <c r="AK202"/>
      <c r="AL202"/>
      <c r="AM202"/>
      <c r="AN202"/>
    </row>
    <row r="203" spans="1:40" x14ac:dyDescent="0.25">
      <c r="A203" s="6">
        <v>44616</v>
      </c>
      <c r="B203" t="str">
        <f t="shared" si="22"/>
        <v>Febrero</v>
      </c>
      <c r="C203" s="1" t="s">
        <v>31</v>
      </c>
      <c r="D203" s="58" t="str">
        <f>VLOOKUP(Datos!$C203,$AQ$2:$AR$41,2,0)</f>
        <v>Centro</v>
      </c>
      <c r="E203" s="1">
        <v>23282</v>
      </c>
      <c r="F203" s="1" t="str">
        <f t="array" ref="F203">_xlfn.IFS(H203=0,"Alta sin facturar",H203&gt;2,"Cliente",H203&gt;0,"Cliente nuevo")</f>
        <v>Cliente</v>
      </c>
      <c r="G203" s="1"/>
      <c r="H203" s="1">
        <f t="shared" si="26"/>
        <v>5</v>
      </c>
      <c r="I203" s="2">
        <v>0</v>
      </c>
      <c r="J203" s="2">
        <v>0</v>
      </c>
      <c r="K203" s="2">
        <v>6496</v>
      </c>
      <c r="L203" s="2">
        <v>2320</v>
      </c>
      <c r="M203" s="2">
        <v>9164</v>
      </c>
      <c r="N203" s="89">
        <v>6960</v>
      </c>
      <c r="O203" s="89">
        <v>9280</v>
      </c>
      <c r="P203" s="89">
        <v>0</v>
      </c>
      <c r="Q203" s="54">
        <f t="shared" si="23"/>
        <v>34220</v>
      </c>
      <c r="R203" s="89">
        <v>11542</v>
      </c>
      <c r="S203" s="92">
        <f t="shared" si="27"/>
        <v>5</v>
      </c>
      <c r="T203" s="59">
        <f t="shared" si="24"/>
        <v>22678</v>
      </c>
      <c r="U203" s="60">
        <f t="shared" si="25"/>
        <v>0.33728813559322035</v>
      </c>
      <c r="V203" s="59" t="str">
        <f t="array" ref="V203">_xlfn.IFS(S203=0,"Alta sin facturar",S203&gt;2,"Cliente",S203&gt;0,"Cliente nuevo")</f>
        <v>Cliente</v>
      </c>
      <c r="W203" s="59" t="str">
        <f t="shared" si="28"/>
        <v>Ha pagado</v>
      </c>
      <c r="X203" s="3"/>
      <c r="Y203" s="3"/>
      <c r="Z203" s="3"/>
      <c r="AA203" s="3"/>
      <c r="AB203" s="3"/>
      <c r="AC203" s="3"/>
      <c r="AD203" s="3"/>
      <c r="AE203" s="3"/>
      <c r="AG203"/>
      <c r="AH203"/>
      <c r="AI203"/>
      <c r="AJ203"/>
      <c r="AK203"/>
      <c r="AL203"/>
      <c r="AM203"/>
      <c r="AN203"/>
    </row>
    <row r="204" spans="1:40" x14ac:dyDescent="0.25">
      <c r="A204" s="6">
        <v>44616</v>
      </c>
      <c r="B204" t="str">
        <f t="shared" si="22"/>
        <v>Febrero</v>
      </c>
      <c r="C204" s="1" t="s">
        <v>35</v>
      </c>
      <c r="D204" s="58" t="str">
        <f>VLOOKUP(Datos!$C204,$AQ$2:$AR$41,2,0)</f>
        <v>Centro</v>
      </c>
      <c r="E204" s="1">
        <v>23283</v>
      </c>
      <c r="F204" s="1" t="str">
        <f t="array" ref="F204">_xlfn.IFS(H204=0,"Alta sin facturar",H204&gt;2,"Cliente",H204&gt;0,"Cliente nuevo")</f>
        <v>Cliente</v>
      </c>
      <c r="G204" s="1"/>
      <c r="H204" s="1">
        <f t="shared" si="26"/>
        <v>6</v>
      </c>
      <c r="I204" s="2">
        <v>0</v>
      </c>
      <c r="J204" s="2">
        <v>0</v>
      </c>
      <c r="K204" s="2">
        <v>28776.120000000017</v>
      </c>
      <c r="L204" s="2">
        <v>72748.239999999874</v>
      </c>
      <c r="M204" s="2">
        <v>76254.919999999853</v>
      </c>
      <c r="N204" s="89">
        <v>117447.67999999999</v>
      </c>
      <c r="O204" s="89">
        <v>58730.799999999843</v>
      </c>
      <c r="P204" s="89">
        <v>61485.799999999865</v>
      </c>
      <c r="Q204" s="54">
        <f t="shared" si="23"/>
        <v>415443.55999999942</v>
      </c>
      <c r="R204" s="89">
        <v>75260.800000000003</v>
      </c>
      <c r="S204" s="92">
        <f t="shared" si="27"/>
        <v>6</v>
      </c>
      <c r="T204" s="59">
        <f t="shared" si="24"/>
        <v>340182.75999999943</v>
      </c>
      <c r="U204" s="60">
        <f t="shared" si="25"/>
        <v>0.18115770045875812</v>
      </c>
      <c r="V204" s="59" t="str">
        <f t="array" ref="V204">_xlfn.IFS(S204=0,"Alta sin facturar",S204&gt;2,"Cliente",S204&gt;0,"Cliente nuevo")</f>
        <v>Cliente</v>
      </c>
      <c r="W204" s="59" t="str">
        <f t="shared" si="28"/>
        <v>Ha pagado</v>
      </c>
      <c r="X204" s="3"/>
      <c r="Y204" s="3"/>
      <c r="Z204" s="3"/>
      <c r="AA204" s="3"/>
      <c r="AB204" s="3"/>
      <c r="AC204" s="3"/>
      <c r="AD204" s="3"/>
      <c r="AE204" s="3"/>
      <c r="AG204"/>
      <c r="AH204"/>
      <c r="AI204"/>
      <c r="AJ204"/>
      <c r="AK204"/>
      <c r="AL204"/>
      <c r="AM204"/>
      <c r="AN204"/>
    </row>
    <row r="205" spans="1:40" x14ac:dyDescent="0.25">
      <c r="A205" s="6">
        <v>44616</v>
      </c>
      <c r="B205" t="str">
        <f t="shared" si="22"/>
        <v>Febrero</v>
      </c>
      <c r="C205" s="1" t="s">
        <v>31</v>
      </c>
      <c r="D205" s="58" t="str">
        <f>VLOOKUP(Datos!$C205,$AQ$2:$AR$41,2,0)</f>
        <v>Centro</v>
      </c>
      <c r="E205" s="1">
        <v>23284</v>
      </c>
      <c r="F205" s="1" t="str">
        <f t="array" ref="F205">_xlfn.IFS(H205=0,"Alta sin facturar",H205&gt;2,"Cliente",H205&gt;0,"Cliente nuevo")</f>
        <v>Cliente nuevo</v>
      </c>
      <c r="G205" s="1"/>
      <c r="H205" s="1">
        <f t="shared" si="26"/>
        <v>2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89">
        <v>423.40000000000003</v>
      </c>
      <c r="O205" s="89">
        <v>0</v>
      </c>
      <c r="P205" s="89">
        <v>1081.1199999999999</v>
      </c>
      <c r="Q205" s="54">
        <f t="shared" si="23"/>
        <v>1504.52</v>
      </c>
      <c r="R205" s="89">
        <v>646.40000000000009</v>
      </c>
      <c r="S205" s="92">
        <f t="shared" si="27"/>
        <v>2</v>
      </c>
      <c r="T205" s="59">
        <f t="shared" si="24"/>
        <v>858.11999999999989</v>
      </c>
      <c r="U205" s="60">
        <f t="shared" si="25"/>
        <v>0.42963868875122968</v>
      </c>
      <c r="V205" s="59" t="str">
        <f t="array" ref="V205">_xlfn.IFS(S205=0,"Alta sin facturar",S205&gt;2,"Cliente",S205&gt;0,"Cliente nuevo")</f>
        <v>Cliente nuevo</v>
      </c>
      <c r="W205" s="59" t="str">
        <f t="shared" si="28"/>
        <v>Ha pagado</v>
      </c>
      <c r="X205" s="3"/>
      <c r="Y205" s="3"/>
      <c r="Z205" s="3"/>
      <c r="AA205" s="3"/>
      <c r="AB205" s="3"/>
      <c r="AC205" s="3"/>
      <c r="AD205" s="3"/>
      <c r="AE205" s="3"/>
      <c r="AG205"/>
      <c r="AH205"/>
      <c r="AI205"/>
      <c r="AJ205"/>
      <c r="AK205"/>
      <c r="AL205"/>
      <c r="AM205"/>
      <c r="AN205"/>
    </row>
    <row r="206" spans="1:40" x14ac:dyDescent="0.25">
      <c r="A206" s="6">
        <v>44616</v>
      </c>
      <c r="B206" t="str">
        <f t="shared" si="22"/>
        <v>Febrero</v>
      </c>
      <c r="C206" s="1" t="s">
        <v>31</v>
      </c>
      <c r="D206" s="58" t="str">
        <f>VLOOKUP(Datos!$C206,$AQ$2:$AR$41,2,0)</f>
        <v>Centro</v>
      </c>
      <c r="E206" s="1">
        <v>23285</v>
      </c>
      <c r="F206" s="1" t="str">
        <f t="array" ref="F206">_xlfn.IFS(H206=0,"Alta sin facturar",H206&gt;2,"Cliente",H206&gt;0,"Cliente nuevo")</f>
        <v>Alta sin facturar</v>
      </c>
      <c r="G206" s="1"/>
      <c r="H206" s="1">
        <f t="shared" si="26"/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89">
        <v>0</v>
      </c>
      <c r="O206" s="89">
        <v>0</v>
      </c>
      <c r="P206" s="89">
        <v>0</v>
      </c>
      <c r="Q206" s="54">
        <f t="shared" si="23"/>
        <v>0</v>
      </c>
      <c r="R206" s="89"/>
      <c r="S206" s="92">
        <f t="shared" si="27"/>
        <v>0</v>
      </c>
      <c r="T206" s="59">
        <f t="shared" si="24"/>
        <v>0</v>
      </c>
      <c r="U206" s="60">
        <f t="shared" si="25"/>
        <v>0</v>
      </c>
      <c r="V206" s="59" t="str">
        <f t="array" ref="V206">_xlfn.IFS(S206=0,"Alta sin facturar",S206&gt;2,"Cliente",S206&gt;0,"Cliente nuevo")</f>
        <v>Alta sin facturar</v>
      </c>
      <c r="W206" s="59" t="str">
        <f t="shared" si="28"/>
        <v>Sin pago</v>
      </c>
      <c r="X206" s="3"/>
      <c r="Y206" s="3"/>
      <c r="Z206" s="3"/>
      <c r="AA206" s="3"/>
      <c r="AB206" s="3"/>
      <c r="AC206" s="3"/>
      <c r="AD206" s="3"/>
      <c r="AE206" s="3"/>
      <c r="AG206"/>
      <c r="AH206"/>
      <c r="AI206"/>
      <c r="AJ206"/>
      <c r="AK206"/>
      <c r="AL206"/>
      <c r="AM206"/>
      <c r="AN206"/>
    </row>
    <row r="207" spans="1:40" x14ac:dyDescent="0.25">
      <c r="A207" s="6">
        <v>44616</v>
      </c>
      <c r="B207" t="str">
        <f t="shared" si="22"/>
        <v>Febrero</v>
      </c>
      <c r="C207" s="1" t="s">
        <v>64</v>
      </c>
      <c r="D207" s="58" t="str">
        <f>VLOOKUP(Datos!$C207,$AQ$2:$AR$41,2,0)</f>
        <v>Norte</v>
      </c>
      <c r="E207" s="1">
        <v>23286</v>
      </c>
      <c r="F207" s="1" t="str">
        <f t="array" ref="F207">_xlfn.IFS(H207=0,"Alta sin facturar",H207&gt;2,"Cliente",H207&gt;0,"Cliente nuevo")</f>
        <v>Alta sin facturar</v>
      </c>
      <c r="G207" s="1"/>
      <c r="H207" s="1">
        <f t="shared" si="26"/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89">
        <v>0</v>
      </c>
      <c r="O207" s="89">
        <v>0</v>
      </c>
      <c r="P207" s="89">
        <v>0</v>
      </c>
      <c r="Q207" s="54">
        <f t="shared" si="23"/>
        <v>0</v>
      </c>
      <c r="R207" s="89">
        <v>1856</v>
      </c>
      <c r="S207" s="92">
        <f t="shared" si="27"/>
        <v>0</v>
      </c>
      <c r="T207" s="59">
        <f t="shared" si="24"/>
        <v>-1856</v>
      </c>
      <c r="U207" s="60">
        <f t="shared" si="25"/>
        <v>0</v>
      </c>
      <c r="V207" s="59" t="str">
        <f t="array" ref="V207">_xlfn.IFS(S207=0,"Alta sin facturar",S207&gt;2,"Cliente",S207&gt;0,"Cliente nuevo")</f>
        <v>Alta sin facturar</v>
      </c>
      <c r="W207" s="59" t="str">
        <f t="shared" si="28"/>
        <v>Sin pago</v>
      </c>
      <c r="X207" s="3"/>
      <c r="Y207" s="3"/>
      <c r="Z207" s="3"/>
      <c r="AA207" s="3"/>
      <c r="AB207" s="3"/>
      <c r="AC207" s="3"/>
      <c r="AD207" s="3"/>
      <c r="AE207" s="3"/>
      <c r="AG207"/>
      <c r="AH207"/>
      <c r="AI207"/>
      <c r="AJ207"/>
      <c r="AK207"/>
      <c r="AL207"/>
      <c r="AM207"/>
      <c r="AN207"/>
    </row>
    <row r="208" spans="1:40" x14ac:dyDescent="0.25">
      <c r="A208" s="6">
        <v>44617</v>
      </c>
      <c r="B208" t="str">
        <f t="shared" si="22"/>
        <v>Febrero</v>
      </c>
      <c r="C208" s="1" t="s">
        <v>59</v>
      </c>
      <c r="D208" s="58" t="str">
        <f>VLOOKUP(Datos!$C208,$AQ$2:$AR$41,2,0)</f>
        <v>Magallanes</v>
      </c>
      <c r="E208" s="1">
        <v>23287</v>
      </c>
      <c r="F208" s="1" t="str">
        <f t="array" ref="F208">_xlfn.IFS(H208=0,"Alta sin facturar",H208&gt;2,"Cliente",H208&gt;0,"Cliente nuevo")</f>
        <v>Cliente</v>
      </c>
      <c r="G208" s="1"/>
      <c r="H208" s="1">
        <f t="shared" si="26"/>
        <v>6</v>
      </c>
      <c r="I208" s="2">
        <v>0</v>
      </c>
      <c r="J208" s="2">
        <v>0</v>
      </c>
      <c r="K208" s="2">
        <v>2107.7199999999998</v>
      </c>
      <c r="L208" s="2">
        <v>494.15999999999997</v>
      </c>
      <c r="M208" s="2">
        <v>951.2</v>
      </c>
      <c r="N208" s="89">
        <v>395.56000000000006</v>
      </c>
      <c r="O208" s="89">
        <v>1310.7999999999997</v>
      </c>
      <c r="P208" s="89">
        <v>1735.36</v>
      </c>
      <c r="Q208" s="54">
        <f t="shared" si="23"/>
        <v>6994.7999999999993</v>
      </c>
      <c r="R208" s="89">
        <v>801.56000000000006</v>
      </c>
      <c r="S208" s="92">
        <f t="shared" si="27"/>
        <v>6</v>
      </c>
      <c r="T208" s="59">
        <f t="shared" si="24"/>
        <v>6193.2399999999989</v>
      </c>
      <c r="U208" s="60">
        <f t="shared" si="25"/>
        <v>0.11459369817578775</v>
      </c>
      <c r="V208" s="59" t="str">
        <f t="array" ref="V208">_xlfn.IFS(S208=0,"Alta sin facturar",S208&gt;2,"Cliente",S208&gt;0,"Cliente nuevo")</f>
        <v>Cliente</v>
      </c>
      <c r="W208" s="59" t="str">
        <f t="shared" si="28"/>
        <v>Ha pagado</v>
      </c>
      <c r="X208" s="3"/>
      <c r="Y208" s="3"/>
      <c r="Z208" s="3"/>
      <c r="AA208" s="3"/>
      <c r="AB208" s="3"/>
      <c r="AC208" s="3"/>
      <c r="AD208" s="3"/>
      <c r="AE208" s="3"/>
      <c r="AG208"/>
      <c r="AH208"/>
      <c r="AI208"/>
      <c r="AJ208"/>
      <c r="AK208"/>
      <c r="AL208"/>
      <c r="AM208"/>
      <c r="AN208"/>
    </row>
    <row r="209" spans="1:40" x14ac:dyDescent="0.25">
      <c r="A209" s="6">
        <v>44617</v>
      </c>
      <c r="B209" t="str">
        <f t="shared" si="22"/>
        <v>Febrero</v>
      </c>
      <c r="C209" s="1" t="s">
        <v>59</v>
      </c>
      <c r="D209" s="58" t="str">
        <f>VLOOKUP(Datos!$C209,$AQ$2:$AR$41,2,0)</f>
        <v>Magallanes</v>
      </c>
      <c r="E209" s="1">
        <v>23288</v>
      </c>
      <c r="F209" s="1" t="str">
        <f t="array" ref="F209">_xlfn.IFS(H209=0,"Alta sin facturar",H209&gt;2,"Cliente",H209&gt;0,"Cliente nuevo")</f>
        <v>Cliente nuevo</v>
      </c>
      <c r="G209" s="1"/>
      <c r="H209" s="1">
        <f t="shared" si="26"/>
        <v>1</v>
      </c>
      <c r="I209" s="2">
        <v>0</v>
      </c>
      <c r="J209" s="2">
        <v>0</v>
      </c>
      <c r="K209" s="2">
        <v>220.39999999999998</v>
      </c>
      <c r="L209" s="2">
        <v>0</v>
      </c>
      <c r="M209" s="2">
        <v>0</v>
      </c>
      <c r="N209" s="89">
        <v>0</v>
      </c>
      <c r="O209" s="89">
        <v>0</v>
      </c>
      <c r="P209" s="89">
        <v>0</v>
      </c>
      <c r="Q209" s="54">
        <f t="shared" si="23"/>
        <v>220.39999999999998</v>
      </c>
      <c r="R209" s="89">
        <v>0</v>
      </c>
      <c r="S209" s="92">
        <f t="shared" si="27"/>
        <v>1</v>
      </c>
      <c r="T209" s="59">
        <f t="shared" si="24"/>
        <v>220.39999999999998</v>
      </c>
      <c r="U209" s="60">
        <f t="shared" si="25"/>
        <v>0</v>
      </c>
      <c r="V209" s="59" t="str">
        <f t="array" ref="V209">_xlfn.IFS(S209=0,"Alta sin facturar",S209&gt;2,"Cliente",S209&gt;0,"Cliente nuevo")</f>
        <v>Cliente nuevo</v>
      </c>
      <c r="W209" s="59" t="str">
        <f t="shared" si="28"/>
        <v>Ha pagado</v>
      </c>
      <c r="X209" s="3"/>
      <c r="Y209" s="3"/>
      <c r="Z209" s="3"/>
      <c r="AA209" s="3"/>
      <c r="AB209" s="3"/>
      <c r="AC209" s="3"/>
      <c r="AD209" s="3"/>
      <c r="AE209" s="3"/>
      <c r="AG209"/>
      <c r="AH209"/>
      <c r="AI209"/>
      <c r="AJ209"/>
      <c r="AK209"/>
      <c r="AL209"/>
      <c r="AM209"/>
      <c r="AN209"/>
    </row>
    <row r="210" spans="1:40" x14ac:dyDescent="0.25">
      <c r="A210" s="6">
        <v>44617</v>
      </c>
      <c r="B210" t="str">
        <f t="shared" si="22"/>
        <v>Febrero</v>
      </c>
      <c r="C210" s="1" t="s">
        <v>59</v>
      </c>
      <c r="D210" s="58" t="str">
        <f>VLOOKUP(Datos!$C210,$AQ$2:$AR$41,2,0)</f>
        <v>Magallanes</v>
      </c>
      <c r="E210" s="1">
        <v>23289</v>
      </c>
      <c r="F210" s="1" t="str">
        <f t="array" ref="F210">_xlfn.IFS(H210=0,"Alta sin facturar",H210&gt;2,"Cliente",H210&gt;0,"Cliente nuevo")</f>
        <v>Cliente</v>
      </c>
      <c r="G210" s="1"/>
      <c r="H210" s="1">
        <f t="shared" si="26"/>
        <v>3</v>
      </c>
      <c r="I210" s="2">
        <v>0</v>
      </c>
      <c r="J210" s="2">
        <v>0</v>
      </c>
      <c r="K210" s="2">
        <v>0</v>
      </c>
      <c r="L210" s="2">
        <v>1840.92</v>
      </c>
      <c r="M210" s="2">
        <v>18684.120000000024</v>
      </c>
      <c r="N210" s="89">
        <v>1044</v>
      </c>
      <c r="O210" s="89">
        <v>0</v>
      </c>
      <c r="P210" s="89">
        <v>0</v>
      </c>
      <c r="Q210" s="54">
        <f t="shared" si="23"/>
        <v>21569.040000000023</v>
      </c>
      <c r="R210" s="89">
        <v>7963.4000000000005</v>
      </c>
      <c r="S210" s="92">
        <f t="shared" si="27"/>
        <v>3</v>
      </c>
      <c r="T210" s="59">
        <f t="shared" si="24"/>
        <v>13605.640000000021</v>
      </c>
      <c r="U210" s="60">
        <f t="shared" si="25"/>
        <v>0.36920511993116023</v>
      </c>
      <c r="V210" s="59" t="str">
        <f t="array" ref="V210">_xlfn.IFS(S210=0,"Alta sin facturar",S210&gt;2,"Cliente",S210&gt;0,"Cliente nuevo")</f>
        <v>Cliente</v>
      </c>
      <c r="W210" s="59" t="str">
        <f t="shared" si="28"/>
        <v>Ha pagado</v>
      </c>
      <c r="X210" s="3"/>
      <c r="Y210" s="3"/>
      <c r="Z210" s="3"/>
      <c r="AA210" s="3"/>
      <c r="AB210" s="3"/>
      <c r="AC210" s="3"/>
      <c r="AD210" s="3"/>
      <c r="AE210" s="3"/>
      <c r="AG210"/>
      <c r="AH210"/>
      <c r="AI210"/>
      <c r="AJ210"/>
      <c r="AK210"/>
      <c r="AL210"/>
      <c r="AM210"/>
      <c r="AN210"/>
    </row>
    <row r="211" spans="1:40" x14ac:dyDescent="0.25">
      <c r="A211" s="6">
        <v>44620</v>
      </c>
      <c r="B211" t="str">
        <f t="shared" si="22"/>
        <v>Febrero</v>
      </c>
      <c r="C211" s="1" t="s">
        <v>60</v>
      </c>
      <c r="D211" s="58" t="str">
        <f>VLOOKUP(Datos!$C211,$AQ$2:$AR$41,2,0)</f>
        <v>Norte</v>
      </c>
      <c r="E211" s="1">
        <v>23290</v>
      </c>
      <c r="F211" s="1" t="str">
        <f t="array" ref="F211">_xlfn.IFS(H211=0,"Alta sin facturar",H211&gt;2,"Cliente",H211&gt;0,"Cliente nuevo")</f>
        <v>Alta sin facturar</v>
      </c>
      <c r="G211" s="1"/>
      <c r="H211" s="1">
        <f t="shared" si="26"/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89">
        <v>0</v>
      </c>
      <c r="O211" s="89">
        <v>0</v>
      </c>
      <c r="P211" s="89">
        <v>0</v>
      </c>
      <c r="Q211" s="54">
        <f t="shared" si="23"/>
        <v>0</v>
      </c>
      <c r="R211" s="89"/>
      <c r="S211" s="92">
        <f t="shared" si="27"/>
        <v>0</v>
      </c>
      <c r="T211" s="59">
        <f t="shared" si="24"/>
        <v>0</v>
      </c>
      <c r="U211" s="60">
        <f t="shared" si="25"/>
        <v>0</v>
      </c>
      <c r="V211" s="59" t="str">
        <f t="array" ref="V211">_xlfn.IFS(S211=0,"Alta sin facturar",S211&gt;2,"Cliente",S211&gt;0,"Cliente nuevo")</f>
        <v>Alta sin facturar</v>
      </c>
      <c r="W211" s="59" t="str">
        <f t="shared" si="28"/>
        <v>Sin pago</v>
      </c>
      <c r="X211" s="3"/>
      <c r="Y211" s="3"/>
      <c r="Z211" s="3"/>
      <c r="AA211" s="3"/>
      <c r="AB211" s="3"/>
      <c r="AC211" s="3"/>
      <c r="AD211" s="3"/>
      <c r="AE211" s="3"/>
      <c r="AG211"/>
      <c r="AH211"/>
      <c r="AI211"/>
      <c r="AJ211"/>
      <c r="AK211"/>
      <c r="AL211"/>
      <c r="AM211"/>
      <c r="AN211"/>
    </row>
    <row r="212" spans="1:40" x14ac:dyDescent="0.25">
      <c r="A212" s="6">
        <v>44620</v>
      </c>
      <c r="B212" t="str">
        <f t="shared" si="22"/>
        <v>Febrero</v>
      </c>
      <c r="C212" s="1" t="s">
        <v>75</v>
      </c>
      <c r="D212" s="58" t="str">
        <f>VLOOKUP(Datos!$C212,$AQ$2:$AR$41,2,0)</f>
        <v>Centro</v>
      </c>
      <c r="E212" s="1">
        <v>23291</v>
      </c>
      <c r="F212" s="1" t="str">
        <f t="array" ref="F212">_xlfn.IFS(H212=0,"Alta sin facturar",H212&gt;2,"Cliente",H212&gt;0,"Cliente nuevo")</f>
        <v>Alta sin facturar</v>
      </c>
      <c r="G212" s="1"/>
      <c r="H212" s="1">
        <f t="shared" si="26"/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89">
        <v>0</v>
      </c>
      <c r="O212" s="89">
        <v>0</v>
      </c>
      <c r="P212" s="89">
        <v>0</v>
      </c>
      <c r="Q212" s="54">
        <f t="shared" si="23"/>
        <v>0</v>
      </c>
      <c r="R212" s="89"/>
      <c r="S212" s="92">
        <f t="shared" si="27"/>
        <v>0</v>
      </c>
      <c r="T212" s="59">
        <f t="shared" si="24"/>
        <v>0</v>
      </c>
      <c r="U212" s="60">
        <f t="shared" si="25"/>
        <v>0</v>
      </c>
      <c r="V212" s="59" t="str">
        <f t="array" ref="V212">_xlfn.IFS(S212=0,"Alta sin facturar",S212&gt;2,"Cliente",S212&gt;0,"Cliente nuevo")</f>
        <v>Alta sin facturar</v>
      </c>
      <c r="W212" s="59" t="str">
        <f t="shared" si="28"/>
        <v>Sin pago</v>
      </c>
      <c r="X212" s="3"/>
      <c r="Y212" s="3"/>
      <c r="Z212" s="3"/>
      <c r="AA212" s="3"/>
      <c r="AB212" s="3"/>
      <c r="AC212" s="3"/>
      <c r="AD212" s="3"/>
      <c r="AE212" s="3"/>
      <c r="AG212"/>
      <c r="AH212"/>
      <c r="AI212"/>
      <c r="AJ212"/>
      <c r="AK212"/>
      <c r="AL212"/>
      <c r="AM212"/>
      <c r="AN212"/>
    </row>
    <row r="213" spans="1:40" x14ac:dyDescent="0.25">
      <c r="A213" s="6">
        <v>44621</v>
      </c>
      <c r="B213" t="str">
        <f t="shared" si="22"/>
        <v>Marzo</v>
      </c>
      <c r="C213" s="1" t="s">
        <v>67</v>
      </c>
      <c r="D213" s="58" t="str">
        <f>VLOOKUP(Datos!$C213,$AQ$2:$AR$41,2,0)</f>
        <v>Norte</v>
      </c>
      <c r="E213" s="1">
        <v>23292</v>
      </c>
      <c r="F213" s="1" t="str">
        <f t="array" ref="F213">_xlfn.IFS(H213=0,"Alta sin facturar",H213&gt;2,"Cliente",H213&gt;0,"Cliente nuevo")</f>
        <v>Cliente</v>
      </c>
      <c r="G213" s="1"/>
      <c r="H213" s="1">
        <f t="shared" si="26"/>
        <v>3</v>
      </c>
      <c r="I213" s="2">
        <v>0</v>
      </c>
      <c r="J213" s="2">
        <v>0</v>
      </c>
      <c r="K213" s="2">
        <v>1224.9599999999998</v>
      </c>
      <c r="L213" s="2">
        <v>1719.12</v>
      </c>
      <c r="M213" s="2">
        <v>0</v>
      </c>
      <c r="N213" s="89">
        <v>0</v>
      </c>
      <c r="O213" s="89">
        <v>1127.5199999999998</v>
      </c>
      <c r="P213" s="89">
        <v>0</v>
      </c>
      <c r="Q213" s="54">
        <f t="shared" si="23"/>
        <v>4071.5999999999995</v>
      </c>
      <c r="R213" s="89">
        <v>1224.96</v>
      </c>
      <c r="S213" s="92">
        <f t="shared" si="27"/>
        <v>3</v>
      </c>
      <c r="T213" s="59">
        <f t="shared" si="24"/>
        <v>2846.6399999999994</v>
      </c>
      <c r="U213" s="60">
        <f t="shared" si="25"/>
        <v>0.3008547008547009</v>
      </c>
      <c r="V213" s="59" t="str">
        <f t="array" ref="V213">_xlfn.IFS(S213=0,"Alta sin facturar",S213&gt;2,"Cliente",S213&gt;0,"Cliente nuevo")</f>
        <v>Cliente</v>
      </c>
      <c r="W213" s="59" t="str">
        <f t="shared" si="28"/>
        <v>Ha pagado</v>
      </c>
      <c r="X213" s="3"/>
      <c r="Y213" s="3"/>
      <c r="Z213" s="3"/>
      <c r="AA213" s="3"/>
      <c r="AB213" s="3"/>
      <c r="AC213" s="3"/>
      <c r="AD213" s="3"/>
      <c r="AE213" s="3"/>
      <c r="AG213"/>
      <c r="AH213"/>
      <c r="AI213"/>
      <c r="AJ213"/>
      <c r="AK213"/>
      <c r="AL213"/>
      <c r="AM213"/>
      <c r="AN213"/>
    </row>
    <row r="214" spans="1:40" x14ac:dyDescent="0.25">
      <c r="A214" s="6">
        <v>44621</v>
      </c>
      <c r="B214" t="str">
        <f t="shared" si="22"/>
        <v>Marzo</v>
      </c>
      <c r="C214" s="1" t="s">
        <v>67</v>
      </c>
      <c r="D214" s="58" t="str">
        <f>VLOOKUP(Datos!$C214,$AQ$2:$AR$41,2,0)</f>
        <v>Norte</v>
      </c>
      <c r="E214" s="1">
        <v>23293</v>
      </c>
      <c r="F214" s="1" t="str">
        <f t="array" ref="F214">_xlfn.IFS(H214=0,"Alta sin facturar",H214&gt;2,"Cliente",H214&gt;0,"Cliente nuevo")</f>
        <v>Alta sin facturar</v>
      </c>
      <c r="G214" s="1"/>
      <c r="H214" s="1">
        <f t="shared" si="26"/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89">
        <v>0</v>
      </c>
      <c r="O214" s="89">
        <v>0</v>
      </c>
      <c r="P214" s="89">
        <v>0</v>
      </c>
      <c r="Q214" s="54">
        <f t="shared" si="23"/>
        <v>0</v>
      </c>
      <c r="R214" s="89"/>
      <c r="S214" s="92">
        <f t="shared" si="27"/>
        <v>0</v>
      </c>
      <c r="T214" s="59">
        <f t="shared" si="24"/>
        <v>0</v>
      </c>
      <c r="U214" s="60">
        <f t="shared" si="25"/>
        <v>0</v>
      </c>
      <c r="V214" s="59" t="str">
        <f t="array" ref="V214">_xlfn.IFS(S214=0,"Alta sin facturar",S214&gt;2,"Cliente",S214&gt;0,"Cliente nuevo")</f>
        <v>Alta sin facturar</v>
      </c>
      <c r="W214" s="59" t="str">
        <f t="shared" si="28"/>
        <v>Sin pago</v>
      </c>
      <c r="X214" s="3"/>
      <c r="Y214" s="3"/>
      <c r="Z214" s="3"/>
      <c r="AA214" s="3"/>
      <c r="AB214" s="3"/>
      <c r="AC214" s="3"/>
      <c r="AD214" s="3"/>
      <c r="AE214" s="3"/>
      <c r="AG214"/>
      <c r="AH214"/>
      <c r="AI214"/>
      <c r="AJ214"/>
      <c r="AK214"/>
      <c r="AL214"/>
      <c r="AM214"/>
      <c r="AN214"/>
    </row>
    <row r="215" spans="1:40" x14ac:dyDescent="0.25">
      <c r="A215" s="6">
        <v>44621</v>
      </c>
      <c r="B215" t="str">
        <f t="shared" si="22"/>
        <v>Marzo</v>
      </c>
      <c r="C215" s="1" t="s">
        <v>59</v>
      </c>
      <c r="D215" s="58" t="str">
        <f>VLOOKUP(Datos!$C215,$AQ$2:$AR$41,2,0)</f>
        <v>Magallanes</v>
      </c>
      <c r="E215" s="1">
        <v>23294</v>
      </c>
      <c r="F215" s="1" t="str">
        <f t="array" ref="F215">_xlfn.IFS(H215=0,"Alta sin facturar",H215&gt;2,"Cliente",H215&gt;0,"Cliente nuevo")</f>
        <v>Cliente</v>
      </c>
      <c r="G215" s="1"/>
      <c r="H215" s="1">
        <f t="shared" si="26"/>
        <v>5</v>
      </c>
      <c r="I215" s="2">
        <v>0</v>
      </c>
      <c r="J215" s="2">
        <v>0</v>
      </c>
      <c r="K215" s="2">
        <v>0</v>
      </c>
      <c r="L215" s="2">
        <v>610.16</v>
      </c>
      <c r="M215" s="2">
        <v>293.47999999999996</v>
      </c>
      <c r="N215" s="89">
        <v>3711.9999999999995</v>
      </c>
      <c r="O215" s="89">
        <v>3579.7599999999993</v>
      </c>
      <c r="P215" s="89">
        <v>3064.7199999999989</v>
      </c>
      <c r="Q215" s="54">
        <f t="shared" si="23"/>
        <v>11260.119999999997</v>
      </c>
      <c r="R215" s="89">
        <v>110.2</v>
      </c>
      <c r="S215" s="92">
        <f t="shared" si="27"/>
        <v>5</v>
      </c>
      <c r="T215" s="59">
        <f t="shared" si="24"/>
        <v>11149.919999999996</v>
      </c>
      <c r="U215" s="60">
        <f t="shared" si="25"/>
        <v>9.7867518285773177E-3</v>
      </c>
      <c r="V215" s="59" t="str">
        <f t="array" ref="V215">_xlfn.IFS(S215=0,"Alta sin facturar",S215&gt;2,"Cliente",S215&gt;0,"Cliente nuevo")</f>
        <v>Cliente</v>
      </c>
      <c r="W215" s="59" t="str">
        <f t="shared" si="28"/>
        <v>Ha pagado</v>
      </c>
      <c r="X215" s="3"/>
      <c r="Y215" s="3"/>
      <c r="Z215" s="3"/>
      <c r="AA215" s="3"/>
      <c r="AB215" s="3"/>
      <c r="AC215" s="3"/>
      <c r="AD215" s="3"/>
      <c r="AE215" s="3"/>
      <c r="AG215"/>
      <c r="AH215"/>
      <c r="AI215"/>
      <c r="AJ215"/>
      <c r="AK215"/>
      <c r="AL215"/>
      <c r="AM215"/>
      <c r="AN215"/>
    </row>
    <row r="216" spans="1:40" x14ac:dyDescent="0.25">
      <c r="A216" s="6">
        <v>44621</v>
      </c>
      <c r="B216" t="str">
        <f t="shared" si="22"/>
        <v>Marzo</v>
      </c>
      <c r="C216" s="1" t="s">
        <v>60</v>
      </c>
      <c r="D216" s="58" t="str">
        <f>VLOOKUP(Datos!$C216,$AQ$2:$AR$41,2,0)</f>
        <v>Norte</v>
      </c>
      <c r="E216" s="1">
        <v>23295</v>
      </c>
      <c r="F216" s="1" t="str">
        <f t="array" ref="F216">_xlfn.IFS(H216=0,"Alta sin facturar",H216&gt;2,"Cliente",H216&gt;0,"Cliente nuevo")</f>
        <v>Cliente</v>
      </c>
      <c r="G216" s="1"/>
      <c r="H216" s="1">
        <f t="shared" si="26"/>
        <v>4</v>
      </c>
      <c r="I216" s="2">
        <v>0</v>
      </c>
      <c r="J216" s="2">
        <v>0</v>
      </c>
      <c r="K216" s="2">
        <v>0</v>
      </c>
      <c r="L216" s="2">
        <v>0</v>
      </c>
      <c r="M216" s="2">
        <v>2603.0399999999995</v>
      </c>
      <c r="N216" s="89">
        <v>9184.880000000001</v>
      </c>
      <c r="O216" s="89">
        <v>2583.3199999999997</v>
      </c>
      <c r="P216" s="89">
        <v>2402.3599999999997</v>
      </c>
      <c r="Q216" s="54">
        <f t="shared" si="23"/>
        <v>16773.599999999999</v>
      </c>
      <c r="R216" s="89">
        <v>619.44000000000005</v>
      </c>
      <c r="S216" s="92">
        <f t="shared" si="27"/>
        <v>4</v>
      </c>
      <c r="T216" s="59">
        <f t="shared" si="24"/>
        <v>16154.159999999998</v>
      </c>
      <c r="U216" s="60">
        <f t="shared" si="25"/>
        <v>3.6929460580912871E-2</v>
      </c>
      <c r="V216" s="59" t="str">
        <f t="array" ref="V216">_xlfn.IFS(S216=0,"Alta sin facturar",S216&gt;2,"Cliente",S216&gt;0,"Cliente nuevo")</f>
        <v>Cliente</v>
      </c>
      <c r="W216" s="59" t="str">
        <f t="shared" si="28"/>
        <v>Ha pagado</v>
      </c>
      <c r="X216" s="3"/>
      <c r="Y216" s="3"/>
      <c r="Z216" s="3"/>
      <c r="AA216" s="3"/>
      <c r="AB216" s="3"/>
      <c r="AC216" s="3"/>
      <c r="AD216" s="3"/>
      <c r="AE216" s="3"/>
      <c r="AG216"/>
      <c r="AH216"/>
      <c r="AI216"/>
      <c r="AJ216"/>
      <c r="AK216"/>
      <c r="AL216"/>
      <c r="AM216"/>
      <c r="AN216"/>
    </row>
    <row r="217" spans="1:40" x14ac:dyDescent="0.25">
      <c r="A217" s="6">
        <v>44621</v>
      </c>
      <c r="B217" t="str">
        <f t="shared" si="22"/>
        <v>Marzo</v>
      </c>
      <c r="C217" s="1" t="s">
        <v>36</v>
      </c>
      <c r="D217" s="58" t="str">
        <f>VLOOKUP(Datos!$C217,$AQ$2:$AR$41,2,0)</f>
        <v>Magallanes</v>
      </c>
      <c r="E217" s="1">
        <v>23296</v>
      </c>
      <c r="F217" s="1" t="str">
        <f t="array" ref="F217">_xlfn.IFS(H217=0,"Alta sin facturar",H217&gt;2,"Cliente",H217&gt;0,"Cliente nuevo")</f>
        <v>Cliente nuevo</v>
      </c>
      <c r="G217" s="1"/>
      <c r="H217" s="1">
        <f t="shared" si="26"/>
        <v>1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89">
        <v>613.64</v>
      </c>
      <c r="O217" s="89">
        <v>0</v>
      </c>
      <c r="P217" s="89">
        <v>0</v>
      </c>
      <c r="Q217" s="54">
        <f t="shared" si="23"/>
        <v>613.64</v>
      </c>
      <c r="R217" s="89">
        <v>613.64</v>
      </c>
      <c r="S217" s="92">
        <f t="shared" si="27"/>
        <v>1</v>
      </c>
      <c r="T217" s="59">
        <f t="shared" si="24"/>
        <v>0</v>
      </c>
      <c r="U217" s="60">
        <f t="shared" si="25"/>
        <v>1</v>
      </c>
      <c r="V217" s="59" t="str">
        <f t="array" ref="V217">_xlfn.IFS(S217=0,"Alta sin facturar",S217&gt;2,"Cliente",S217&gt;0,"Cliente nuevo")</f>
        <v>Cliente nuevo</v>
      </c>
      <c r="W217" s="59" t="str">
        <f t="shared" si="28"/>
        <v>Sin pago</v>
      </c>
      <c r="X217" s="3"/>
      <c r="Y217" s="3"/>
      <c r="Z217" s="3"/>
      <c r="AA217" s="3"/>
      <c r="AB217" s="3"/>
      <c r="AC217" s="3"/>
      <c r="AD217" s="3"/>
      <c r="AE217" s="3"/>
      <c r="AG217"/>
      <c r="AH217"/>
      <c r="AI217"/>
      <c r="AJ217"/>
      <c r="AK217"/>
      <c r="AL217"/>
      <c r="AM217"/>
      <c r="AN217"/>
    </row>
    <row r="218" spans="1:40" x14ac:dyDescent="0.25">
      <c r="A218" s="6">
        <v>44621</v>
      </c>
      <c r="B218" t="str">
        <f t="shared" si="22"/>
        <v>Marzo</v>
      </c>
      <c r="C218" s="1" t="s">
        <v>59</v>
      </c>
      <c r="D218" s="58" t="str">
        <f>VLOOKUP(Datos!$C218,$AQ$2:$AR$41,2,0)</f>
        <v>Magallanes</v>
      </c>
      <c r="E218" s="1">
        <v>23297</v>
      </c>
      <c r="F218" s="1" t="str">
        <f t="array" ref="F218">_xlfn.IFS(H218=0,"Alta sin facturar",H218&gt;2,"Cliente",H218&gt;0,"Cliente nuevo")</f>
        <v>Cliente</v>
      </c>
      <c r="G218" s="1"/>
      <c r="H218" s="1">
        <f t="shared" si="26"/>
        <v>6</v>
      </c>
      <c r="I218" s="2">
        <v>0</v>
      </c>
      <c r="J218" s="2">
        <v>0</v>
      </c>
      <c r="K218" s="2">
        <v>4932.32</v>
      </c>
      <c r="L218" s="2">
        <v>4989.16</v>
      </c>
      <c r="M218" s="2">
        <v>3834.9599999999996</v>
      </c>
      <c r="N218" s="89">
        <v>9332.2000000000007</v>
      </c>
      <c r="O218" s="89">
        <v>3270.0399999999995</v>
      </c>
      <c r="P218" s="89">
        <v>6426.4000000000005</v>
      </c>
      <c r="Q218" s="54">
        <f t="shared" si="23"/>
        <v>32785.08</v>
      </c>
      <c r="R218" s="89">
        <v>0</v>
      </c>
      <c r="S218" s="92">
        <f t="shared" si="27"/>
        <v>6</v>
      </c>
      <c r="T218" s="59">
        <f t="shared" si="24"/>
        <v>32785.08</v>
      </c>
      <c r="U218" s="60">
        <f t="shared" si="25"/>
        <v>0</v>
      </c>
      <c r="V218" s="59" t="str">
        <f t="array" ref="V218">_xlfn.IFS(S218=0,"Alta sin facturar",S218&gt;2,"Cliente",S218&gt;0,"Cliente nuevo")</f>
        <v>Cliente</v>
      </c>
      <c r="W218" s="59" t="str">
        <f t="shared" si="28"/>
        <v>Ha pagado</v>
      </c>
      <c r="X218" s="3"/>
      <c r="Y218" s="3"/>
      <c r="Z218" s="3"/>
      <c r="AA218" s="3"/>
      <c r="AB218" s="3"/>
      <c r="AC218" s="3"/>
      <c r="AD218" s="3"/>
      <c r="AE218" s="3"/>
      <c r="AG218"/>
      <c r="AH218"/>
      <c r="AI218"/>
      <c r="AJ218"/>
      <c r="AK218"/>
      <c r="AL218"/>
      <c r="AM218"/>
      <c r="AN218"/>
    </row>
    <row r="219" spans="1:40" x14ac:dyDescent="0.25">
      <c r="A219" s="6">
        <v>44621</v>
      </c>
      <c r="B219" t="str">
        <f t="shared" si="22"/>
        <v>Marzo</v>
      </c>
      <c r="C219" s="1" t="s">
        <v>35</v>
      </c>
      <c r="D219" s="58" t="str">
        <f>VLOOKUP(Datos!$C219,$AQ$2:$AR$41,2,0)</f>
        <v>Centro</v>
      </c>
      <c r="E219" s="1">
        <v>23298</v>
      </c>
      <c r="F219" s="1" t="str">
        <f t="array" ref="F219">_xlfn.IFS(H219=0,"Alta sin facturar",H219&gt;2,"Cliente",H219&gt;0,"Cliente nuevo")</f>
        <v>Cliente</v>
      </c>
      <c r="G219" s="1"/>
      <c r="H219" s="1">
        <f t="shared" si="26"/>
        <v>6</v>
      </c>
      <c r="I219" s="2">
        <v>0</v>
      </c>
      <c r="J219" s="2">
        <v>0</v>
      </c>
      <c r="K219" s="2">
        <v>3602.9599999999991</v>
      </c>
      <c r="L219" s="2">
        <v>2679.5999999999995</v>
      </c>
      <c r="M219" s="2">
        <v>3282.7999999999993</v>
      </c>
      <c r="N219" s="89">
        <v>5305.84</v>
      </c>
      <c r="O219" s="89">
        <v>3336.1599999999989</v>
      </c>
      <c r="P219" s="89">
        <v>5305.8400000000011</v>
      </c>
      <c r="Q219" s="54">
        <f t="shared" si="23"/>
        <v>23513.199999999997</v>
      </c>
      <c r="R219" s="89">
        <v>3336.16</v>
      </c>
      <c r="S219" s="92">
        <f t="shared" si="27"/>
        <v>6</v>
      </c>
      <c r="T219" s="59">
        <f t="shared" si="24"/>
        <v>20177.039999999997</v>
      </c>
      <c r="U219" s="60">
        <f t="shared" si="25"/>
        <v>0.14188455846077949</v>
      </c>
      <c r="V219" s="59" t="str">
        <f t="array" ref="V219">_xlfn.IFS(S219=0,"Alta sin facturar",S219&gt;2,"Cliente",S219&gt;0,"Cliente nuevo")</f>
        <v>Cliente</v>
      </c>
      <c r="W219" s="59" t="str">
        <f t="shared" si="28"/>
        <v>Ha pagado</v>
      </c>
      <c r="X219" s="3"/>
      <c r="Y219" s="3"/>
      <c r="Z219" s="3"/>
      <c r="AA219" s="3"/>
      <c r="AB219" s="3"/>
      <c r="AC219" s="3"/>
      <c r="AD219" s="3"/>
      <c r="AE219" s="3"/>
      <c r="AG219"/>
      <c r="AH219"/>
      <c r="AI219"/>
      <c r="AJ219"/>
      <c r="AK219"/>
      <c r="AL219"/>
      <c r="AM219"/>
      <c r="AN219"/>
    </row>
    <row r="220" spans="1:40" x14ac:dyDescent="0.25">
      <c r="A220" s="6">
        <v>44622</v>
      </c>
      <c r="B220" t="str">
        <f t="shared" si="22"/>
        <v>Marzo</v>
      </c>
      <c r="C220" s="1" t="s">
        <v>59</v>
      </c>
      <c r="D220" s="58" t="str">
        <f>VLOOKUP(Datos!$C220,$AQ$2:$AR$41,2,0)</f>
        <v>Magallanes</v>
      </c>
      <c r="E220" s="1">
        <v>23299</v>
      </c>
      <c r="F220" s="1" t="str">
        <f t="array" ref="F220">_xlfn.IFS(H220=0,"Alta sin facturar",H220&gt;2,"Cliente",H220&gt;0,"Cliente nuevo")</f>
        <v>Cliente</v>
      </c>
      <c r="G220" s="1"/>
      <c r="H220" s="1">
        <f t="shared" si="26"/>
        <v>3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89">
        <v>970.92</v>
      </c>
      <c r="O220" s="89">
        <v>2674.96</v>
      </c>
      <c r="P220" s="89">
        <v>2988.16</v>
      </c>
      <c r="Q220" s="54">
        <f t="shared" si="23"/>
        <v>6634.04</v>
      </c>
      <c r="R220" s="89">
        <v>335.24</v>
      </c>
      <c r="S220" s="92">
        <f t="shared" si="27"/>
        <v>3</v>
      </c>
      <c r="T220" s="59">
        <f t="shared" si="24"/>
        <v>6298.8</v>
      </c>
      <c r="U220" s="60">
        <f t="shared" si="25"/>
        <v>5.0533310019234133E-2</v>
      </c>
      <c r="V220" s="59" t="str">
        <f t="array" ref="V220">_xlfn.IFS(S220=0,"Alta sin facturar",S220&gt;2,"Cliente",S220&gt;0,"Cliente nuevo")</f>
        <v>Cliente</v>
      </c>
      <c r="W220" s="59" t="str">
        <f t="shared" si="28"/>
        <v>Ha pagado</v>
      </c>
      <c r="X220" s="3"/>
      <c r="Y220" s="3"/>
      <c r="Z220" s="3"/>
      <c r="AA220" s="3"/>
      <c r="AB220" s="3"/>
      <c r="AC220" s="3"/>
      <c r="AD220" s="3"/>
      <c r="AE220" s="3"/>
      <c r="AG220"/>
      <c r="AH220"/>
      <c r="AI220"/>
      <c r="AJ220"/>
      <c r="AK220"/>
      <c r="AL220"/>
      <c r="AM220"/>
      <c r="AN220"/>
    </row>
    <row r="221" spans="1:40" x14ac:dyDescent="0.25">
      <c r="A221" s="6">
        <v>44622</v>
      </c>
      <c r="B221" t="str">
        <f t="shared" si="22"/>
        <v>Marzo</v>
      </c>
      <c r="C221" s="1" t="s">
        <v>97</v>
      </c>
      <c r="D221" s="58" t="str">
        <f>VLOOKUP(Datos!$C221,$AQ$2:$AR$41,2,0)</f>
        <v>Centro</v>
      </c>
      <c r="E221" s="1">
        <v>23300</v>
      </c>
      <c r="F221" s="1" t="str">
        <f t="array" ref="F221">_xlfn.IFS(H221=0,"Alta sin facturar",H221&gt;2,"Cliente",H221&gt;0,"Cliente nuevo")</f>
        <v>Alta sin facturar</v>
      </c>
      <c r="G221" s="1"/>
      <c r="H221" s="1">
        <f t="shared" si="26"/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89">
        <v>0</v>
      </c>
      <c r="O221" s="89">
        <v>0</v>
      </c>
      <c r="P221" s="89">
        <v>0</v>
      </c>
      <c r="Q221" s="54">
        <f t="shared" si="23"/>
        <v>0</v>
      </c>
      <c r="R221" s="89"/>
      <c r="S221" s="92">
        <f t="shared" si="27"/>
        <v>0</v>
      </c>
      <c r="T221" s="59">
        <f t="shared" si="24"/>
        <v>0</v>
      </c>
      <c r="U221" s="60">
        <f t="shared" si="25"/>
        <v>0</v>
      </c>
      <c r="V221" s="59" t="str">
        <f t="array" ref="V221">_xlfn.IFS(S221=0,"Alta sin facturar",S221&gt;2,"Cliente",S221&gt;0,"Cliente nuevo")</f>
        <v>Alta sin facturar</v>
      </c>
      <c r="W221" s="59" t="str">
        <f t="shared" si="28"/>
        <v>Sin pago</v>
      </c>
      <c r="X221" s="3"/>
      <c r="Y221" s="3"/>
      <c r="Z221" s="3"/>
      <c r="AA221" s="3"/>
      <c r="AB221" s="3"/>
      <c r="AC221" s="3"/>
      <c r="AD221" s="3"/>
      <c r="AE221" s="3"/>
      <c r="AG221"/>
      <c r="AH221"/>
      <c r="AI221"/>
      <c r="AJ221"/>
      <c r="AK221"/>
      <c r="AL221"/>
      <c r="AM221"/>
      <c r="AN221"/>
    </row>
    <row r="222" spans="1:40" x14ac:dyDescent="0.25">
      <c r="A222" s="6">
        <v>44622</v>
      </c>
      <c r="B222" t="str">
        <f t="shared" si="22"/>
        <v>Marzo</v>
      </c>
      <c r="C222" s="1" t="s">
        <v>97</v>
      </c>
      <c r="D222" s="58" t="str">
        <f>VLOOKUP(Datos!$C222,$AQ$2:$AR$41,2,0)</f>
        <v>Centro</v>
      </c>
      <c r="E222" s="1">
        <v>23301</v>
      </c>
      <c r="F222" s="1" t="str">
        <f t="array" ref="F222">_xlfn.IFS(H222=0,"Alta sin facturar",H222&gt;2,"Cliente",H222&gt;0,"Cliente nuevo")</f>
        <v>Alta sin facturar</v>
      </c>
      <c r="G222" s="1"/>
      <c r="H222" s="1">
        <f t="shared" si="26"/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89">
        <v>0</v>
      </c>
      <c r="O222" s="89">
        <v>0</v>
      </c>
      <c r="P222" s="89">
        <v>0</v>
      </c>
      <c r="Q222" s="54">
        <f t="shared" si="23"/>
        <v>0</v>
      </c>
      <c r="R222" s="89"/>
      <c r="S222" s="92">
        <f t="shared" si="27"/>
        <v>0</v>
      </c>
      <c r="T222" s="59">
        <f t="shared" si="24"/>
        <v>0</v>
      </c>
      <c r="U222" s="60">
        <f t="shared" si="25"/>
        <v>0</v>
      </c>
      <c r="V222" s="59" t="str">
        <f t="array" ref="V222">_xlfn.IFS(S222=0,"Alta sin facturar",S222&gt;2,"Cliente",S222&gt;0,"Cliente nuevo")</f>
        <v>Alta sin facturar</v>
      </c>
      <c r="W222" s="59" t="str">
        <f t="shared" si="28"/>
        <v>Sin pago</v>
      </c>
      <c r="X222" s="3"/>
      <c r="Y222" s="3"/>
      <c r="Z222" s="3"/>
      <c r="AA222" s="3"/>
      <c r="AB222" s="3"/>
      <c r="AC222" s="3"/>
      <c r="AD222" s="3"/>
      <c r="AE222" s="3"/>
      <c r="AG222"/>
      <c r="AH222"/>
      <c r="AI222"/>
      <c r="AJ222"/>
      <c r="AK222"/>
      <c r="AL222"/>
      <c r="AM222"/>
      <c r="AN222"/>
    </row>
    <row r="223" spans="1:40" x14ac:dyDescent="0.25">
      <c r="A223" s="6">
        <v>44622</v>
      </c>
      <c r="B223" t="str">
        <f t="shared" si="22"/>
        <v>Marzo</v>
      </c>
      <c r="C223" s="1" t="s">
        <v>62</v>
      </c>
      <c r="D223" s="58" t="str">
        <f>VLOOKUP(Datos!$C223,$AQ$2:$AR$41,2,0)</f>
        <v>Norte</v>
      </c>
      <c r="E223" s="1">
        <v>23302</v>
      </c>
      <c r="F223" s="1" t="str">
        <f t="array" ref="F223">_xlfn.IFS(H223=0,"Alta sin facturar",H223&gt;2,"Cliente",H223&gt;0,"Cliente nuevo")</f>
        <v>Cliente nuevo</v>
      </c>
      <c r="G223" s="1"/>
      <c r="H223" s="1">
        <f t="shared" si="26"/>
        <v>1</v>
      </c>
      <c r="I223" s="2">
        <v>0</v>
      </c>
      <c r="J223" s="2">
        <v>0</v>
      </c>
      <c r="K223" s="2">
        <v>278.39999999999998</v>
      </c>
      <c r="L223" s="2">
        <v>0</v>
      </c>
      <c r="M223" s="2">
        <v>0</v>
      </c>
      <c r="N223" s="89">
        <v>0</v>
      </c>
      <c r="O223" s="89">
        <v>0</v>
      </c>
      <c r="P223" s="89">
        <v>0</v>
      </c>
      <c r="Q223" s="54">
        <f t="shared" si="23"/>
        <v>278.39999999999998</v>
      </c>
      <c r="R223" s="89">
        <v>1090.4000000000001</v>
      </c>
      <c r="S223" s="92">
        <f t="shared" si="27"/>
        <v>1</v>
      </c>
      <c r="T223" s="59">
        <f t="shared" si="24"/>
        <v>-812.00000000000011</v>
      </c>
      <c r="U223" s="60">
        <f t="shared" si="25"/>
        <v>3.9166666666666674</v>
      </c>
      <c r="V223" s="59" t="str">
        <f t="array" ref="V223">_xlfn.IFS(S223=0,"Alta sin facturar",S223&gt;2,"Cliente",S223&gt;0,"Cliente nuevo")</f>
        <v>Cliente nuevo</v>
      </c>
      <c r="W223" s="59" t="str">
        <f t="shared" si="28"/>
        <v>Sin pago</v>
      </c>
      <c r="X223" s="3"/>
      <c r="Y223" s="3"/>
      <c r="Z223" s="3"/>
      <c r="AA223" s="3"/>
      <c r="AB223" s="3"/>
      <c r="AC223" s="3"/>
      <c r="AD223" s="3"/>
      <c r="AE223" s="3"/>
      <c r="AG223"/>
      <c r="AH223"/>
      <c r="AI223"/>
      <c r="AJ223"/>
      <c r="AK223"/>
      <c r="AL223"/>
      <c r="AM223"/>
      <c r="AN223"/>
    </row>
    <row r="224" spans="1:40" x14ac:dyDescent="0.25">
      <c r="A224" s="6">
        <v>44622</v>
      </c>
      <c r="B224" t="str">
        <f t="shared" si="22"/>
        <v>Marzo</v>
      </c>
      <c r="C224" s="1" t="s">
        <v>60</v>
      </c>
      <c r="D224" s="58" t="str">
        <f>VLOOKUP(Datos!$C224,$AQ$2:$AR$41,2,0)</f>
        <v>Norte</v>
      </c>
      <c r="E224" s="1">
        <v>23303</v>
      </c>
      <c r="F224" s="1" t="str">
        <f t="array" ref="F224">_xlfn.IFS(H224=0,"Alta sin facturar",H224&gt;2,"Cliente",H224&gt;0,"Cliente nuevo")</f>
        <v>Cliente</v>
      </c>
      <c r="G224" s="1"/>
      <c r="H224" s="1">
        <f t="shared" si="26"/>
        <v>4</v>
      </c>
      <c r="I224" s="2">
        <v>0</v>
      </c>
      <c r="J224" s="2">
        <v>0</v>
      </c>
      <c r="K224" s="2">
        <v>408.32</v>
      </c>
      <c r="L224" s="2">
        <v>567.2399999999999</v>
      </c>
      <c r="M224" s="2">
        <v>213.44</v>
      </c>
      <c r="N224" s="89">
        <v>7440.24</v>
      </c>
      <c r="O224" s="89">
        <v>0</v>
      </c>
      <c r="P224" s="89">
        <v>0</v>
      </c>
      <c r="Q224" s="54">
        <f t="shared" si="23"/>
        <v>8629.24</v>
      </c>
      <c r="R224" s="89">
        <v>7440.24</v>
      </c>
      <c r="S224" s="92">
        <f t="shared" si="27"/>
        <v>4</v>
      </c>
      <c r="T224" s="59">
        <f t="shared" si="24"/>
        <v>1189</v>
      </c>
      <c r="U224" s="60">
        <f t="shared" si="25"/>
        <v>0.86221266299233768</v>
      </c>
      <c r="V224" s="59" t="str">
        <f t="array" ref="V224">_xlfn.IFS(S224=0,"Alta sin facturar",S224&gt;2,"Cliente",S224&gt;0,"Cliente nuevo")</f>
        <v>Cliente</v>
      </c>
      <c r="W224" s="59" t="str">
        <f t="shared" si="28"/>
        <v>Ha pagado</v>
      </c>
      <c r="X224" s="3"/>
      <c r="Y224" s="3"/>
      <c r="Z224" s="3"/>
      <c r="AA224" s="3"/>
      <c r="AB224" s="3"/>
      <c r="AC224" s="3"/>
      <c r="AD224" s="3"/>
      <c r="AE224" s="3"/>
      <c r="AG224"/>
      <c r="AH224"/>
      <c r="AI224"/>
      <c r="AJ224"/>
      <c r="AK224"/>
      <c r="AL224"/>
      <c r="AM224"/>
      <c r="AN224"/>
    </row>
    <row r="225" spans="1:40" x14ac:dyDescent="0.25">
      <c r="A225" s="6">
        <v>44623</v>
      </c>
      <c r="B225" t="str">
        <f t="shared" si="22"/>
        <v>Marzo</v>
      </c>
      <c r="C225" s="1" t="s">
        <v>33</v>
      </c>
      <c r="D225" s="58" t="str">
        <f>VLOOKUP(Datos!$C225,$AQ$2:$AR$41,2,0)</f>
        <v>Magallanes</v>
      </c>
      <c r="E225" s="1">
        <v>23304</v>
      </c>
      <c r="F225" s="1" t="str">
        <f t="array" ref="F225">_xlfn.IFS(H225=0,"Alta sin facturar",H225&gt;2,"Cliente",H225&gt;0,"Cliente nuevo")</f>
        <v>Alta sin facturar</v>
      </c>
      <c r="G225" s="1"/>
      <c r="H225" s="1">
        <f t="shared" si="26"/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89">
        <v>0</v>
      </c>
      <c r="O225" s="89">
        <v>0</v>
      </c>
      <c r="P225" s="89">
        <v>0</v>
      </c>
      <c r="Q225" s="54">
        <f t="shared" si="23"/>
        <v>0</v>
      </c>
      <c r="R225" s="89">
        <v>4036.7999999999997</v>
      </c>
      <c r="S225" s="92">
        <f t="shared" si="27"/>
        <v>0</v>
      </c>
      <c r="T225" s="59">
        <f t="shared" si="24"/>
        <v>-4036.7999999999997</v>
      </c>
      <c r="U225" s="60">
        <f t="shared" si="25"/>
        <v>0</v>
      </c>
      <c r="V225" s="59" t="str">
        <f t="array" ref="V225">_xlfn.IFS(S225=0,"Alta sin facturar",S225&gt;2,"Cliente",S225&gt;0,"Cliente nuevo")</f>
        <v>Alta sin facturar</v>
      </c>
      <c r="W225" s="59" t="str">
        <f t="shared" si="28"/>
        <v>Sin pago</v>
      </c>
      <c r="X225" s="3"/>
      <c r="Y225" s="3"/>
      <c r="Z225" s="3"/>
      <c r="AA225" s="3"/>
      <c r="AB225" s="3"/>
      <c r="AC225" s="3"/>
      <c r="AD225" s="3"/>
      <c r="AE225" s="3"/>
      <c r="AG225"/>
      <c r="AH225"/>
      <c r="AI225"/>
      <c r="AJ225"/>
      <c r="AK225"/>
      <c r="AL225"/>
      <c r="AM225"/>
      <c r="AN225"/>
    </row>
    <row r="226" spans="1:40" x14ac:dyDescent="0.25">
      <c r="A226" s="6">
        <v>44623</v>
      </c>
      <c r="B226" t="str">
        <f t="shared" si="22"/>
        <v>Marzo</v>
      </c>
      <c r="C226" s="1" t="s">
        <v>63</v>
      </c>
      <c r="D226" s="58" t="str">
        <f>VLOOKUP(Datos!$C226,$AQ$2:$AR$41,2,0)</f>
        <v>Centro</v>
      </c>
      <c r="E226" s="1">
        <v>23305</v>
      </c>
      <c r="F226" s="1" t="str">
        <f t="array" ref="F226">_xlfn.IFS(H226=0,"Alta sin facturar",H226&gt;2,"Cliente",H226&gt;0,"Cliente nuevo")</f>
        <v>Alta sin facturar</v>
      </c>
      <c r="G226" s="1"/>
      <c r="H226" s="1">
        <f t="shared" si="26"/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89">
        <v>0</v>
      </c>
      <c r="O226" s="89">
        <v>0</v>
      </c>
      <c r="P226" s="89">
        <v>0</v>
      </c>
      <c r="Q226" s="54">
        <f t="shared" si="23"/>
        <v>0</v>
      </c>
      <c r="R226" s="89"/>
      <c r="S226" s="92">
        <f t="shared" si="27"/>
        <v>0</v>
      </c>
      <c r="T226" s="59">
        <f t="shared" si="24"/>
        <v>0</v>
      </c>
      <c r="U226" s="60">
        <f t="shared" si="25"/>
        <v>0</v>
      </c>
      <c r="V226" s="59" t="str">
        <f t="array" ref="V226">_xlfn.IFS(S226=0,"Alta sin facturar",S226&gt;2,"Cliente",S226&gt;0,"Cliente nuevo")</f>
        <v>Alta sin facturar</v>
      </c>
      <c r="W226" s="59" t="str">
        <f t="shared" si="28"/>
        <v>Sin pago</v>
      </c>
      <c r="X226" s="3"/>
      <c r="Y226" s="3"/>
      <c r="Z226" s="3"/>
      <c r="AA226" s="3"/>
      <c r="AB226" s="3"/>
      <c r="AC226" s="3"/>
      <c r="AD226" s="3"/>
      <c r="AE226" s="3"/>
      <c r="AG226"/>
      <c r="AH226"/>
      <c r="AI226"/>
      <c r="AJ226"/>
      <c r="AK226"/>
      <c r="AL226"/>
      <c r="AM226"/>
      <c r="AN226"/>
    </row>
    <row r="227" spans="1:40" x14ac:dyDescent="0.25">
      <c r="A227" s="6">
        <v>44624</v>
      </c>
      <c r="B227" t="str">
        <f t="shared" si="22"/>
        <v>Marzo</v>
      </c>
      <c r="C227" s="1" t="s">
        <v>89</v>
      </c>
      <c r="D227" s="58" t="str">
        <f>VLOOKUP(Datos!$C227,$AQ$2:$AR$41,2,0)</f>
        <v>Centro</v>
      </c>
      <c r="E227" s="1">
        <v>23306</v>
      </c>
      <c r="F227" s="1" t="str">
        <f t="array" ref="F227">_xlfn.IFS(H227=0,"Alta sin facturar",H227&gt;2,"Cliente",H227&gt;0,"Cliente nuevo")</f>
        <v>Alta sin facturar</v>
      </c>
      <c r="G227" s="1"/>
      <c r="H227" s="1">
        <f t="shared" si="26"/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89">
        <v>0</v>
      </c>
      <c r="O227" s="89">
        <v>0</v>
      </c>
      <c r="P227" s="89">
        <v>0</v>
      </c>
      <c r="Q227" s="54">
        <f t="shared" si="23"/>
        <v>0</v>
      </c>
      <c r="R227" s="89"/>
      <c r="S227" s="92">
        <f t="shared" si="27"/>
        <v>0</v>
      </c>
      <c r="T227" s="59">
        <f t="shared" si="24"/>
        <v>0</v>
      </c>
      <c r="U227" s="60">
        <f t="shared" si="25"/>
        <v>0</v>
      </c>
      <c r="V227" s="59" t="str">
        <f t="array" ref="V227">_xlfn.IFS(S227=0,"Alta sin facturar",S227&gt;2,"Cliente",S227&gt;0,"Cliente nuevo")</f>
        <v>Alta sin facturar</v>
      </c>
      <c r="W227" s="59" t="str">
        <f t="shared" si="28"/>
        <v>Sin pago</v>
      </c>
      <c r="X227" s="3"/>
      <c r="Y227" s="3"/>
      <c r="Z227" s="3"/>
      <c r="AA227" s="3"/>
      <c r="AB227" s="3"/>
      <c r="AC227" s="3"/>
      <c r="AD227" s="3"/>
      <c r="AE227" s="3"/>
      <c r="AG227"/>
      <c r="AH227"/>
      <c r="AI227"/>
      <c r="AJ227"/>
      <c r="AK227"/>
      <c r="AL227"/>
      <c r="AM227"/>
      <c r="AN227"/>
    </row>
    <row r="228" spans="1:40" x14ac:dyDescent="0.25">
      <c r="A228" s="6">
        <v>44624</v>
      </c>
      <c r="B228" t="str">
        <f t="shared" si="22"/>
        <v>Marzo</v>
      </c>
      <c r="C228" s="1" t="s">
        <v>31</v>
      </c>
      <c r="D228" s="58" t="str">
        <f>VLOOKUP(Datos!$C228,$AQ$2:$AR$41,2,0)</f>
        <v>Centro</v>
      </c>
      <c r="E228" s="1">
        <v>23307</v>
      </c>
      <c r="F228" s="1" t="str">
        <f t="array" ref="F228">_xlfn.IFS(H228=0,"Alta sin facturar",H228&gt;2,"Cliente",H228&gt;0,"Cliente nuevo")</f>
        <v>Alta sin facturar</v>
      </c>
      <c r="G228" s="1"/>
      <c r="H228" s="1">
        <f t="shared" si="26"/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89">
        <v>0</v>
      </c>
      <c r="O228" s="89">
        <v>0</v>
      </c>
      <c r="P228" s="89">
        <v>0</v>
      </c>
      <c r="Q228" s="54">
        <f t="shared" si="23"/>
        <v>0</v>
      </c>
      <c r="R228" s="89"/>
      <c r="S228" s="92">
        <f t="shared" si="27"/>
        <v>0</v>
      </c>
      <c r="T228" s="59">
        <f t="shared" si="24"/>
        <v>0</v>
      </c>
      <c r="U228" s="60">
        <f t="shared" si="25"/>
        <v>0</v>
      </c>
      <c r="V228" s="59" t="str">
        <f t="array" ref="V228">_xlfn.IFS(S228=0,"Alta sin facturar",S228&gt;2,"Cliente",S228&gt;0,"Cliente nuevo")</f>
        <v>Alta sin facturar</v>
      </c>
      <c r="W228" s="59" t="str">
        <f t="shared" si="28"/>
        <v>Sin pago</v>
      </c>
      <c r="X228" s="3"/>
      <c r="Y228" s="3"/>
      <c r="Z228" s="3"/>
      <c r="AA228" s="3"/>
      <c r="AB228" s="3"/>
      <c r="AC228" s="3"/>
      <c r="AD228" s="3"/>
      <c r="AE228" s="3"/>
      <c r="AG228"/>
      <c r="AH228"/>
      <c r="AI228"/>
      <c r="AJ228"/>
      <c r="AK228"/>
      <c r="AL228"/>
      <c r="AM228"/>
      <c r="AN228"/>
    </row>
    <row r="229" spans="1:40" x14ac:dyDescent="0.25">
      <c r="A229" s="6">
        <v>44627</v>
      </c>
      <c r="B229" t="str">
        <f t="shared" si="22"/>
        <v>Marzo</v>
      </c>
      <c r="C229" s="1" t="s">
        <v>39</v>
      </c>
      <c r="D229" s="58" t="str">
        <f>VLOOKUP(Datos!$C229,$AQ$2:$AR$41,2,0)</f>
        <v>Sur</v>
      </c>
      <c r="E229" s="1">
        <v>23308</v>
      </c>
      <c r="F229" s="1" t="str">
        <f t="array" ref="F229">_xlfn.IFS(H229=0,"Alta sin facturar",H229&gt;2,"Cliente",H229&gt;0,"Cliente nuevo")</f>
        <v>Cliente</v>
      </c>
      <c r="G229" s="1"/>
      <c r="H229" s="1">
        <f t="shared" si="26"/>
        <v>6</v>
      </c>
      <c r="I229" s="2">
        <v>0</v>
      </c>
      <c r="J229" s="2">
        <v>0</v>
      </c>
      <c r="K229" s="2">
        <v>1676.1999999999998</v>
      </c>
      <c r="L229" s="2">
        <v>3473.04</v>
      </c>
      <c r="M229" s="2">
        <v>3735.2</v>
      </c>
      <c r="N229" s="89">
        <v>989.48</v>
      </c>
      <c r="O229" s="89">
        <v>1434.92</v>
      </c>
      <c r="P229" s="89">
        <v>2053.1999999999998</v>
      </c>
      <c r="Q229" s="54">
        <f t="shared" si="23"/>
        <v>13362.039999999997</v>
      </c>
      <c r="R229" s="89">
        <v>0</v>
      </c>
      <c r="S229" s="92">
        <f t="shared" si="27"/>
        <v>6</v>
      </c>
      <c r="T229" s="59">
        <f t="shared" si="24"/>
        <v>13362.039999999997</v>
      </c>
      <c r="U229" s="60">
        <f t="shared" si="25"/>
        <v>0</v>
      </c>
      <c r="V229" s="59" t="str">
        <f t="array" ref="V229">_xlfn.IFS(S229=0,"Alta sin facturar",S229&gt;2,"Cliente",S229&gt;0,"Cliente nuevo")</f>
        <v>Cliente</v>
      </c>
      <c r="W229" s="59" t="str">
        <f t="shared" si="28"/>
        <v>Ha pagado</v>
      </c>
      <c r="X229" s="3"/>
      <c r="Y229" s="3"/>
      <c r="Z229" s="3"/>
      <c r="AA229" s="3"/>
      <c r="AB229" s="3"/>
      <c r="AC229" s="3"/>
      <c r="AD229" s="3"/>
      <c r="AE229" s="3"/>
      <c r="AG229"/>
      <c r="AH229"/>
      <c r="AI229"/>
      <c r="AJ229"/>
      <c r="AK229"/>
      <c r="AL229"/>
      <c r="AM229"/>
      <c r="AN229"/>
    </row>
    <row r="230" spans="1:40" x14ac:dyDescent="0.25">
      <c r="A230" s="6">
        <v>44627</v>
      </c>
      <c r="B230" t="str">
        <f t="shared" si="22"/>
        <v>Marzo</v>
      </c>
      <c r="C230" s="1" t="s">
        <v>59</v>
      </c>
      <c r="D230" s="58" t="str">
        <f>VLOOKUP(Datos!$C230,$AQ$2:$AR$41,2,0)</f>
        <v>Magallanes</v>
      </c>
      <c r="E230" s="1">
        <v>23309</v>
      </c>
      <c r="F230" s="1" t="str">
        <f t="array" ref="F230">_xlfn.IFS(H230=0,"Alta sin facturar",H230&gt;2,"Cliente",H230&gt;0,"Cliente nuevo")</f>
        <v>Cliente</v>
      </c>
      <c r="G230" s="1"/>
      <c r="H230" s="1">
        <f t="shared" si="26"/>
        <v>4</v>
      </c>
      <c r="I230" s="2">
        <v>0</v>
      </c>
      <c r="J230" s="2">
        <v>0</v>
      </c>
      <c r="K230" s="2">
        <v>0</v>
      </c>
      <c r="L230" s="2">
        <v>0</v>
      </c>
      <c r="M230" s="2">
        <v>501.11999999999995</v>
      </c>
      <c r="N230" s="89">
        <v>377</v>
      </c>
      <c r="O230" s="89">
        <v>377</v>
      </c>
      <c r="P230" s="89">
        <v>515.04</v>
      </c>
      <c r="Q230" s="54">
        <f t="shared" si="23"/>
        <v>1770.1599999999999</v>
      </c>
      <c r="R230" s="89">
        <v>243</v>
      </c>
      <c r="S230" s="92">
        <f t="shared" si="27"/>
        <v>4</v>
      </c>
      <c r="T230" s="59">
        <f t="shared" si="24"/>
        <v>1527.1599999999999</v>
      </c>
      <c r="U230" s="60">
        <f t="shared" si="25"/>
        <v>0.1372757264880011</v>
      </c>
      <c r="V230" s="59" t="str">
        <f t="array" ref="V230">_xlfn.IFS(S230=0,"Alta sin facturar",S230&gt;2,"Cliente",S230&gt;0,"Cliente nuevo")</f>
        <v>Cliente</v>
      </c>
      <c r="W230" s="59" t="str">
        <f t="shared" si="28"/>
        <v>Ha pagado</v>
      </c>
      <c r="X230" s="3"/>
      <c r="Y230" s="3"/>
      <c r="Z230" s="3"/>
      <c r="AA230" s="3"/>
      <c r="AB230" s="3"/>
      <c r="AC230" s="3"/>
      <c r="AD230" s="3"/>
      <c r="AE230" s="3"/>
      <c r="AG230"/>
      <c r="AH230"/>
      <c r="AI230"/>
      <c r="AJ230"/>
      <c r="AK230"/>
      <c r="AL230"/>
      <c r="AM230"/>
      <c r="AN230"/>
    </row>
    <row r="231" spans="1:40" x14ac:dyDescent="0.25">
      <c r="A231" s="6">
        <v>44627</v>
      </c>
      <c r="B231" t="str">
        <f t="shared" si="22"/>
        <v>Marzo</v>
      </c>
      <c r="C231" s="1" t="s">
        <v>39</v>
      </c>
      <c r="D231" s="58" t="str">
        <f>VLOOKUP(Datos!$C231,$AQ$2:$AR$41,2,0)</f>
        <v>Sur</v>
      </c>
      <c r="E231" s="1">
        <v>23310</v>
      </c>
      <c r="F231" s="1" t="str">
        <f t="array" ref="F231">_xlfn.IFS(H231=0,"Alta sin facturar",H231&gt;2,"Cliente",H231&gt;0,"Cliente nuevo")</f>
        <v>Cliente</v>
      </c>
      <c r="G231" s="1"/>
      <c r="H231" s="1">
        <f t="shared" si="26"/>
        <v>6</v>
      </c>
      <c r="I231" s="2">
        <v>0</v>
      </c>
      <c r="J231" s="2">
        <v>0</v>
      </c>
      <c r="K231" s="2">
        <v>22187.320000000014</v>
      </c>
      <c r="L231" s="2">
        <v>8079.4</v>
      </c>
      <c r="M231" s="2">
        <v>15293.439999999979</v>
      </c>
      <c r="N231" s="89">
        <v>38485.320000000007</v>
      </c>
      <c r="O231" s="89">
        <v>10830.919999999986</v>
      </c>
      <c r="P231" s="89">
        <v>39023.560000000019</v>
      </c>
      <c r="Q231" s="54">
        <f t="shared" si="23"/>
        <v>133899.96000000002</v>
      </c>
      <c r="R231" s="89">
        <v>0</v>
      </c>
      <c r="S231" s="92">
        <f t="shared" si="27"/>
        <v>6</v>
      </c>
      <c r="T231" s="59">
        <f t="shared" si="24"/>
        <v>133899.96000000002</v>
      </c>
      <c r="U231" s="60">
        <f t="shared" si="25"/>
        <v>0</v>
      </c>
      <c r="V231" s="59" t="str">
        <f t="array" ref="V231">_xlfn.IFS(S231=0,"Alta sin facturar",S231&gt;2,"Cliente",S231&gt;0,"Cliente nuevo")</f>
        <v>Cliente</v>
      </c>
      <c r="W231" s="59" t="str">
        <f t="shared" si="28"/>
        <v>Ha pagado</v>
      </c>
      <c r="X231" s="3"/>
      <c r="Y231" s="3"/>
      <c r="Z231" s="3"/>
      <c r="AA231" s="3"/>
      <c r="AB231" s="3"/>
      <c r="AC231" s="3"/>
      <c r="AD231" s="3"/>
      <c r="AE231" s="3"/>
      <c r="AG231"/>
      <c r="AH231"/>
      <c r="AI231"/>
      <c r="AJ231"/>
      <c r="AK231"/>
      <c r="AL231"/>
      <c r="AM231"/>
      <c r="AN231"/>
    </row>
    <row r="232" spans="1:40" x14ac:dyDescent="0.25">
      <c r="A232" s="6">
        <v>44628</v>
      </c>
      <c r="B232" t="str">
        <f t="shared" si="22"/>
        <v>Marzo</v>
      </c>
      <c r="C232" s="1" t="s">
        <v>35</v>
      </c>
      <c r="D232" s="58" t="str">
        <f>VLOOKUP(Datos!$C232,$AQ$2:$AR$41,2,0)</f>
        <v>Centro</v>
      </c>
      <c r="E232" s="1">
        <v>23311</v>
      </c>
      <c r="F232" s="1" t="str">
        <f t="array" ref="F232">_xlfn.IFS(H232=0,"Alta sin facturar",H232&gt;2,"Cliente",H232&gt;0,"Cliente nuevo")</f>
        <v>Alta sin facturar</v>
      </c>
      <c r="G232" s="1"/>
      <c r="H232" s="1">
        <f t="shared" si="26"/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89">
        <v>0</v>
      </c>
      <c r="O232" s="89">
        <v>0</v>
      </c>
      <c r="P232" s="89">
        <v>0</v>
      </c>
      <c r="Q232" s="54">
        <f t="shared" si="23"/>
        <v>0</v>
      </c>
      <c r="R232" s="89">
        <v>0</v>
      </c>
      <c r="S232" s="92">
        <f t="shared" si="27"/>
        <v>0</v>
      </c>
      <c r="T232" s="59">
        <f t="shared" si="24"/>
        <v>0</v>
      </c>
      <c r="U232" s="60">
        <f t="shared" si="25"/>
        <v>0</v>
      </c>
      <c r="V232" s="59" t="str">
        <f t="array" ref="V232">_xlfn.IFS(S232=0,"Alta sin facturar",S232&gt;2,"Cliente",S232&gt;0,"Cliente nuevo")</f>
        <v>Alta sin facturar</v>
      </c>
      <c r="W232" s="59" t="str">
        <f t="shared" si="28"/>
        <v>Sin pago</v>
      </c>
      <c r="X232" s="3"/>
      <c r="Y232" s="3"/>
      <c r="Z232" s="3"/>
      <c r="AA232" s="3"/>
      <c r="AB232" s="3"/>
      <c r="AC232" s="3"/>
      <c r="AD232" s="3"/>
      <c r="AE232" s="3"/>
      <c r="AG232"/>
      <c r="AH232"/>
      <c r="AI232"/>
      <c r="AJ232"/>
      <c r="AK232"/>
      <c r="AL232"/>
      <c r="AM232"/>
      <c r="AN232"/>
    </row>
    <row r="233" spans="1:40" x14ac:dyDescent="0.25">
      <c r="A233" s="6">
        <v>44628</v>
      </c>
      <c r="B233" t="str">
        <f t="shared" si="22"/>
        <v>Marzo</v>
      </c>
      <c r="C233" s="1" t="s">
        <v>62</v>
      </c>
      <c r="D233" s="58" t="str">
        <f>VLOOKUP(Datos!$C233,$AQ$2:$AR$41,2,0)</f>
        <v>Norte</v>
      </c>
      <c r="E233" s="1">
        <v>23312</v>
      </c>
      <c r="F233" s="1" t="str">
        <f t="array" ref="F233">_xlfn.IFS(H233=0,"Alta sin facturar",H233&gt;2,"Cliente",H233&gt;0,"Cliente nuevo")</f>
        <v>Cliente</v>
      </c>
      <c r="G233" s="1"/>
      <c r="H233" s="1">
        <f t="shared" si="26"/>
        <v>3</v>
      </c>
      <c r="I233" s="2">
        <v>0</v>
      </c>
      <c r="J233" s="2">
        <v>0</v>
      </c>
      <c r="K233" s="2">
        <v>5740.8399999999992</v>
      </c>
      <c r="L233" s="2">
        <v>1501.0400000000002</v>
      </c>
      <c r="M233" s="2">
        <v>1042.8399999999999</v>
      </c>
      <c r="N233" s="89">
        <v>0</v>
      </c>
      <c r="O233" s="89">
        <v>0</v>
      </c>
      <c r="P233" s="89">
        <v>0</v>
      </c>
      <c r="Q233" s="54">
        <f t="shared" si="23"/>
        <v>8284.7199999999993</v>
      </c>
      <c r="R233" s="89">
        <v>1042.8400000000001</v>
      </c>
      <c r="S233" s="92">
        <f t="shared" si="27"/>
        <v>3</v>
      </c>
      <c r="T233" s="59">
        <f t="shared" si="24"/>
        <v>7241.8799999999992</v>
      </c>
      <c r="U233" s="60">
        <f t="shared" si="25"/>
        <v>0.12587510501260155</v>
      </c>
      <c r="V233" s="59" t="str">
        <f t="array" ref="V233">_xlfn.IFS(S233=0,"Alta sin facturar",S233&gt;2,"Cliente",S233&gt;0,"Cliente nuevo")</f>
        <v>Cliente</v>
      </c>
      <c r="W233" s="59" t="str">
        <f t="shared" si="28"/>
        <v>Ha pagado</v>
      </c>
      <c r="X233" s="3"/>
      <c r="Y233" s="3"/>
      <c r="Z233" s="3"/>
      <c r="AA233" s="3"/>
      <c r="AB233" s="3"/>
      <c r="AC233" s="3"/>
      <c r="AD233" s="3"/>
      <c r="AE233" s="3"/>
      <c r="AG233"/>
      <c r="AH233"/>
      <c r="AI233"/>
      <c r="AJ233"/>
      <c r="AK233"/>
      <c r="AL233"/>
      <c r="AM233"/>
      <c r="AN233"/>
    </row>
    <row r="234" spans="1:40" x14ac:dyDescent="0.25">
      <c r="A234" s="6">
        <v>44628</v>
      </c>
      <c r="B234" t="str">
        <f t="shared" si="22"/>
        <v>Marzo</v>
      </c>
      <c r="C234" s="1" t="s">
        <v>76</v>
      </c>
      <c r="D234" s="58" t="str">
        <f>VLOOKUP(Datos!$C234,$AQ$2:$AR$41,2,0)</f>
        <v>Sur</v>
      </c>
      <c r="E234" s="1">
        <v>23313</v>
      </c>
      <c r="F234" s="1" t="str">
        <f t="array" ref="F234">_xlfn.IFS(H234=0,"Alta sin facturar",H234&gt;2,"Cliente",H234&gt;0,"Cliente nuevo")</f>
        <v>Alta sin facturar</v>
      </c>
      <c r="G234" s="1"/>
      <c r="H234" s="1">
        <f t="shared" si="26"/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89">
        <v>0</v>
      </c>
      <c r="O234" s="89">
        <v>0</v>
      </c>
      <c r="P234" s="89">
        <v>0</v>
      </c>
      <c r="Q234" s="54">
        <f t="shared" si="23"/>
        <v>0</v>
      </c>
      <c r="R234" s="89"/>
      <c r="S234" s="92">
        <f t="shared" si="27"/>
        <v>0</v>
      </c>
      <c r="T234" s="59">
        <f t="shared" si="24"/>
        <v>0</v>
      </c>
      <c r="U234" s="60">
        <f t="shared" si="25"/>
        <v>0</v>
      </c>
      <c r="V234" s="59" t="str">
        <f t="array" ref="V234">_xlfn.IFS(S234=0,"Alta sin facturar",S234&gt;2,"Cliente",S234&gt;0,"Cliente nuevo")</f>
        <v>Alta sin facturar</v>
      </c>
      <c r="W234" s="59" t="str">
        <f t="shared" si="28"/>
        <v>Sin pago</v>
      </c>
      <c r="X234" s="3"/>
      <c r="Y234" s="3"/>
      <c r="Z234" s="3"/>
      <c r="AA234" s="3"/>
      <c r="AB234" s="3"/>
      <c r="AC234" s="3"/>
      <c r="AD234" s="3"/>
      <c r="AE234" s="3"/>
      <c r="AG234"/>
      <c r="AH234"/>
      <c r="AI234"/>
      <c r="AJ234"/>
      <c r="AK234"/>
      <c r="AL234"/>
      <c r="AM234"/>
      <c r="AN234"/>
    </row>
    <row r="235" spans="1:40" x14ac:dyDescent="0.25">
      <c r="A235" s="6">
        <v>44630</v>
      </c>
      <c r="B235" t="str">
        <f t="shared" si="22"/>
        <v>Marzo</v>
      </c>
      <c r="C235" s="1" t="s">
        <v>61</v>
      </c>
      <c r="D235" s="58" t="str">
        <f>VLOOKUP(Datos!$C235,$AQ$2:$AR$41,2,0)</f>
        <v>Centro</v>
      </c>
      <c r="E235" s="1">
        <v>23314</v>
      </c>
      <c r="F235" s="1" t="str">
        <f t="array" ref="F235">_xlfn.IFS(H235=0,"Alta sin facturar",H235&gt;2,"Cliente",H235&gt;0,"Cliente nuevo")</f>
        <v>Alta sin facturar</v>
      </c>
      <c r="G235" s="1"/>
      <c r="H235" s="1">
        <f t="shared" si="26"/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89">
        <v>0</v>
      </c>
      <c r="O235" s="89">
        <v>0</v>
      </c>
      <c r="P235" s="89">
        <v>0</v>
      </c>
      <c r="Q235" s="54">
        <f t="shared" si="23"/>
        <v>0</v>
      </c>
      <c r="R235" s="89"/>
      <c r="S235" s="92">
        <f t="shared" si="27"/>
        <v>0</v>
      </c>
      <c r="T235" s="59">
        <f t="shared" si="24"/>
        <v>0</v>
      </c>
      <c r="U235" s="60">
        <f t="shared" si="25"/>
        <v>0</v>
      </c>
      <c r="V235" s="59" t="str">
        <f t="array" ref="V235">_xlfn.IFS(S235=0,"Alta sin facturar",S235&gt;2,"Cliente",S235&gt;0,"Cliente nuevo")</f>
        <v>Alta sin facturar</v>
      </c>
      <c r="W235" s="59" t="str">
        <f t="shared" si="28"/>
        <v>Sin pago</v>
      </c>
      <c r="X235" s="3"/>
      <c r="Y235" s="3"/>
      <c r="Z235" s="3"/>
      <c r="AA235" s="3"/>
      <c r="AB235" s="3"/>
      <c r="AC235" s="3"/>
      <c r="AD235" s="3"/>
      <c r="AE235" s="3"/>
      <c r="AG235"/>
      <c r="AH235"/>
      <c r="AI235"/>
      <c r="AJ235"/>
      <c r="AK235"/>
      <c r="AL235"/>
      <c r="AM235"/>
      <c r="AN235"/>
    </row>
    <row r="236" spans="1:40" x14ac:dyDescent="0.25">
      <c r="A236" s="6">
        <v>44630</v>
      </c>
      <c r="B236" t="str">
        <f t="shared" si="22"/>
        <v>Marzo</v>
      </c>
      <c r="C236" s="1" t="s">
        <v>66</v>
      </c>
      <c r="D236" s="58" t="str">
        <f>VLOOKUP(Datos!$C236,$AQ$2:$AR$41,2,0)</f>
        <v>Sur</v>
      </c>
      <c r="E236" s="1">
        <v>23315</v>
      </c>
      <c r="F236" s="1" t="str">
        <f t="array" ref="F236">_xlfn.IFS(H236=0,"Alta sin facturar",H236&gt;2,"Cliente",H236&gt;0,"Cliente nuevo")</f>
        <v>Alta sin facturar</v>
      </c>
      <c r="G236" s="1"/>
      <c r="H236" s="1">
        <f t="shared" si="26"/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89">
        <v>0</v>
      </c>
      <c r="O236" s="89">
        <v>0</v>
      </c>
      <c r="P236" s="89">
        <v>0</v>
      </c>
      <c r="Q236" s="54">
        <f t="shared" si="23"/>
        <v>0</v>
      </c>
      <c r="R236" s="89">
        <v>0</v>
      </c>
      <c r="S236" s="92">
        <f t="shared" si="27"/>
        <v>0</v>
      </c>
      <c r="T236" s="59">
        <f t="shared" si="24"/>
        <v>0</v>
      </c>
      <c r="U236" s="60">
        <f t="shared" si="25"/>
        <v>0</v>
      </c>
      <c r="V236" s="59" t="str">
        <f t="array" ref="V236">_xlfn.IFS(S236=0,"Alta sin facturar",S236&gt;2,"Cliente",S236&gt;0,"Cliente nuevo")</f>
        <v>Alta sin facturar</v>
      </c>
      <c r="W236" s="59" t="str">
        <f t="shared" si="28"/>
        <v>Sin pago</v>
      </c>
      <c r="X236" s="3"/>
      <c r="Y236" s="3"/>
      <c r="Z236" s="3"/>
      <c r="AA236" s="3"/>
      <c r="AB236" s="3"/>
      <c r="AC236" s="3"/>
      <c r="AD236" s="3"/>
      <c r="AE236" s="3"/>
      <c r="AG236"/>
      <c r="AH236"/>
      <c r="AI236"/>
      <c r="AJ236"/>
      <c r="AK236"/>
      <c r="AL236"/>
      <c r="AM236"/>
      <c r="AN236"/>
    </row>
    <row r="237" spans="1:40" x14ac:dyDescent="0.25">
      <c r="A237" s="6">
        <v>44630</v>
      </c>
      <c r="B237" t="str">
        <f t="shared" si="22"/>
        <v>Marzo</v>
      </c>
      <c r="C237" s="1" t="s">
        <v>32</v>
      </c>
      <c r="D237" s="58" t="str">
        <f>VLOOKUP(Datos!$C237,$AQ$2:$AR$41,2,0)</f>
        <v>Norte</v>
      </c>
      <c r="E237" s="1">
        <v>23316</v>
      </c>
      <c r="F237" s="1" t="str">
        <f t="array" ref="F237">_xlfn.IFS(H237=0,"Alta sin facturar",H237&gt;2,"Cliente",H237&gt;0,"Cliente nuevo")</f>
        <v>Cliente nuevo</v>
      </c>
      <c r="G237" s="1"/>
      <c r="H237" s="1">
        <f t="shared" si="26"/>
        <v>2</v>
      </c>
      <c r="I237" s="2">
        <v>0</v>
      </c>
      <c r="J237" s="2">
        <v>0</v>
      </c>
      <c r="K237" s="2">
        <v>791.11999999999989</v>
      </c>
      <c r="L237" s="2">
        <v>169.35999999999999</v>
      </c>
      <c r="M237" s="2">
        <v>0</v>
      </c>
      <c r="N237" s="89">
        <v>0</v>
      </c>
      <c r="O237" s="89">
        <v>0</v>
      </c>
      <c r="P237" s="89">
        <v>0</v>
      </c>
      <c r="Q237" s="54">
        <f t="shared" si="23"/>
        <v>960.4799999999999</v>
      </c>
      <c r="R237" s="89">
        <v>0</v>
      </c>
      <c r="S237" s="92">
        <f t="shared" si="27"/>
        <v>2</v>
      </c>
      <c r="T237" s="59">
        <f t="shared" si="24"/>
        <v>960.4799999999999</v>
      </c>
      <c r="U237" s="60">
        <f t="shared" si="25"/>
        <v>0</v>
      </c>
      <c r="V237" s="59" t="str">
        <f t="array" ref="V237">_xlfn.IFS(S237=0,"Alta sin facturar",S237&gt;2,"Cliente",S237&gt;0,"Cliente nuevo")</f>
        <v>Cliente nuevo</v>
      </c>
      <c r="W237" s="59" t="str">
        <f t="shared" si="28"/>
        <v>Ha pagado</v>
      </c>
      <c r="X237" s="3"/>
      <c r="Y237" s="3"/>
      <c r="Z237" s="3"/>
      <c r="AA237" s="3"/>
      <c r="AB237" s="3"/>
      <c r="AC237" s="3"/>
      <c r="AD237" s="3"/>
      <c r="AE237" s="3"/>
      <c r="AG237"/>
      <c r="AH237"/>
      <c r="AI237"/>
      <c r="AJ237"/>
      <c r="AK237"/>
      <c r="AL237"/>
      <c r="AM237"/>
      <c r="AN237"/>
    </row>
    <row r="238" spans="1:40" x14ac:dyDescent="0.25">
      <c r="A238" s="6">
        <v>44630</v>
      </c>
      <c r="B238" t="str">
        <f t="shared" si="22"/>
        <v>Marzo</v>
      </c>
      <c r="C238" s="1" t="s">
        <v>60</v>
      </c>
      <c r="D238" s="58" t="str">
        <f>VLOOKUP(Datos!$C238,$AQ$2:$AR$41,2,0)</f>
        <v>Norte</v>
      </c>
      <c r="E238" s="1">
        <v>23317</v>
      </c>
      <c r="F238" s="1" t="str">
        <f t="array" ref="F238">_xlfn.IFS(H238=0,"Alta sin facturar",H238&gt;2,"Cliente",H238&gt;0,"Cliente nuevo")</f>
        <v>Cliente</v>
      </c>
      <c r="G238" s="1"/>
      <c r="H238" s="1">
        <f t="shared" si="26"/>
        <v>6</v>
      </c>
      <c r="I238" s="2">
        <v>0</v>
      </c>
      <c r="J238" s="2">
        <v>0</v>
      </c>
      <c r="K238" s="2">
        <v>665.83999999999992</v>
      </c>
      <c r="L238" s="2">
        <v>3411.5600000000009</v>
      </c>
      <c r="M238" s="2">
        <v>3933.5600000000009</v>
      </c>
      <c r="N238" s="89">
        <v>2061.3199999999997</v>
      </c>
      <c r="O238" s="89">
        <v>2119.3199999999997</v>
      </c>
      <c r="P238" s="89">
        <v>723.83999999999992</v>
      </c>
      <c r="Q238" s="54">
        <f t="shared" si="23"/>
        <v>12915.44</v>
      </c>
      <c r="R238" s="89">
        <v>416.44</v>
      </c>
      <c r="S238" s="92">
        <f t="shared" si="27"/>
        <v>6</v>
      </c>
      <c r="T238" s="59">
        <f t="shared" si="24"/>
        <v>12499</v>
      </c>
      <c r="U238" s="60">
        <f t="shared" si="25"/>
        <v>3.2243578228848574E-2</v>
      </c>
      <c r="V238" s="59" t="str">
        <f t="array" ref="V238">_xlfn.IFS(S238=0,"Alta sin facturar",S238&gt;2,"Cliente",S238&gt;0,"Cliente nuevo")</f>
        <v>Cliente</v>
      </c>
      <c r="W238" s="59" t="str">
        <f t="shared" si="28"/>
        <v>Ha pagado</v>
      </c>
      <c r="X238" s="3"/>
      <c r="Y238" s="3"/>
      <c r="Z238" s="3"/>
      <c r="AA238" s="3"/>
      <c r="AB238" s="3"/>
      <c r="AC238" s="3"/>
      <c r="AD238" s="3"/>
      <c r="AE238" s="3"/>
      <c r="AG238"/>
      <c r="AH238"/>
      <c r="AI238"/>
      <c r="AJ238"/>
      <c r="AK238"/>
      <c r="AL238"/>
      <c r="AM238"/>
      <c r="AN238"/>
    </row>
    <row r="239" spans="1:40" x14ac:dyDescent="0.25">
      <c r="A239" s="6">
        <v>44630</v>
      </c>
      <c r="B239" t="str">
        <f t="shared" si="22"/>
        <v>Marzo</v>
      </c>
      <c r="C239" s="1" t="s">
        <v>60</v>
      </c>
      <c r="D239" s="58" t="str">
        <f>VLOOKUP(Datos!$C239,$AQ$2:$AR$41,2,0)</f>
        <v>Norte</v>
      </c>
      <c r="E239" s="1">
        <v>23318</v>
      </c>
      <c r="F239" s="1" t="str">
        <f t="array" ref="F239">_xlfn.IFS(H239=0,"Alta sin facturar",H239&gt;2,"Cliente",H239&gt;0,"Cliente nuevo")</f>
        <v>Alta sin facturar</v>
      </c>
      <c r="G239" s="1"/>
      <c r="H239" s="1">
        <f t="shared" si="26"/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89">
        <v>0</v>
      </c>
      <c r="O239" s="89">
        <v>0</v>
      </c>
      <c r="P239" s="89">
        <v>0</v>
      </c>
      <c r="Q239" s="54">
        <f t="shared" si="23"/>
        <v>0</v>
      </c>
      <c r="R239" s="89"/>
      <c r="S239" s="92">
        <f t="shared" si="27"/>
        <v>0</v>
      </c>
      <c r="T239" s="59">
        <f t="shared" si="24"/>
        <v>0</v>
      </c>
      <c r="U239" s="60">
        <f t="shared" si="25"/>
        <v>0</v>
      </c>
      <c r="V239" s="59" t="str">
        <f t="array" ref="V239">_xlfn.IFS(S239=0,"Alta sin facturar",S239&gt;2,"Cliente",S239&gt;0,"Cliente nuevo")</f>
        <v>Alta sin facturar</v>
      </c>
      <c r="W239" s="59" t="str">
        <f t="shared" si="28"/>
        <v>Sin pago</v>
      </c>
      <c r="X239" s="3"/>
      <c r="Y239" s="3"/>
      <c r="Z239" s="3"/>
      <c r="AA239" s="3"/>
      <c r="AB239" s="3"/>
      <c r="AC239" s="3"/>
      <c r="AD239" s="3"/>
      <c r="AE239" s="3"/>
      <c r="AG239"/>
      <c r="AH239"/>
      <c r="AI239"/>
      <c r="AJ239"/>
      <c r="AK239"/>
      <c r="AL239"/>
      <c r="AM239"/>
      <c r="AN239"/>
    </row>
    <row r="240" spans="1:40" x14ac:dyDescent="0.25">
      <c r="A240" s="6">
        <v>44630</v>
      </c>
      <c r="B240" t="str">
        <f t="shared" si="22"/>
        <v>Marzo</v>
      </c>
      <c r="C240" s="1" t="s">
        <v>60</v>
      </c>
      <c r="D240" s="58" t="str">
        <f>VLOOKUP(Datos!$C240,$AQ$2:$AR$41,2,0)</f>
        <v>Norte</v>
      </c>
      <c r="E240" s="1">
        <v>23319</v>
      </c>
      <c r="F240" s="1" t="str">
        <f t="array" ref="F240">_xlfn.IFS(H240=0,"Alta sin facturar",H240&gt;2,"Cliente",H240&gt;0,"Cliente nuevo")</f>
        <v>Cliente</v>
      </c>
      <c r="G240" s="1"/>
      <c r="H240" s="1">
        <f t="shared" si="26"/>
        <v>5</v>
      </c>
      <c r="I240" s="2">
        <v>0</v>
      </c>
      <c r="J240" s="2">
        <v>0</v>
      </c>
      <c r="K240" s="2">
        <v>0</v>
      </c>
      <c r="L240" s="2">
        <v>459.3599999999999</v>
      </c>
      <c r="M240" s="2">
        <v>588.12</v>
      </c>
      <c r="N240" s="89">
        <v>346.84</v>
      </c>
      <c r="O240" s="89">
        <v>385.11999999999995</v>
      </c>
      <c r="P240" s="89">
        <v>83.52</v>
      </c>
      <c r="Q240" s="54">
        <f t="shared" si="23"/>
        <v>1862.9599999999998</v>
      </c>
      <c r="R240" s="89">
        <v>0</v>
      </c>
      <c r="S240" s="92">
        <f t="shared" si="27"/>
        <v>5</v>
      </c>
      <c r="T240" s="59">
        <f t="shared" si="24"/>
        <v>1862.9599999999998</v>
      </c>
      <c r="U240" s="60">
        <f t="shared" si="25"/>
        <v>0</v>
      </c>
      <c r="V240" s="59" t="str">
        <f t="array" ref="V240">_xlfn.IFS(S240=0,"Alta sin facturar",S240&gt;2,"Cliente",S240&gt;0,"Cliente nuevo")</f>
        <v>Cliente</v>
      </c>
      <c r="W240" s="59" t="str">
        <f t="shared" si="28"/>
        <v>Ha pagado</v>
      </c>
      <c r="X240" s="3"/>
      <c r="Y240" s="3"/>
      <c r="Z240" s="3"/>
      <c r="AA240" s="3"/>
      <c r="AB240" s="3"/>
      <c r="AC240" s="3"/>
      <c r="AD240" s="3"/>
      <c r="AE240" s="3"/>
      <c r="AG240"/>
      <c r="AH240"/>
      <c r="AI240"/>
      <c r="AJ240"/>
      <c r="AK240"/>
      <c r="AL240"/>
      <c r="AM240"/>
      <c r="AN240"/>
    </row>
    <row r="241" spans="1:40" x14ac:dyDescent="0.25">
      <c r="A241" s="6">
        <v>44630</v>
      </c>
      <c r="B241" t="str">
        <f t="shared" si="22"/>
        <v>Marzo</v>
      </c>
      <c r="C241" s="1" t="s">
        <v>37</v>
      </c>
      <c r="D241" s="58" t="str">
        <f>VLOOKUP(Datos!$C241,$AQ$2:$AR$41,2,0)</f>
        <v>Norte</v>
      </c>
      <c r="E241" s="1">
        <v>23320</v>
      </c>
      <c r="F241" s="1" t="str">
        <f t="array" ref="F241">_xlfn.IFS(H241=0,"Alta sin facturar",H241&gt;2,"Cliente",H241&gt;0,"Cliente nuevo")</f>
        <v>Alta sin facturar</v>
      </c>
      <c r="G241" s="1"/>
      <c r="H241" s="1">
        <f t="shared" si="26"/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89">
        <v>0</v>
      </c>
      <c r="O241" s="89">
        <v>0</v>
      </c>
      <c r="P241" s="89">
        <v>0</v>
      </c>
      <c r="Q241" s="54">
        <f t="shared" si="23"/>
        <v>0</v>
      </c>
      <c r="R241" s="89">
        <v>2436</v>
      </c>
      <c r="S241" s="92">
        <f t="shared" si="27"/>
        <v>0</v>
      </c>
      <c r="T241" s="59">
        <f t="shared" si="24"/>
        <v>-2436</v>
      </c>
      <c r="U241" s="60">
        <f t="shared" si="25"/>
        <v>0</v>
      </c>
      <c r="V241" s="59" t="str">
        <f t="array" ref="V241">_xlfn.IFS(S241=0,"Alta sin facturar",S241&gt;2,"Cliente",S241&gt;0,"Cliente nuevo")</f>
        <v>Alta sin facturar</v>
      </c>
      <c r="W241" s="59" t="str">
        <f t="shared" si="28"/>
        <v>Sin pago</v>
      </c>
      <c r="X241" s="3"/>
      <c r="Y241" s="3"/>
      <c r="Z241" s="3"/>
      <c r="AA241" s="3"/>
      <c r="AB241" s="3"/>
      <c r="AC241" s="3"/>
      <c r="AD241" s="3"/>
      <c r="AE241" s="3"/>
      <c r="AG241"/>
      <c r="AH241"/>
      <c r="AI241"/>
      <c r="AJ241"/>
      <c r="AK241"/>
      <c r="AL241"/>
      <c r="AM241"/>
      <c r="AN241"/>
    </row>
    <row r="242" spans="1:40" x14ac:dyDescent="0.25">
      <c r="A242" s="6">
        <v>44630</v>
      </c>
      <c r="B242" t="str">
        <f t="shared" si="22"/>
        <v>Marzo</v>
      </c>
      <c r="C242" s="1" t="s">
        <v>41</v>
      </c>
      <c r="D242" s="58" t="str">
        <f>VLOOKUP(Datos!$C242,$AQ$2:$AR$41,2,0)</f>
        <v>Centro</v>
      </c>
      <c r="E242" s="1">
        <v>23321</v>
      </c>
      <c r="F242" s="1" t="str">
        <f t="array" ref="F242">_xlfn.IFS(H242=0,"Alta sin facturar",H242&gt;2,"Cliente",H242&gt;0,"Cliente nuevo")</f>
        <v>Alta sin facturar</v>
      </c>
      <c r="G242" s="1"/>
      <c r="H242" s="1">
        <f t="shared" si="26"/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89">
        <v>0</v>
      </c>
      <c r="O242" s="89">
        <v>0</v>
      </c>
      <c r="P242" s="89">
        <v>0</v>
      </c>
      <c r="Q242" s="54">
        <f t="shared" si="23"/>
        <v>0</v>
      </c>
      <c r="R242" s="89"/>
      <c r="S242" s="92">
        <f t="shared" si="27"/>
        <v>0</v>
      </c>
      <c r="T242" s="59">
        <f t="shared" si="24"/>
        <v>0</v>
      </c>
      <c r="U242" s="60">
        <f t="shared" si="25"/>
        <v>0</v>
      </c>
      <c r="V242" s="59" t="str">
        <f t="array" ref="V242">_xlfn.IFS(S242=0,"Alta sin facturar",S242&gt;2,"Cliente",S242&gt;0,"Cliente nuevo")</f>
        <v>Alta sin facturar</v>
      </c>
      <c r="W242" s="59" t="str">
        <f t="shared" si="28"/>
        <v>Sin pago</v>
      </c>
      <c r="X242" s="3"/>
      <c r="Y242" s="3"/>
      <c r="Z242" s="3"/>
      <c r="AA242" s="3"/>
      <c r="AB242" s="3"/>
      <c r="AC242" s="3"/>
      <c r="AD242" s="3"/>
      <c r="AE242" s="3"/>
      <c r="AG242"/>
      <c r="AH242"/>
      <c r="AI242"/>
      <c r="AJ242"/>
      <c r="AK242"/>
      <c r="AL242"/>
      <c r="AM242"/>
      <c r="AN242"/>
    </row>
    <row r="243" spans="1:40" x14ac:dyDescent="0.25">
      <c r="A243" s="6">
        <v>44631</v>
      </c>
      <c r="B243" t="str">
        <f t="shared" si="22"/>
        <v>Marzo</v>
      </c>
      <c r="C243" s="1" t="s">
        <v>41</v>
      </c>
      <c r="D243" s="58" t="str">
        <f>VLOOKUP(Datos!$C243,$AQ$2:$AR$41,2,0)</f>
        <v>Centro</v>
      </c>
      <c r="E243" s="1">
        <v>23322</v>
      </c>
      <c r="F243" s="1" t="str">
        <f t="array" ref="F243">_xlfn.IFS(H243=0,"Alta sin facturar",H243&gt;2,"Cliente",H243&gt;0,"Cliente nuevo")</f>
        <v>Cliente</v>
      </c>
      <c r="G243" s="1"/>
      <c r="H243" s="1">
        <f t="shared" si="26"/>
        <v>6</v>
      </c>
      <c r="I243" s="2">
        <v>0</v>
      </c>
      <c r="J243" s="2">
        <v>0</v>
      </c>
      <c r="K243" s="2">
        <v>1794.5199999999998</v>
      </c>
      <c r="L243" s="2">
        <v>2176.16</v>
      </c>
      <c r="M243" s="2">
        <v>1229.5999999999999</v>
      </c>
      <c r="N243" s="89">
        <v>5766.3599999999988</v>
      </c>
      <c r="O243" s="89">
        <v>3649.36</v>
      </c>
      <c r="P243" s="89">
        <v>1796.84</v>
      </c>
      <c r="Q243" s="54">
        <f t="shared" si="23"/>
        <v>16412.839999999997</v>
      </c>
      <c r="R243" s="89">
        <v>0</v>
      </c>
      <c r="S243" s="92">
        <f t="shared" si="27"/>
        <v>6</v>
      </c>
      <c r="T243" s="59">
        <f t="shared" si="24"/>
        <v>16412.839999999997</v>
      </c>
      <c r="U243" s="60">
        <f t="shared" si="25"/>
        <v>0</v>
      </c>
      <c r="V243" s="59" t="str">
        <f t="array" ref="V243">_xlfn.IFS(S243=0,"Alta sin facturar",S243&gt;2,"Cliente",S243&gt;0,"Cliente nuevo")</f>
        <v>Cliente</v>
      </c>
      <c r="W243" s="59" t="str">
        <f t="shared" si="28"/>
        <v>Ha pagado</v>
      </c>
      <c r="X243" s="3"/>
      <c r="Y243" s="3"/>
      <c r="Z243" s="3"/>
      <c r="AA243" s="3"/>
      <c r="AB243" s="3"/>
      <c r="AC243" s="3"/>
      <c r="AD243" s="3"/>
      <c r="AE243" s="3"/>
      <c r="AG243"/>
      <c r="AH243"/>
      <c r="AI243"/>
      <c r="AJ243"/>
      <c r="AK243"/>
      <c r="AL243"/>
      <c r="AM243"/>
      <c r="AN243"/>
    </row>
    <row r="244" spans="1:40" x14ac:dyDescent="0.25">
      <c r="A244" s="6">
        <v>44631</v>
      </c>
      <c r="B244" t="str">
        <f t="shared" si="22"/>
        <v>Marzo</v>
      </c>
      <c r="C244" s="1" t="s">
        <v>41</v>
      </c>
      <c r="D244" s="58" t="str">
        <f>VLOOKUP(Datos!$C244,$AQ$2:$AR$41,2,0)</f>
        <v>Centro</v>
      </c>
      <c r="E244" s="1">
        <v>23323</v>
      </c>
      <c r="F244" s="1" t="str">
        <f t="array" ref="F244">_xlfn.IFS(H244=0,"Alta sin facturar",H244&gt;2,"Cliente",H244&gt;0,"Cliente nuevo")</f>
        <v>Cliente nuevo</v>
      </c>
      <c r="G244" s="1"/>
      <c r="H244" s="1">
        <f t="shared" si="26"/>
        <v>1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89">
        <v>0</v>
      </c>
      <c r="O244" s="89">
        <v>115.99999999999999</v>
      </c>
      <c r="P244" s="89">
        <v>0</v>
      </c>
      <c r="Q244" s="54">
        <f t="shared" si="23"/>
        <v>115.99999999999999</v>
      </c>
      <c r="R244" s="89">
        <v>0</v>
      </c>
      <c r="S244" s="92">
        <f t="shared" si="27"/>
        <v>1</v>
      </c>
      <c r="T244" s="59">
        <f t="shared" si="24"/>
        <v>115.99999999999999</v>
      </c>
      <c r="U244" s="60">
        <f t="shared" si="25"/>
        <v>0</v>
      </c>
      <c r="V244" s="59" t="str">
        <f t="array" ref="V244">_xlfn.IFS(S244=0,"Alta sin facturar",S244&gt;2,"Cliente",S244&gt;0,"Cliente nuevo")</f>
        <v>Cliente nuevo</v>
      </c>
      <c r="W244" s="59" t="str">
        <f t="shared" si="28"/>
        <v>Ha pagado</v>
      </c>
      <c r="X244" s="3"/>
      <c r="Y244" s="3"/>
      <c r="Z244" s="3"/>
      <c r="AA244" s="3"/>
      <c r="AB244" s="3"/>
      <c r="AC244" s="3"/>
      <c r="AD244" s="3"/>
      <c r="AE244" s="3"/>
      <c r="AG244"/>
      <c r="AH244"/>
      <c r="AI244"/>
      <c r="AJ244"/>
      <c r="AK244"/>
      <c r="AL244"/>
      <c r="AM244"/>
      <c r="AN244"/>
    </row>
    <row r="245" spans="1:40" x14ac:dyDescent="0.25">
      <c r="A245" s="6">
        <v>44631</v>
      </c>
      <c r="B245" t="str">
        <f t="shared" si="22"/>
        <v>Marzo</v>
      </c>
      <c r="C245" s="1" t="s">
        <v>67</v>
      </c>
      <c r="D245" s="58" t="str">
        <f>VLOOKUP(Datos!$C245,$AQ$2:$AR$41,2,0)</f>
        <v>Norte</v>
      </c>
      <c r="E245" s="1">
        <v>23324</v>
      </c>
      <c r="F245" s="1" t="str">
        <f t="array" ref="F245">_xlfn.IFS(H245=0,"Alta sin facturar",H245&gt;2,"Cliente",H245&gt;0,"Cliente nuevo")</f>
        <v>Cliente nuevo</v>
      </c>
      <c r="G245" s="1"/>
      <c r="H245" s="1">
        <f t="shared" si="26"/>
        <v>2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89">
        <v>1624</v>
      </c>
      <c r="O245" s="89">
        <v>1450</v>
      </c>
      <c r="P245" s="89">
        <v>0</v>
      </c>
      <c r="Q245" s="54">
        <f t="shared" si="23"/>
        <v>3074</v>
      </c>
      <c r="R245" s="89">
        <v>1160</v>
      </c>
      <c r="S245" s="92">
        <f t="shared" si="27"/>
        <v>2</v>
      </c>
      <c r="T245" s="59">
        <f t="shared" si="24"/>
        <v>1914</v>
      </c>
      <c r="U245" s="60">
        <f t="shared" si="25"/>
        <v>0.37735849056603776</v>
      </c>
      <c r="V245" s="59" t="str">
        <f t="array" ref="V245">_xlfn.IFS(S245=0,"Alta sin facturar",S245&gt;2,"Cliente",S245&gt;0,"Cliente nuevo")</f>
        <v>Cliente nuevo</v>
      </c>
      <c r="W245" s="59" t="str">
        <f t="shared" si="28"/>
        <v>Ha pagado</v>
      </c>
      <c r="X245" s="3"/>
      <c r="Y245" s="3"/>
      <c r="Z245" s="3"/>
      <c r="AA245" s="3"/>
      <c r="AB245" s="3"/>
      <c r="AC245" s="3"/>
      <c r="AD245" s="3"/>
      <c r="AE245" s="3"/>
      <c r="AG245"/>
      <c r="AH245"/>
      <c r="AI245"/>
      <c r="AJ245"/>
      <c r="AK245"/>
      <c r="AL245"/>
      <c r="AM245"/>
      <c r="AN245"/>
    </row>
    <row r="246" spans="1:40" x14ac:dyDescent="0.25">
      <c r="A246" s="6">
        <v>44631</v>
      </c>
      <c r="B246" t="str">
        <f t="shared" si="22"/>
        <v>Marzo</v>
      </c>
      <c r="C246" s="1" t="s">
        <v>33</v>
      </c>
      <c r="D246" s="58" t="str">
        <f>VLOOKUP(Datos!$C246,$AQ$2:$AR$41,2,0)</f>
        <v>Magallanes</v>
      </c>
      <c r="E246" s="1">
        <v>23325</v>
      </c>
      <c r="F246" s="1" t="str">
        <f t="array" ref="F246">_xlfn.IFS(H246=0,"Alta sin facturar",H246&gt;2,"Cliente",H246&gt;0,"Cliente nuevo")</f>
        <v>Alta sin facturar</v>
      </c>
      <c r="G246" s="1"/>
      <c r="H246" s="1">
        <f t="shared" si="26"/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89">
        <v>0</v>
      </c>
      <c r="O246" s="89">
        <v>0</v>
      </c>
      <c r="P246" s="89">
        <v>0</v>
      </c>
      <c r="Q246" s="54">
        <f t="shared" si="23"/>
        <v>0</v>
      </c>
      <c r="R246" s="89"/>
      <c r="S246" s="92">
        <f t="shared" si="27"/>
        <v>0</v>
      </c>
      <c r="T246" s="59">
        <f t="shared" si="24"/>
        <v>0</v>
      </c>
      <c r="U246" s="60">
        <f t="shared" si="25"/>
        <v>0</v>
      </c>
      <c r="V246" s="59" t="str">
        <f t="array" ref="V246">_xlfn.IFS(S246=0,"Alta sin facturar",S246&gt;2,"Cliente",S246&gt;0,"Cliente nuevo")</f>
        <v>Alta sin facturar</v>
      </c>
      <c r="W246" s="59" t="str">
        <f t="shared" si="28"/>
        <v>Sin pago</v>
      </c>
      <c r="X246" s="3"/>
      <c r="Y246" s="3"/>
      <c r="Z246" s="3"/>
      <c r="AA246" s="3"/>
      <c r="AB246" s="3"/>
      <c r="AC246" s="3"/>
      <c r="AD246" s="3"/>
      <c r="AE246" s="3"/>
      <c r="AG246"/>
      <c r="AH246"/>
      <c r="AI246"/>
      <c r="AJ246"/>
      <c r="AK246"/>
      <c r="AL246"/>
      <c r="AM246"/>
      <c r="AN246"/>
    </row>
    <row r="247" spans="1:40" x14ac:dyDescent="0.25">
      <c r="A247" s="6">
        <v>44631</v>
      </c>
      <c r="B247" t="str">
        <f t="shared" si="22"/>
        <v>Marzo</v>
      </c>
      <c r="C247" s="1" t="s">
        <v>33</v>
      </c>
      <c r="D247" s="58" t="str">
        <f>VLOOKUP(Datos!$C247,$AQ$2:$AR$41,2,0)</f>
        <v>Magallanes</v>
      </c>
      <c r="E247" s="1">
        <v>23326</v>
      </c>
      <c r="F247" s="1" t="str">
        <f t="array" ref="F247">_xlfn.IFS(H247=0,"Alta sin facturar",H247&gt;2,"Cliente",H247&gt;0,"Cliente nuevo")</f>
        <v>Alta sin facturar</v>
      </c>
      <c r="G247" s="1"/>
      <c r="H247" s="1">
        <f t="shared" si="26"/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89">
        <v>0</v>
      </c>
      <c r="O247" s="89">
        <v>0</v>
      </c>
      <c r="P247" s="89">
        <v>0</v>
      </c>
      <c r="Q247" s="54">
        <f t="shared" si="23"/>
        <v>0</v>
      </c>
      <c r="R247" s="89"/>
      <c r="S247" s="92">
        <f t="shared" si="27"/>
        <v>0</v>
      </c>
      <c r="T247" s="59">
        <f t="shared" si="24"/>
        <v>0</v>
      </c>
      <c r="U247" s="60">
        <f t="shared" si="25"/>
        <v>0</v>
      </c>
      <c r="V247" s="59" t="str">
        <f t="array" ref="V247">_xlfn.IFS(S247=0,"Alta sin facturar",S247&gt;2,"Cliente",S247&gt;0,"Cliente nuevo")</f>
        <v>Alta sin facturar</v>
      </c>
      <c r="W247" s="59" t="str">
        <f t="shared" si="28"/>
        <v>Sin pago</v>
      </c>
      <c r="X247" s="3"/>
      <c r="Y247" s="3"/>
      <c r="Z247" s="3"/>
      <c r="AA247" s="3"/>
      <c r="AB247" s="3"/>
      <c r="AC247" s="3"/>
      <c r="AD247" s="3"/>
      <c r="AE247" s="3"/>
      <c r="AG247"/>
      <c r="AH247"/>
      <c r="AI247"/>
      <c r="AJ247"/>
      <c r="AK247"/>
      <c r="AL247"/>
      <c r="AM247"/>
      <c r="AN247"/>
    </row>
    <row r="248" spans="1:40" x14ac:dyDescent="0.25">
      <c r="A248" s="6">
        <v>44631</v>
      </c>
      <c r="B248" t="str">
        <f t="shared" si="22"/>
        <v>Marzo</v>
      </c>
      <c r="C248" s="1" t="s">
        <v>39</v>
      </c>
      <c r="D248" s="58" t="str">
        <f>VLOOKUP(Datos!$C248,$AQ$2:$AR$41,2,0)</f>
        <v>Sur</v>
      </c>
      <c r="E248" s="1">
        <v>23327</v>
      </c>
      <c r="F248" s="1" t="str">
        <f t="array" ref="F248">_xlfn.IFS(H248=0,"Alta sin facturar",H248&gt;2,"Cliente",H248&gt;0,"Cliente nuevo")</f>
        <v>Cliente</v>
      </c>
      <c r="G248" s="1"/>
      <c r="H248" s="1">
        <f t="shared" si="26"/>
        <v>5</v>
      </c>
      <c r="I248" s="2">
        <v>0</v>
      </c>
      <c r="J248" s="2">
        <v>0</v>
      </c>
      <c r="K248" s="2">
        <v>380.47999999999996</v>
      </c>
      <c r="L248" s="2">
        <v>380.47999999999996</v>
      </c>
      <c r="M248" s="2">
        <v>380.47999999999996</v>
      </c>
      <c r="N248" s="89">
        <v>0</v>
      </c>
      <c r="O248" s="89">
        <v>760.95999999999992</v>
      </c>
      <c r="P248" s="89">
        <v>760.95999999999992</v>
      </c>
      <c r="Q248" s="54">
        <f t="shared" si="23"/>
        <v>2663.3599999999997</v>
      </c>
      <c r="R248" s="89">
        <v>380.48</v>
      </c>
      <c r="S248" s="92">
        <f t="shared" si="27"/>
        <v>5</v>
      </c>
      <c r="T248" s="59">
        <f t="shared" si="24"/>
        <v>2282.8799999999997</v>
      </c>
      <c r="U248" s="60">
        <f t="shared" si="25"/>
        <v>0.14285714285714288</v>
      </c>
      <c r="V248" s="59" t="str">
        <f t="array" ref="V248">_xlfn.IFS(S248=0,"Alta sin facturar",S248&gt;2,"Cliente",S248&gt;0,"Cliente nuevo")</f>
        <v>Cliente</v>
      </c>
      <c r="W248" s="59" t="str">
        <f t="shared" si="28"/>
        <v>Ha pagado</v>
      </c>
      <c r="X248" s="3"/>
      <c r="Y248" s="3"/>
      <c r="Z248" s="3"/>
      <c r="AA248" s="3"/>
      <c r="AB248" s="3"/>
      <c r="AC248" s="3"/>
      <c r="AD248" s="3"/>
      <c r="AE248" s="3"/>
      <c r="AG248"/>
      <c r="AH248"/>
      <c r="AI248"/>
      <c r="AJ248"/>
      <c r="AK248"/>
      <c r="AL248"/>
      <c r="AM248"/>
      <c r="AN248"/>
    </row>
    <row r="249" spans="1:40" x14ac:dyDescent="0.25">
      <c r="A249" s="6">
        <v>44631</v>
      </c>
      <c r="B249" t="str">
        <f t="shared" si="22"/>
        <v>Marzo</v>
      </c>
      <c r="C249" s="1" t="s">
        <v>102</v>
      </c>
      <c r="D249" s="58" t="str">
        <f>VLOOKUP(Datos!$C249,$AQ$2:$AR$41,2,0)</f>
        <v>Sur</v>
      </c>
      <c r="E249" s="1">
        <v>23328</v>
      </c>
      <c r="F249" s="1" t="str">
        <f t="array" ref="F249">_xlfn.IFS(H249=0,"Alta sin facturar",H249&gt;2,"Cliente",H249&gt;0,"Cliente nuevo")</f>
        <v>Cliente</v>
      </c>
      <c r="G249" s="1"/>
      <c r="H249" s="1">
        <f t="shared" si="26"/>
        <v>6</v>
      </c>
      <c r="I249" s="2">
        <v>0</v>
      </c>
      <c r="J249" s="2">
        <v>0</v>
      </c>
      <c r="K249" s="2">
        <v>3307.1600000000008</v>
      </c>
      <c r="L249" s="2">
        <v>10808.880000000003</v>
      </c>
      <c r="M249" s="2">
        <v>5163.1600000000017</v>
      </c>
      <c r="N249" s="89">
        <v>3763.04</v>
      </c>
      <c r="O249" s="89">
        <v>4130.76</v>
      </c>
      <c r="P249" s="89">
        <v>4119.16</v>
      </c>
      <c r="Q249" s="54">
        <f t="shared" si="23"/>
        <v>31292.160000000007</v>
      </c>
      <c r="R249" s="89">
        <v>668.16</v>
      </c>
      <c r="S249" s="92">
        <f t="shared" si="27"/>
        <v>6</v>
      </c>
      <c r="T249" s="59">
        <f t="shared" si="24"/>
        <v>30624.000000000007</v>
      </c>
      <c r="U249" s="60">
        <f t="shared" si="25"/>
        <v>2.135231316725978E-2</v>
      </c>
      <c r="V249" s="59" t="str">
        <f t="array" ref="V249">_xlfn.IFS(S249=0,"Alta sin facturar",S249&gt;2,"Cliente",S249&gt;0,"Cliente nuevo")</f>
        <v>Cliente</v>
      </c>
      <c r="W249" s="59" t="str">
        <f t="shared" si="28"/>
        <v>Ha pagado</v>
      </c>
      <c r="X249" s="3"/>
      <c r="Y249" s="3"/>
      <c r="Z249" s="3"/>
      <c r="AA249" s="3"/>
      <c r="AB249" s="3"/>
      <c r="AC249" s="3"/>
      <c r="AD249" s="3"/>
      <c r="AE249" s="3"/>
      <c r="AG249"/>
      <c r="AH249"/>
      <c r="AI249"/>
      <c r="AJ249"/>
      <c r="AK249"/>
      <c r="AL249"/>
      <c r="AM249"/>
      <c r="AN249"/>
    </row>
    <row r="250" spans="1:40" x14ac:dyDescent="0.25">
      <c r="A250" s="6">
        <v>44631</v>
      </c>
      <c r="B250" t="str">
        <f t="shared" si="22"/>
        <v>Marzo</v>
      </c>
      <c r="C250" s="1" t="s">
        <v>64</v>
      </c>
      <c r="D250" s="58" t="str">
        <f>VLOOKUP(Datos!$C250,$AQ$2:$AR$41,2,0)</f>
        <v>Norte</v>
      </c>
      <c r="E250" s="1">
        <v>23329</v>
      </c>
      <c r="F250" s="1" t="str">
        <f t="array" ref="F250">_xlfn.IFS(H250=0,"Alta sin facturar",H250&gt;2,"Cliente",H250&gt;0,"Cliente nuevo")</f>
        <v>Cliente</v>
      </c>
      <c r="G250" s="1"/>
      <c r="H250" s="1">
        <f t="shared" si="26"/>
        <v>6</v>
      </c>
      <c r="I250" s="2">
        <v>0</v>
      </c>
      <c r="J250" s="2">
        <v>0</v>
      </c>
      <c r="K250" s="2">
        <v>9218.52</v>
      </c>
      <c r="L250" s="2">
        <v>13668.279999999981</v>
      </c>
      <c r="M250" s="2">
        <v>7151.4000000000005</v>
      </c>
      <c r="N250" s="89">
        <v>12610.36</v>
      </c>
      <c r="O250" s="89">
        <v>7673.4000000000015</v>
      </c>
      <c r="P250" s="89">
        <v>22532.999999999967</v>
      </c>
      <c r="Q250" s="54">
        <f t="shared" si="23"/>
        <v>72854.959999999948</v>
      </c>
      <c r="R250" s="89">
        <v>4392.92</v>
      </c>
      <c r="S250" s="92">
        <f t="shared" si="27"/>
        <v>6</v>
      </c>
      <c r="T250" s="59">
        <f t="shared" si="24"/>
        <v>68462.03999999995</v>
      </c>
      <c r="U250" s="60">
        <f t="shared" si="25"/>
        <v>6.0296786931184961E-2</v>
      </c>
      <c r="V250" s="59" t="str">
        <f t="array" ref="V250">_xlfn.IFS(S250=0,"Alta sin facturar",S250&gt;2,"Cliente",S250&gt;0,"Cliente nuevo")</f>
        <v>Cliente</v>
      </c>
      <c r="W250" s="59" t="str">
        <f t="shared" si="28"/>
        <v>Ha pagado</v>
      </c>
      <c r="X250" s="3"/>
      <c r="Y250" s="3"/>
      <c r="Z250" s="3"/>
      <c r="AA250" s="3"/>
      <c r="AB250" s="3"/>
      <c r="AC250" s="3"/>
      <c r="AD250" s="3"/>
      <c r="AE250" s="3"/>
      <c r="AG250"/>
      <c r="AH250"/>
      <c r="AI250"/>
      <c r="AJ250"/>
      <c r="AK250"/>
      <c r="AL250"/>
      <c r="AM250"/>
      <c r="AN250"/>
    </row>
    <row r="251" spans="1:40" x14ac:dyDescent="0.25">
      <c r="A251" s="6">
        <v>44632</v>
      </c>
      <c r="B251" t="str">
        <f t="shared" si="22"/>
        <v>Marzo</v>
      </c>
      <c r="C251" s="1" t="s">
        <v>36</v>
      </c>
      <c r="D251" s="58" t="str">
        <f>VLOOKUP(Datos!$C251,$AQ$2:$AR$41,2,0)</f>
        <v>Magallanes</v>
      </c>
      <c r="E251" s="1">
        <v>23330</v>
      </c>
      <c r="F251" s="1" t="str">
        <f t="array" ref="F251">_xlfn.IFS(H251=0,"Alta sin facturar",H251&gt;2,"Cliente",H251&gt;0,"Cliente nuevo")</f>
        <v>Alta sin facturar</v>
      </c>
      <c r="G251" s="1"/>
      <c r="H251" s="1">
        <f t="shared" si="26"/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89">
        <v>0</v>
      </c>
      <c r="O251" s="89">
        <v>0</v>
      </c>
      <c r="P251" s="89">
        <v>0</v>
      </c>
      <c r="Q251" s="54">
        <f t="shared" si="23"/>
        <v>0</v>
      </c>
      <c r="R251" s="89">
        <v>0</v>
      </c>
      <c r="S251" s="92">
        <f t="shared" si="27"/>
        <v>0</v>
      </c>
      <c r="T251" s="59">
        <f t="shared" si="24"/>
        <v>0</v>
      </c>
      <c r="U251" s="60">
        <f t="shared" si="25"/>
        <v>0</v>
      </c>
      <c r="V251" s="59" t="str">
        <f t="array" ref="V251">_xlfn.IFS(S251=0,"Alta sin facturar",S251&gt;2,"Cliente",S251&gt;0,"Cliente nuevo")</f>
        <v>Alta sin facturar</v>
      </c>
      <c r="W251" s="59" t="str">
        <f t="shared" si="28"/>
        <v>Sin pago</v>
      </c>
      <c r="X251" s="3"/>
      <c r="Y251" s="3"/>
      <c r="Z251" s="3"/>
      <c r="AA251" s="3"/>
      <c r="AB251" s="3"/>
      <c r="AC251" s="3"/>
      <c r="AD251" s="3"/>
      <c r="AE251" s="3"/>
      <c r="AG251"/>
      <c r="AH251"/>
      <c r="AI251"/>
      <c r="AJ251"/>
      <c r="AK251"/>
      <c r="AL251"/>
      <c r="AM251"/>
      <c r="AN251"/>
    </row>
    <row r="252" spans="1:40" x14ac:dyDescent="0.25">
      <c r="A252" s="6">
        <v>44632</v>
      </c>
      <c r="B252" t="str">
        <f t="shared" si="22"/>
        <v>Marzo</v>
      </c>
      <c r="C252" s="1" t="s">
        <v>36</v>
      </c>
      <c r="D252" s="58" t="str">
        <f>VLOOKUP(Datos!$C252,$AQ$2:$AR$41,2,0)</f>
        <v>Magallanes</v>
      </c>
      <c r="E252" s="1">
        <v>23331</v>
      </c>
      <c r="F252" s="1" t="str">
        <f t="array" ref="F252">_xlfn.IFS(H252=0,"Alta sin facturar",H252&gt;2,"Cliente",H252&gt;0,"Cliente nuevo")</f>
        <v>Cliente nuevo</v>
      </c>
      <c r="G252" s="1"/>
      <c r="H252" s="1">
        <f t="shared" si="26"/>
        <v>2</v>
      </c>
      <c r="I252" s="2">
        <v>0</v>
      </c>
      <c r="J252" s="2">
        <v>0</v>
      </c>
      <c r="K252" s="2">
        <v>0</v>
      </c>
      <c r="L252" s="2">
        <v>1824.6799999999998</v>
      </c>
      <c r="M252" s="2">
        <v>0</v>
      </c>
      <c r="N252" s="89">
        <v>136.88</v>
      </c>
      <c r="O252" s="89">
        <v>0</v>
      </c>
      <c r="P252" s="89">
        <v>0</v>
      </c>
      <c r="Q252" s="54">
        <f t="shared" si="23"/>
        <v>1961.56</v>
      </c>
      <c r="R252" s="89">
        <v>136.88</v>
      </c>
      <c r="S252" s="92">
        <f t="shared" si="27"/>
        <v>2</v>
      </c>
      <c r="T252" s="59">
        <f t="shared" si="24"/>
        <v>1824.6799999999998</v>
      </c>
      <c r="U252" s="60">
        <f t="shared" si="25"/>
        <v>6.9781194559432283E-2</v>
      </c>
      <c r="V252" s="59" t="str">
        <f t="array" ref="V252">_xlfn.IFS(S252=0,"Alta sin facturar",S252&gt;2,"Cliente",S252&gt;0,"Cliente nuevo")</f>
        <v>Cliente nuevo</v>
      </c>
      <c r="W252" s="59" t="str">
        <f t="shared" si="28"/>
        <v>Ha pagado</v>
      </c>
      <c r="X252" s="3"/>
      <c r="Y252" s="3"/>
      <c r="Z252" s="3"/>
      <c r="AA252" s="3"/>
      <c r="AB252" s="3"/>
      <c r="AC252" s="3"/>
      <c r="AD252" s="3"/>
      <c r="AE252" s="3"/>
      <c r="AG252"/>
      <c r="AH252"/>
      <c r="AI252"/>
      <c r="AJ252"/>
      <c r="AK252"/>
      <c r="AL252"/>
      <c r="AM252"/>
      <c r="AN252"/>
    </row>
    <row r="253" spans="1:40" x14ac:dyDescent="0.25">
      <c r="A253" s="6">
        <v>44632</v>
      </c>
      <c r="B253" t="str">
        <f t="shared" si="22"/>
        <v>Marzo</v>
      </c>
      <c r="C253" s="1" t="s">
        <v>42</v>
      </c>
      <c r="D253" s="58" t="str">
        <f>VLOOKUP(Datos!$C253,$AQ$2:$AR$41,2,0)</f>
        <v>Norte</v>
      </c>
      <c r="E253" s="1">
        <v>23332</v>
      </c>
      <c r="F253" s="1" t="str">
        <f t="array" ref="F253">_xlfn.IFS(H253=0,"Alta sin facturar",H253&gt;2,"Cliente",H253&gt;0,"Cliente nuevo")</f>
        <v>Cliente</v>
      </c>
      <c r="G253" s="1"/>
      <c r="H253" s="1">
        <f t="shared" si="26"/>
        <v>6</v>
      </c>
      <c r="I253" s="2">
        <v>0</v>
      </c>
      <c r="J253" s="2">
        <v>0</v>
      </c>
      <c r="K253" s="2">
        <v>4629.5600000000022</v>
      </c>
      <c r="L253" s="2">
        <v>5932.2399999999989</v>
      </c>
      <c r="M253" s="2">
        <v>7415.8799999999965</v>
      </c>
      <c r="N253" s="89">
        <v>9514.32</v>
      </c>
      <c r="O253" s="89">
        <v>9385.5599999999977</v>
      </c>
      <c r="P253" s="89">
        <v>12736.800000000001</v>
      </c>
      <c r="Q253" s="54">
        <f t="shared" si="23"/>
        <v>49614.36</v>
      </c>
      <c r="R253" s="89">
        <v>2672.64</v>
      </c>
      <c r="S253" s="92">
        <f t="shared" si="27"/>
        <v>6</v>
      </c>
      <c r="T253" s="59">
        <f t="shared" si="24"/>
        <v>46941.72</v>
      </c>
      <c r="U253" s="60">
        <f t="shared" si="25"/>
        <v>5.3868275233218764E-2</v>
      </c>
      <c r="V253" s="59" t="str">
        <f t="array" ref="V253">_xlfn.IFS(S253=0,"Alta sin facturar",S253&gt;2,"Cliente",S253&gt;0,"Cliente nuevo")</f>
        <v>Cliente</v>
      </c>
      <c r="W253" s="59" t="str">
        <f t="shared" si="28"/>
        <v>Ha pagado</v>
      </c>
      <c r="X253" s="3"/>
      <c r="Y253" s="3"/>
      <c r="Z253" s="3"/>
      <c r="AA253" s="3"/>
      <c r="AB253" s="3"/>
      <c r="AC253" s="3"/>
      <c r="AD253" s="3"/>
      <c r="AE253" s="3"/>
      <c r="AG253"/>
      <c r="AH253"/>
      <c r="AI253"/>
      <c r="AJ253"/>
      <c r="AK253"/>
      <c r="AL253"/>
      <c r="AM253"/>
      <c r="AN253"/>
    </row>
    <row r="254" spans="1:40" x14ac:dyDescent="0.25">
      <c r="A254" s="6">
        <v>44634</v>
      </c>
      <c r="B254" t="str">
        <f t="shared" si="22"/>
        <v>Marzo</v>
      </c>
      <c r="C254" s="1" t="s">
        <v>102</v>
      </c>
      <c r="D254" s="58" t="str">
        <f>VLOOKUP(Datos!$C254,$AQ$2:$AR$41,2,0)</f>
        <v>Sur</v>
      </c>
      <c r="E254" s="1">
        <v>23333</v>
      </c>
      <c r="F254" s="1" t="str">
        <f t="array" ref="F254">_xlfn.IFS(H254=0,"Alta sin facturar",H254&gt;2,"Cliente",H254&gt;0,"Cliente nuevo")</f>
        <v>Cliente</v>
      </c>
      <c r="G254" s="1"/>
      <c r="H254" s="1">
        <f t="shared" si="26"/>
        <v>6</v>
      </c>
      <c r="I254" s="2">
        <v>0</v>
      </c>
      <c r="J254" s="2">
        <v>0</v>
      </c>
      <c r="K254" s="2">
        <v>2346.6799999999994</v>
      </c>
      <c r="L254" s="2">
        <v>634.52</v>
      </c>
      <c r="M254" s="2">
        <v>6809.2000000000007</v>
      </c>
      <c r="N254" s="89">
        <v>2589.12</v>
      </c>
      <c r="O254" s="89">
        <v>6002.9999999999991</v>
      </c>
      <c r="P254" s="89">
        <v>6470.4800000000005</v>
      </c>
      <c r="Q254" s="54">
        <f t="shared" si="23"/>
        <v>24853</v>
      </c>
      <c r="R254" s="89">
        <v>3108.8</v>
      </c>
      <c r="S254" s="92">
        <f t="shared" si="27"/>
        <v>6</v>
      </c>
      <c r="T254" s="59">
        <f t="shared" si="24"/>
        <v>21744.2</v>
      </c>
      <c r="U254" s="60">
        <f t="shared" si="25"/>
        <v>0.12508751458576431</v>
      </c>
      <c r="V254" s="59" t="str">
        <f t="array" ref="V254">_xlfn.IFS(S254=0,"Alta sin facturar",S254&gt;2,"Cliente",S254&gt;0,"Cliente nuevo")</f>
        <v>Cliente</v>
      </c>
      <c r="W254" s="59" t="str">
        <f t="shared" si="28"/>
        <v>Ha pagado</v>
      </c>
      <c r="X254" s="3"/>
      <c r="Y254" s="3"/>
      <c r="Z254" s="3"/>
      <c r="AA254" s="3"/>
      <c r="AB254" s="3"/>
      <c r="AC254" s="3"/>
      <c r="AD254" s="3"/>
      <c r="AE254" s="3"/>
      <c r="AG254"/>
      <c r="AH254"/>
      <c r="AI254"/>
      <c r="AJ254"/>
      <c r="AK254"/>
      <c r="AL254"/>
      <c r="AM254"/>
      <c r="AN254"/>
    </row>
    <row r="255" spans="1:40" x14ac:dyDescent="0.25">
      <c r="A255" s="6">
        <v>44634</v>
      </c>
      <c r="B255" t="str">
        <f t="shared" si="22"/>
        <v>Marzo</v>
      </c>
      <c r="C255" s="1" t="s">
        <v>36</v>
      </c>
      <c r="D255" s="58" t="str">
        <f>VLOOKUP(Datos!$C255,$AQ$2:$AR$41,2,0)</f>
        <v>Magallanes</v>
      </c>
      <c r="E255" s="1">
        <v>23334</v>
      </c>
      <c r="F255" s="1" t="str">
        <f t="array" ref="F255">_xlfn.IFS(H255=0,"Alta sin facturar",H255&gt;2,"Cliente",H255&gt;0,"Cliente nuevo")</f>
        <v>Cliente</v>
      </c>
      <c r="G255" s="1"/>
      <c r="H255" s="1">
        <f t="shared" si="26"/>
        <v>4</v>
      </c>
      <c r="I255" s="2">
        <v>0</v>
      </c>
      <c r="J255" s="2">
        <v>0</v>
      </c>
      <c r="K255" s="2">
        <v>0</v>
      </c>
      <c r="L255" s="2">
        <v>0</v>
      </c>
      <c r="M255" s="2">
        <v>2751.5199999999995</v>
      </c>
      <c r="N255" s="89">
        <v>6601.5599999999995</v>
      </c>
      <c r="O255" s="89">
        <v>4570.4000000000005</v>
      </c>
      <c r="P255" s="89">
        <v>3635.44</v>
      </c>
      <c r="Q255" s="54">
        <f t="shared" si="23"/>
        <v>17558.919999999998</v>
      </c>
      <c r="R255" s="89">
        <v>13668.279999999999</v>
      </c>
      <c r="S255" s="92">
        <f t="shared" si="27"/>
        <v>4</v>
      </c>
      <c r="T255" s="59">
        <f t="shared" si="24"/>
        <v>3890.6399999999994</v>
      </c>
      <c r="U255" s="60">
        <f t="shared" si="25"/>
        <v>0.77842372993327613</v>
      </c>
      <c r="V255" s="59" t="str">
        <f t="array" ref="V255">_xlfn.IFS(S255=0,"Alta sin facturar",S255&gt;2,"Cliente",S255&gt;0,"Cliente nuevo")</f>
        <v>Cliente</v>
      </c>
      <c r="W255" s="59" t="str">
        <f t="shared" si="28"/>
        <v>Ha pagado</v>
      </c>
      <c r="X255" s="3"/>
      <c r="Y255" s="3"/>
      <c r="Z255" s="3"/>
      <c r="AA255" s="3"/>
      <c r="AB255" s="3"/>
      <c r="AC255" s="3"/>
      <c r="AD255" s="3"/>
      <c r="AE255" s="3"/>
      <c r="AG255"/>
      <c r="AH255"/>
      <c r="AI255"/>
      <c r="AJ255"/>
      <c r="AK255"/>
      <c r="AL255"/>
      <c r="AM255"/>
      <c r="AN255"/>
    </row>
    <row r="256" spans="1:40" x14ac:dyDescent="0.25">
      <c r="A256" s="6">
        <v>44634</v>
      </c>
      <c r="B256" t="str">
        <f t="shared" si="22"/>
        <v>Marzo</v>
      </c>
      <c r="C256" s="1" t="s">
        <v>34</v>
      </c>
      <c r="D256" s="58" t="str">
        <f>VLOOKUP(Datos!$C256,$AQ$2:$AR$41,2,0)</f>
        <v>Norte</v>
      </c>
      <c r="E256" s="1">
        <v>23335</v>
      </c>
      <c r="F256" s="1" t="str">
        <f t="array" ref="F256">_xlfn.IFS(H256=0,"Alta sin facturar",H256&gt;2,"Cliente",H256&gt;0,"Cliente nuevo")</f>
        <v>Cliente</v>
      </c>
      <c r="G256" s="1"/>
      <c r="H256" s="1">
        <f t="shared" si="26"/>
        <v>4</v>
      </c>
      <c r="I256" s="2">
        <v>0</v>
      </c>
      <c r="J256" s="2">
        <v>0</v>
      </c>
      <c r="K256" s="2">
        <v>992.95999999999992</v>
      </c>
      <c r="L256" s="2">
        <v>1031.24</v>
      </c>
      <c r="M256" s="2">
        <v>0</v>
      </c>
      <c r="N256" s="89">
        <v>134.56</v>
      </c>
      <c r="O256" s="89">
        <v>2940.6</v>
      </c>
      <c r="P256" s="89">
        <v>0</v>
      </c>
      <c r="Q256" s="54">
        <f t="shared" si="23"/>
        <v>5099.3599999999997</v>
      </c>
      <c r="R256" s="89">
        <v>1387.36</v>
      </c>
      <c r="S256" s="92">
        <f t="shared" si="27"/>
        <v>4</v>
      </c>
      <c r="T256" s="59">
        <f t="shared" si="24"/>
        <v>3712</v>
      </c>
      <c r="U256" s="60">
        <f t="shared" si="25"/>
        <v>0.27206551410373064</v>
      </c>
      <c r="V256" s="59" t="str">
        <f t="array" ref="V256">_xlfn.IFS(S256=0,"Alta sin facturar",S256&gt;2,"Cliente",S256&gt;0,"Cliente nuevo")</f>
        <v>Cliente</v>
      </c>
      <c r="W256" s="59" t="str">
        <f t="shared" si="28"/>
        <v>Ha pagado</v>
      </c>
      <c r="X256" s="3"/>
      <c r="Y256" s="3"/>
      <c r="Z256" s="3"/>
      <c r="AA256" s="3"/>
      <c r="AB256" s="3"/>
      <c r="AC256" s="3"/>
      <c r="AD256" s="3"/>
      <c r="AE256" s="3"/>
      <c r="AG256"/>
      <c r="AH256"/>
      <c r="AI256"/>
      <c r="AJ256"/>
      <c r="AK256"/>
      <c r="AL256"/>
      <c r="AM256"/>
      <c r="AN256"/>
    </row>
    <row r="257" spans="1:40" x14ac:dyDescent="0.25">
      <c r="A257" s="6">
        <v>44636</v>
      </c>
      <c r="B257" t="str">
        <f t="shared" si="22"/>
        <v>Marzo</v>
      </c>
      <c r="C257" s="1" t="s">
        <v>39</v>
      </c>
      <c r="D257" s="58" t="str">
        <f>VLOOKUP(Datos!$C257,$AQ$2:$AR$41,2,0)</f>
        <v>Sur</v>
      </c>
      <c r="E257" s="1">
        <v>23336</v>
      </c>
      <c r="F257" s="1" t="str">
        <f t="array" ref="F257">_xlfn.IFS(H257=0,"Alta sin facturar",H257&gt;2,"Cliente",H257&gt;0,"Cliente nuevo")</f>
        <v>Alta sin facturar</v>
      </c>
      <c r="G257" s="1"/>
      <c r="H257" s="1">
        <f t="shared" si="26"/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89">
        <v>0</v>
      </c>
      <c r="O257" s="89">
        <v>0</v>
      </c>
      <c r="P257" s="89">
        <v>0</v>
      </c>
      <c r="Q257" s="54">
        <f t="shared" si="23"/>
        <v>0</v>
      </c>
      <c r="R257" s="89"/>
      <c r="S257" s="92">
        <f t="shared" si="27"/>
        <v>0</v>
      </c>
      <c r="T257" s="59">
        <f t="shared" si="24"/>
        <v>0</v>
      </c>
      <c r="U257" s="60">
        <f t="shared" si="25"/>
        <v>0</v>
      </c>
      <c r="V257" s="59" t="str">
        <f t="array" ref="V257">_xlfn.IFS(S257=0,"Alta sin facturar",S257&gt;2,"Cliente",S257&gt;0,"Cliente nuevo")</f>
        <v>Alta sin facturar</v>
      </c>
      <c r="W257" s="59" t="str">
        <f t="shared" si="28"/>
        <v>Sin pago</v>
      </c>
      <c r="X257" s="3"/>
      <c r="Y257" s="3"/>
      <c r="Z257" s="3"/>
      <c r="AA257" s="3"/>
      <c r="AB257" s="3"/>
      <c r="AC257" s="3"/>
      <c r="AD257" s="3"/>
      <c r="AE257" s="3"/>
      <c r="AG257"/>
      <c r="AH257"/>
      <c r="AI257"/>
      <c r="AJ257"/>
      <c r="AK257"/>
      <c r="AL257"/>
      <c r="AM257"/>
      <c r="AN257"/>
    </row>
    <row r="258" spans="1:40" x14ac:dyDescent="0.25">
      <c r="A258" s="6">
        <v>44636</v>
      </c>
      <c r="B258" t="str">
        <f t="shared" ref="B258:B321" si="29">PROPER(TEXT(A258,"mmmm"))</f>
        <v>Marzo</v>
      </c>
      <c r="C258" s="1" t="s">
        <v>33</v>
      </c>
      <c r="D258" s="58" t="str">
        <f>VLOOKUP(Datos!$C258,$AQ$2:$AR$41,2,0)</f>
        <v>Magallanes</v>
      </c>
      <c r="E258" s="1">
        <v>23337</v>
      </c>
      <c r="F258" s="1" t="str">
        <f t="array" ref="F258">_xlfn.IFS(H258=0,"Alta sin facturar",H258&gt;2,"Cliente",H258&gt;0,"Cliente nuevo")</f>
        <v>Cliente nuevo</v>
      </c>
      <c r="G258" s="1"/>
      <c r="H258" s="1">
        <f t="shared" si="26"/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89">
        <v>0</v>
      </c>
      <c r="O258" s="89">
        <v>0</v>
      </c>
      <c r="P258" s="89">
        <v>406</v>
      </c>
      <c r="Q258" s="54">
        <f t="shared" ref="Q258:Q321" si="30">SUBTOTAL(109,I258:P258)</f>
        <v>406</v>
      </c>
      <c r="R258" s="89">
        <v>812</v>
      </c>
      <c r="S258" s="92">
        <f t="shared" si="27"/>
        <v>1</v>
      </c>
      <c r="T258" s="59">
        <f t="shared" ref="T258:T321" si="31">Q258-R258</f>
        <v>-406</v>
      </c>
      <c r="U258" s="60">
        <f t="shared" ref="U258:U321" si="32">IF(Q258=0,0,R258/Q258)</f>
        <v>2</v>
      </c>
      <c r="V258" s="59" t="str">
        <f t="array" ref="V258">_xlfn.IFS(S258=0,"Alta sin facturar",S258&gt;2,"Cliente",S258&gt;0,"Cliente nuevo")</f>
        <v>Cliente nuevo</v>
      </c>
      <c r="W258" s="59" t="str">
        <f t="shared" si="28"/>
        <v>Sin pago</v>
      </c>
      <c r="X258" s="3"/>
      <c r="Y258" s="3"/>
      <c r="Z258" s="3"/>
      <c r="AA258" s="3"/>
      <c r="AB258" s="3"/>
      <c r="AC258" s="3"/>
      <c r="AD258" s="3"/>
      <c r="AE258" s="3"/>
      <c r="AG258"/>
      <c r="AH258"/>
      <c r="AI258"/>
      <c r="AJ258"/>
      <c r="AK258"/>
      <c r="AL258"/>
      <c r="AM258"/>
      <c r="AN258"/>
    </row>
    <row r="259" spans="1:40" x14ac:dyDescent="0.25">
      <c r="A259" s="6">
        <v>44636</v>
      </c>
      <c r="B259" t="str">
        <f t="shared" si="29"/>
        <v>Marzo</v>
      </c>
      <c r="C259" s="1" t="s">
        <v>42</v>
      </c>
      <c r="D259" s="58" t="str">
        <f>VLOOKUP(Datos!$C259,$AQ$2:$AR$41,2,0)</f>
        <v>Norte</v>
      </c>
      <c r="E259" s="1">
        <v>23338</v>
      </c>
      <c r="F259" s="1" t="str">
        <f t="array" ref="F259">_xlfn.IFS(H259=0,"Alta sin facturar",H259&gt;2,"Cliente",H259&gt;0,"Cliente nuevo")</f>
        <v>Alta sin facturar</v>
      </c>
      <c r="G259" s="1"/>
      <c r="H259" s="1">
        <f t="shared" ref="H259:H322" si="33">COUNTIF(I259:P259,"&gt;0")</f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89">
        <v>0</v>
      </c>
      <c r="O259" s="89">
        <v>0</v>
      </c>
      <c r="P259" s="89">
        <v>0</v>
      </c>
      <c r="Q259" s="54">
        <f t="shared" si="30"/>
        <v>0</v>
      </c>
      <c r="R259" s="89">
        <v>0</v>
      </c>
      <c r="S259" s="92">
        <f t="shared" ref="S259:S322" si="34">COUNTIF(I259:P259,"&gt;0")</f>
        <v>0</v>
      </c>
      <c r="T259" s="59">
        <f t="shared" si="31"/>
        <v>0</v>
      </c>
      <c r="U259" s="60">
        <f t="shared" si="32"/>
        <v>0</v>
      </c>
      <c r="V259" s="59" t="str">
        <f t="array" ref="V259">_xlfn.IFS(S259=0,"Alta sin facturar",S259&gt;2,"Cliente",S259&gt;0,"Cliente nuevo")</f>
        <v>Alta sin facturar</v>
      </c>
      <c r="W259" s="59" t="str">
        <f t="shared" ref="W259:W322" si="35">IF(T259&lt;1,"Sin pago","Ha pagado")</f>
        <v>Sin pago</v>
      </c>
      <c r="X259" s="3"/>
      <c r="Y259" s="3"/>
      <c r="Z259" s="3"/>
      <c r="AA259" s="3"/>
      <c r="AB259" s="3"/>
      <c r="AC259" s="3"/>
      <c r="AD259" s="3"/>
      <c r="AE259" s="3"/>
      <c r="AG259"/>
      <c r="AH259"/>
      <c r="AI259"/>
      <c r="AJ259"/>
      <c r="AK259"/>
      <c r="AL259"/>
      <c r="AM259"/>
      <c r="AN259"/>
    </row>
    <row r="260" spans="1:40" x14ac:dyDescent="0.25">
      <c r="A260" s="6">
        <v>44636</v>
      </c>
      <c r="B260" t="str">
        <f t="shared" si="29"/>
        <v>Marzo</v>
      </c>
      <c r="C260" s="1" t="s">
        <v>62</v>
      </c>
      <c r="D260" s="58" t="str">
        <f>VLOOKUP(Datos!$C260,$AQ$2:$AR$41,2,0)</f>
        <v>Norte</v>
      </c>
      <c r="E260" s="1">
        <v>23339</v>
      </c>
      <c r="F260" s="1" t="str">
        <f t="array" ref="F260">_xlfn.IFS(H260=0,"Alta sin facturar",H260&gt;2,"Cliente",H260&gt;0,"Cliente nuevo")</f>
        <v>Alta sin facturar</v>
      </c>
      <c r="G260" s="1"/>
      <c r="H260" s="1">
        <f t="shared" si="33"/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89">
        <v>0</v>
      </c>
      <c r="O260" s="89">
        <v>0</v>
      </c>
      <c r="P260" s="89">
        <v>0</v>
      </c>
      <c r="Q260" s="54">
        <f t="shared" si="30"/>
        <v>0</v>
      </c>
      <c r="R260" s="89"/>
      <c r="S260" s="92">
        <f t="shared" si="34"/>
        <v>0</v>
      </c>
      <c r="T260" s="59">
        <f t="shared" si="31"/>
        <v>0</v>
      </c>
      <c r="U260" s="60">
        <f t="shared" si="32"/>
        <v>0</v>
      </c>
      <c r="V260" s="59" t="str">
        <f t="array" ref="V260">_xlfn.IFS(S260=0,"Alta sin facturar",S260&gt;2,"Cliente",S260&gt;0,"Cliente nuevo")</f>
        <v>Alta sin facturar</v>
      </c>
      <c r="W260" s="59" t="str">
        <f t="shared" si="35"/>
        <v>Sin pago</v>
      </c>
      <c r="X260" s="3"/>
      <c r="Y260" s="3"/>
      <c r="Z260" s="3"/>
      <c r="AA260" s="3"/>
      <c r="AB260" s="3"/>
      <c r="AC260" s="3"/>
      <c r="AD260" s="3"/>
      <c r="AE260" s="3"/>
      <c r="AG260"/>
      <c r="AH260"/>
      <c r="AI260"/>
      <c r="AJ260"/>
      <c r="AK260"/>
      <c r="AL260"/>
      <c r="AM260"/>
      <c r="AN260"/>
    </row>
    <row r="261" spans="1:40" x14ac:dyDescent="0.25">
      <c r="A261" s="6">
        <v>44637</v>
      </c>
      <c r="B261" t="str">
        <f t="shared" si="29"/>
        <v>Marzo</v>
      </c>
      <c r="C261" s="1" t="s">
        <v>89</v>
      </c>
      <c r="D261" s="58" t="str">
        <f>VLOOKUP(Datos!$C261,$AQ$2:$AR$41,2,0)</f>
        <v>Centro</v>
      </c>
      <c r="E261" s="1">
        <v>23340</v>
      </c>
      <c r="F261" s="1" t="str">
        <f t="array" ref="F261">_xlfn.IFS(H261=0,"Alta sin facturar",H261&gt;2,"Cliente",H261&gt;0,"Cliente nuevo")</f>
        <v>Cliente</v>
      </c>
      <c r="G261" s="1"/>
      <c r="H261" s="1">
        <f t="shared" si="33"/>
        <v>6</v>
      </c>
      <c r="I261" s="2">
        <v>0</v>
      </c>
      <c r="J261" s="2">
        <v>0</v>
      </c>
      <c r="K261" s="2">
        <v>1311.96</v>
      </c>
      <c r="L261" s="2">
        <v>6705.9600000000009</v>
      </c>
      <c r="M261" s="2">
        <v>2549.6799999999998</v>
      </c>
      <c r="N261" s="89">
        <v>4614.4799999999996</v>
      </c>
      <c r="O261" s="89">
        <v>7225.6399999999994</v>
      </c>
      <c r="P261" s="89">
        <v>8468</v>
      </c>
      <c r="Q261" s="54">
        <f t="shared" si="30"/>
        <v>30875.72</v>
      </c>
      <c r="R261" s="89">
        <v>0</v>
      </c>
      <c r="S261" s="92">
        <f t="shared" si="34"/>
        <v>6</v>
      </c>
      <c r="T261" s="59">
        <f t="shared" si="31"/>
        <v>30875.72</v>
      </c>
      <c r="U261" s="60">
        <f t="shared" si="32"/>
        <v>0</v>
      </c>
      <c r="V261" s="59" t="str">
        <f t="array" ref="V261">_xlfn.IFS(S261=0,"Alta sin facturar",S261&gt;2,"Cliente",S261&gt;0,"Cliente nuevo")</f>
        <v>Cliente</v>
      </c>
      <c r="W261" s="59" t="str">
        <f t="shared" si="35"/>
        <v>Ha pagado</v>
      </c>
      <c r="X261" s="3"/>
      <c r="Y261" s="3"/>
      <c r="Z261" s="3"/>
      <c r="AA261" s="3"/>
      <c r="AB261" s="3"/>
      <c r="AC261" s="3"/>
      <c r="AD261" s="3"/>
      <c r="AE261" s="3"/>
      <c r="AG261"/>
      <c r="AH261"/>
      <c r="AI261"/>
      <c r="AJ261"/>
      <c r="AK261"/>
      <c r="AL261"/>
      <c r="AM261"/>
      <c r="AN261"/>
    </row>
    <row r="262" spans="1:40" x14ac:dyDescent="0.25">
      <c r="A262" s="6">
        <v>44637</v>
      </c>
      <c r="B262" t="str">
        <f t="shared" si="29"/>
        <v>Marzo</v>
      </c>
      <c r="C262" s="1" t="s">
        <v>89</v>
      </c>
      <c r="D262" s="58" t="str">
        <f>VLOOKUP(Datos!$C262,$AQ$2:$AR$41,2,0)</f>
        <v>Centro</v>
      </c>
      <c r="E262" s="1">
        <v>23341</v>
      </c>
      <c r="F262" s="1" t="str">
        <f t="array" ref="F262">_xlfn.IFS(H262=0,"Alta sin facturar",H262&gt;2,"Cliente",H262&gt;0,"Cliente nuevo")</f>
        <v>Cliente nuevo</v>
      </c>
      <c r="G262" s="1"/>
      <c r="H262" s="1">
        <f t="shared" si="33"/>
        <v>2</v>
      </c>
      <c r="I262" s="2">
        <v>0</v>
      </c>
      <c r="J262" s="2">
        <v>0</v>
      </c>
      <c r="K262" s="2">
        <v>0</v>
      </c>
      <c r="L262" s="2">
        <v>0</v>
      </c>
      <c r="M262" s="2">
        <v>5860.3199999999988</v>
      </c>
      <c r="N262" s="89">
        <v>1849.04</v>
      </c>
      <c r="O262" s="89">
        <v>0</v>
      </c>
      <c r="P262" s="89">
        <v>0</v>
      </c>
      <c r="Q262" s="54">
        <f t="shared" si="30"/>
        <v>7709.3599999999988</v>
      </c>
      <c r="R262" s="89">
        <v>1849.04</v>
      </c>
      <c r="S262" s="92">
        <f t="shared" si="34"/>
        <v>2</v>
      </c>
      <c r="T262" s="59">
        <f t="shared" si="31"/>
        <v>5860.3199999999988</v>
      </c>
      <c r="U262" s="60">
        <f t="shared" si="32"/>
        <v>0.23984351489617819</v>
      </c>
      <c r="V262" s="59" t="str">
        <f t="array" ref="V262">_xlfn.IFS(S262=0,"Alta sin facturar",S262&gt;2,"Cliente",S262&gt;0,"Cliente nuevo")</f>
        <v>Cliente nuevo</v>
      </c>
      <c r="W262" s="59" t="str">
        <f t="shared" si="35"/>
        <v>Ha pagado</v>
      </c>
      <c r="X262" s="3"/>
      <c r="Y262" s="3"/>
      <c r="Z262" s="3"/>
      <c r="AA262" s="3"/>
      <c r="AB262" s="3"/>
      <c r="AC262" s="3"/>
      <c r="AD262" s="3"/>
      <c r="AE262" s="3"/>
      <c r="AG262"/>
      <c r="AH262"/>
      <c r="AI262"/>
      <c r="AJ262"/>
      <c r="AK262"/>
      <c r="AL262"/>
      <c r="AM262"/>
      <c r="AN262"/>
    </row>
    <row r="263" spans="1:40" x14ac:dyDescent="0.25">
      <c r="A263" s="6">
        <v>44637</v>
      </c>
      <c r="B263" t="str">
        <f t="shared" si="29"/>
        <v>Marzo</v>
      </c>
      <c r="C263" s="1" t="s">
        <v>39</v>
      </c>
      <c r="D263" s="58" t="str">
        <f>VLOOKUP(Datos!$C263,$AQ$2:$AR$41,2,0)</f>
        <v>Sur</v>
      </c>
      <c r="E263" s="1">
        <v>23342</v>
      </c>
      <c r="F263" s="1" t="str">
        <f t="array" ref="F263">_xlfn.IFS(H263=0,"Alta sin facturar",H263&gt;2,"Cliente",H263&gt;0,"Cliente nuevo")</f>
        <v>Cliente</v>
      </c>
      <c r="G263" s="1"/>
      <c r="H263" s="1">
        <f t="shared" si="33"/>
        <v>5</v>
      </c>
      <c r="I263" s="2">
        <v>0</v>
      </c>
      <c r="J263" s="2">
        <v>0</v>
      </c>
      <c r="K263" s="2">
        <v>0</v>
      </c>
      <c r="L263" s="2">
        <v>1531.1999999999998</v>
      </c>
      <c r="M263" s="2">
        <v>535.91999999999996</v>
      </c>
      <c r="N263" s="89">
        <v>2119.3199999999997</v>
      </c>
      <c r="O263" s="89">
        <v>1244.6799999999998</v>
      </c>
      <c r="P263" s="89">
        <v>1949.9599999999998</v>
      </c>
      <c r="Q263" s="54">
        <f t="shared" si="30"/>
        <v>7381.079999999999</v>
      </c>
      <c r="R263" s="89">
        <v>766.76</v>
      </c>
      <c r="S263" s="92">
        <f t="shared" si="34"/>
        <v>5</v>
      </c>
      <c r="T263" s="59">
        <f t="shared" si="31"/>
        <v>6614.3199999999988</v>
      </c>
      <c r="U263" s="60">
        <f t="shared" si="32"/>
        <v>0.1038818167531039</v>
      </c>
      <c r="V263" s="59" t="str">
        <f t="array" ref="V263">_xlfn.IFS(S263=0,"Alta sin facturar",S263&gt;2,"Cliente",S263&gt;0,"Cliente nuevo")</f>
        <v>Cliente</v>
      </c>
      <c r="W263" s="59" t="str">
        <f t="shared" si="35"/>
        <v>Ha pagado</v>
      </c>
      <c r="X263" s="3"/>
      <c r="Y263" s="3"/>
      <c r="Z263" s="3"/>
      <c r="AA263" s="3"/>
      <c r="AB263" s="3"/>
      <c r="AC263" s="3"/>
      <c r="AD263" s="3"/>
      <c r="AE263" s="3"/>
      <c r="AG263"/>
      <c r="AH263"/>
      <c r="AI263"/>
      <c r="AJ263"/>
      <c r="AK263"/>
      <c r="AL263"/>
      <c r="AM263"/>
      <c r="AN263"/>
    </row>
    <row r="264" spans="1:40" x14ac:dyDescent="0.25">
      <c r="A264" s="6">
        <v>44638</v>
      </c>
      <c r="B264" t="str">
        <f t="shared" si="29"/>
        <v>Marzo</v>
      </c>
      <c r="C264" s="1" t="s">
        <v>62</v>
      </c>
      <c r="D264" s="58" t="str">
        <f>VLOOKUP(Datos!$C264,$AQ$2:$AR$41,2,0)</f>
        <v>Norte</v>
      </c>
      <c r="E264" s="1">
        <v>23343</v>
      </c>
      <c r="F264" s="1" t="str">
        <f t="array" ref="F264">_xlfn.IFS(H264=0,"Alta sin facturar",H264&gt;2,"Cliente",H264&gt;0,"Cliente nuevo")</f>
        <v>Cliente</v>
      </c>
      <c r="G264" s="1"/>
      <c r="H264" s="1">
        <f t="shared" si="33"/>
        <v>6</v>
      </c>
      <c r="I264" s="2">
        <v>0</v>
      </c>
      <c r="J264" s="2">
        <v>0</v>
      </c>
      <c r="K264" s="2">
        <v>1263.2399999999998</v>
      </c>
      <c r="L264" s="2">
        <v>16323.519999999997</v>
      </c>
      <c r="M264" s="2">
        <v>18402.239999999998</v>
      </c>
      <c r="N264" s="89">
        <v>19192.2</v>
      </c>
      <c r="O264" s="89">
        <v>15364.199999999997</v>
      </c>
      <c r="P264" s="89">
        <v>14204.2</v>
      </c>
      <c r="Q264" s="54">
        <f t="shared" si="30"/>
        <v>84749.599999999991</v>
      </c>
      <c r="R264" s="89">
        <v>12971.119999999999</v>
      </c>
      <c r="S264" s="92">
        <f t="shared" si="34"/>
        <v>6</v>
      </c>
      <c r="T264" s="59">
        <f t="shared" si="31"/>
        <v>71778.48</v>
      </c>
      <c r="U264" s="60">
        <f t="shared" si="32"/>
        <v>0.15305228579249933</v>
      </c>
      <c r="V264" s="59" t="str">
        <f t="array" ref="V264">_xlfn.IFS(S264=0,"Alta sin facturar",S264&gt;2,"Cliente",S264&gt;0,"Cliente nuevo")</f>
        <v>Cliente</v>
      </c>
      <c r="W264" s="59" t="str">
        <f t="shared" si="35"/>
        <v>Ha pagado</v>
      </c>
      <c r="X264" s="3"/>
      <c r="Y264" s="3"/>
      <c r="Z264" s="3"/>
      <c r="AA264" s="3"/>
      <c r="AB264" s="3"/>
      <c r="AC264" s="3"/>
      <c r="AD264" s="3"/>
      <c r="AE264" s="3"/>
      <c r="AG264"/>
      <c r="AH264"/>
      <c r="AI264"/>
      <c r="AJ264"/>
      <c r="AK264"/>
      <c r="AL264"/>
      <c r="AM264"/>
      <c r="AN264"/>
    </row>
    <row r="265" spans="1:40" x14ac:dyDescent="0.25">
      <c r="A265" s="6">
        <v>44638</v>
      </c>
      <c r="B265" t="str">
        <f t="shared" si="29"/>
        <v>Marzo</v>
      </c>
      <c r="C265" s="1" t="s">
        <v>62</v>
      </c>
      <c r="D265" s="58" t="str">
        <f>VLOOKUP(Datos!$C265,$AQ$2:$AR$41,2,0)</f>
        <v>Norte</v>
      </c>
      <c r="E265" s="1">
        <v>23344</v>
      </c>
      <c r="F265" s="1" t="str">
        <f t="array" ref="F265">_xlfn.IFS(H265=0,"Alta sin facturar",H265&gt;2,"Cliente",H265&gt;0,"Cliente nuevo")</f>
        <v>Alta sin facturar</v>
      </c>
      <c r="G265" s="1"/>
      <c r="H265" s="1">
        <f t="shared" si="33"/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89">
        <v>0</v>
      </c>
      <c r="O265" s="89">
        <v>0</v>
      </c>
      <c r="P265" s="89">
        <v>0</v>
      </c>
      <c r="Q265" s="54">
        <f t="shared" si="30"/>
        <v>0</v>
      </c>
      <c r="R265" s="89"/>
      <c r="S265" s="92">
        <f t="shared" si="34"/>
        <v>0</v>
      </c>
      <c r="T265" s="59">
        <f t="shared" si="31"/>
        <v>0</v>
      </c>
      <c r="U265" s="60">
        <f t="shared" si="32"/>
        <v>0</v>
      </c>
      <c r="V265" s="59" t="str">
        <f t="array" ref="V265">_xlfn.IFS(S265=0,"Alta sin facturar",S265&gt;2,"Cliente",S265&gt;0,"Cliente nuevo")</f>
        <v>Alta sin facturar</v>
      </c>
      <c r="W265" s="59" t="str">
        <f t="shared" si="35"/>
        <v>Sin pago</v>
      </c>
      <c r="X265" s="3"/>
      <c r="Y265" s="3"/>
      <c r="Z265" s="3"/>
      <c r="AA265" s="3"/>
      <c r="AB265" s="3"/>
      <c r="AC265" s="3"/>
      <c r="AD265" s="3"/>
      <c r="AE265" s="3"/>
      <c r="AG265"/>
      <c r="AH265"/>
      <c r="AI265"/>
      <c r="AJ265"/>
      <c r="AK265"/>
      <c r="AL265"/>
      <c r="AM265"/>
      <c r="AN265"/>
    </row>
    <row r="266" spans="1:40" x14ac:dyDescent="0.25">
      <c r="A266" s="6">
        <v>44638</v>
      </c>
      <c r="B266" t="str">
        <f t="shared" si="29"/>
        <v>Marzo</v>
      </c>
      <c r="C266" s="1" t="s">
        <v>60</v>
      </c>
      <c r="D266" s="58" t="str">
        <f>VLOOKUP(Datos!$C266,$AQ$2:$AR$41,2,0)</f>
        <v>Norte</v>
      </c>
      <c r="E266" s="1">
        <v>23345</v>
      </c>
      <c r="F266" s="1" t="str">
        <f t="array" ref="F266">_xlfn.IFS(H266=0,"Alta sin facturar",H266&gt;2,"Cliente",H266&gt;0,"Cliente nuevo")</f>
        <v>Cliente</v>
      </c>
      <c r="G266" s="1"/>
      <c r="H266" s="1">
        <f t="shared" si="33"/>
        <v>4</v>
      </c>
      <c r="I266" s="2">
        <v>0</v>
      </c>
      <c r="J266" s="2">
        <v>0</v>
      </c>
      <c r="K266" s="2">
        <v>0</v>
      </c>
      <c r="L266" s="2">
        <v>1248.1599999999999</v>
      </c>
      <c r="M266" s="2">
        <v>551</v>
      </c>
      <c r="N266" s="89">
        <v>546.36</v>
      </c>
      <c r="O266" s="89">
        <v>305.08</v>
      </c>
      <c r="P266" s="89">
        <v>0</v>
      </c>
      <c r="Q266" s="54">
        <f t="shared" si="30"/>
        <v>2650.6</v>
      </c>
      <c r="R266" s="89">
        <v>851.44</v>
      </c>
      <c r="S266" s="92">
        <f t="shared" si="34"/>
        <v>4</v>
      </c>
      <c r="T266" s="59">
        <f t="shared" si="31"/>
        <v>1799.1599999999999</v>
      </c>
      <c r="U266" s="60">
        <f t="shared" si="32"/>
        <v>0.32122538293216635</v>
      </c>
      <c r="V266" s="59" t="str">
        <f t="array" ref="V266">_xlfn.IFS(S266=0,"Alta sin facturar",S266&gt;2,"Cliente",S266&gt;0,"Cliente nuevo")</f>
        <v>Cliente</v>
      </c>
      <c r="W266" s="59" t="str">
        <f t="shared" si="35"/>
        <v>Ha pagado</v>
      </c>
      <c r="X266" s="3"/>
      <c r="Y266" s="3"/>
      <c r="Z266" s="3"/>
      <c r="AA266" s="3"/>
      <c r="AB266" s="3"/>
      <c r="AC266" s="3"/>
      <c r="AD266" s="3"/>
      <c r="AE266" s="3"/>
      <c r="AG266"/>
      <c r="AH266"/>
      <c r="AI266"/>
      <c r="AJ266"/>
      <c r="AK266"/>
      <c r="AL266"/>
      <c r="AM266"/>
      <c r="AN266"/>
    </row>
    <row r="267" spans="1:40" x14ac:dyDescent="0.25">
      <c r="A267" s="6">
        <v>44638</v>
      </c>
      <c r="B267" t="str">
        <f t="shared" si="29"/>
        <v>Marzo</v>
      </c>
      <c r="C267" s="1" t="s">
        <v>35</v>
      </c>
      <c r="D267" s="58" t="str">
        <f>VLOOKUP(Datos!$C267,$AQ$2:$AR$41,2,0)</f>
        <v>Centro</v>
      </c>
      <c r="E267" s="1">
        <v>23346</v>
      </c>
      <c r="F267" s="1" t="str">
        <f t="array" ref="F267">_xlfn.IFS(H267=0,"Alta sin facturar",H267&gt;2,"Cliente",H267&gt;0,"Cliente nuevo")</f>
        <v>Cliente</v>
      </c>
      <c r="G267" s="1"/>
      <c r="H267" s="1">
        <f t="shared" si="33"/>
        <v>6</v>
      </c>
      <c r="I267" s="2">
        <v>0</v>
      </c>
      <c r="J267" s="2">
        <v>0</v>
      </c>
      <c r="K267" s="2">
        <v>3271.1999999999989</v>
      </c>
      <c r="L267" s="2">
        <v>6214.119999999999</v>
      </c>
      <c r="M267" s="2">
        <v>5918.3200000000006</v>
      </c>
      <c r="N267" s="89">
        <v>11386.560000000001</v>
      </c>
      <c r="O267" s="89">
        <v>4972.9199999999983</v>
      </c>
      <c r="P267" s="89">
        <v>6869.52</v>
      </c>
      <c r="Q267" s="54">
        <f t="shared" si="30"/>
        <v>38632.639999999999</v>
      </c>
      <c r="R267" s="89">
        <v>230.84</v>
      </c>
      <c r="S267" s="92">
        <f t="shared" si="34"/>
        <v>6</v>
      </c>
      <c r="T267" s="59">
        <f t="shared" si="31"/>
        <v>38401.800000000003</v>
      </c>
      <c r="U267" s="60">
        <f t="shared" si="32"/>
        <v>5.9752582272399714E-3</v>
      </c>
      <c r="V267" s="59" t="str">
        <f t="array" ref="V267">_xlfn.IFS(S267=0,"Alta sin facturar",S267&gt;2,"Cliente",S267&gt;0,"Cliente nuevo")</f>
        <v>Cliente</v>
      </c>
      <c r="W267" s="59" t="str">
        <f t="shared" si="35"/>
        <v>Ha pagado</v>
      </c>
      <c r="X267" s="3"/>
      <c r="Y267" s="3"/>
      <c r="Z267" s="3"/>
      <c r="AA267" s="3"/>
      <c r="AB267" s="3"/>
      <c r="AC267" s="3"/>
      <c r="AD267" s="3"/>
      <c r="AE267" s="3"/>
      <c r="AG267"/>
      <c r="AH267"/>
      <c r="AI267"/>
      <c r="AJ267"/>
      <c r="AK267"/>
      <c r="AL267"/>
      <c r="AM267"/>
      <c r="AN267"/>
    </row>
    <row r="268" spans="1:40" x14ac:dyDescent="0.25">
      <c r="A268" s="6">
        <v>44638</v>
      </c>
      <c r="B268" t="str">
        <f t="shared" si="29"/>
        <v>Marzo</v>
      </c>
      <c r="C268" s="1" t="s">
        <v>62</v>
      </c>
      <c r="D268" s="58" t="str">
        <f>VLOOKUP(Datos!$C268,$AQ$2:$AR$41,2,0)</f>
        <v>Norte</v>
      </c>
      <c r="E268" s="1">
        <v>23347</v>
      </c>
      <c r="F268" s="1" t="str">
        <f t="array" ref="F268">_xlfn.IFS(H268=0,"Alta sin facturar",H268&gt;2,"Cliente",H268&gt;0,"Cliente nuevo")</f>
        <v>Cliente nuevo</v>
      </c>
      <c r="G268" s="1"/>
      <c r="H268" s="1">
        <f t="shared" si="33"/>
        <v>1</v>
      </c>
      <c r="I268" s="2">
        <v>0</v>
      </c>
      <c r="J268" s="2">
        <v>0</v>
      </c>
      <c r="K268" s="2">
        <v>1364.16</v>
      </c>
      <c r="L268" s="2">
        <v>0</v>
      </c>
      <c r="M268" s="2">
        <v>0</v>
      </c>
      <c r="N268" s="89">
        <v>0</v>
      </c>
      <c r="O268" s="89">
        <v>0</v>
      </c>
      <c r="P268" s="89">
        <v>0</v>
      </c>
      <c r="Q268" s="54">
        <f t="shared" si="30"/>
        <v>1364.16</v>
      </c>
      <c r="R268" s="89">
        <v>91.64</v>
      </c>
      <c r="S268" s="92">
        <f t="shared" si="34"/>
        <v>1</v>
      </c>
      <c r="T268" s="59">
        <f t="shared" si="31"/>
        <v>1272.52</v>
      </c>
      <c r="U268" s="60">
        <f t="shared" si="32"/>
        <v>6.7176870748299311E-2</v>
      </c>
      <c r="V268" s="59" t="str">
        <f t="array" ref="V268">_xlfn.IFS(S268=0,"Alta sin facturar",S268&gt;2,"Cliente",S268&gt;0,"Cliente nuevo")</f>
        <v>Cliente nuevo</v>
      </c>
      <c r="W268" s="59" t="str">
        <f t="shared" si="35"/>
        <v>Ha pagado</v>
      </c>
      <c r="X268" s="3"/>
      <c r="Y268" s="3"/>
      <c r="Z268" s="3"/>
      <c r="AA268" s="3"/>
      <c r="AB268" s="3"/>
      <c r="AC268" s="3"/>
      <c r="AD268" s="3"/>
      <c r="AE268" s="3"/>
      <c r="AG268"/>
      <c r="AH268"/>
      <c r="AI268"/>
      <c r="AJ268"/>
      <c r="AK268"/>
      <c r="AL268"/>
      <c r="AM268"/>
      <c r="AN268"/>
    </row>
    <row r="269" spans="1:40" x14ac:dyDescent="0.25">
      <c r="A269" s="6">
        <v>44639</v>
      </c>
      <c r="B269" t="str">
        <f t="shared" si="29"/>
        <v>Marzo</v>
      </c>
      <c r="C269" s="1" t="s">
        <v>102</v>
      </c>
      <c r="D269" s="58" t="str">
        <f>VLOOKUP(Datos!$C269,$AQ$2:$AR$41,2,0)</f>
        <v>Sur</v>
      </c>
      <c r="E269" s="1">
        <v>23348</v>
      </c>
      <c r="F269" s="1" t="str">
        <f t="array" ref="F269">_xlfn.IFS(H269=0,"Alta sin facturar",H269&gt;2,"Cliente",H269&gt;0,"Cliente nuevo")</f>
        <v>Cliente</v>
      </c>
      <c r="G269" s="1"/>
      <c r="H269" s="1">
        <f t="shared" si="33"/>
        <v>6</v>
      </c>
      <c r="I269" s="2">
        <v>0</v>
      </c>
      <c r="J269" s="2">
        <v>0</v>
      </c>
      <c r="K269" s="2">
        <v>476.76</v>
      </c>
      <c r="L269" s="2">
        <v>934.95999999999992</v>
      </c>
      <c r="M269" s="2">
        <v>3328.04</v>
      </c>
      <c r="N269" s="89">
        <v>2676.1200000000003</v>
      </c>
      <c r="O269" s="89">
        <v>2026.52</v>
      </c>
      <c r="P269" s="89">
        <v>2976.5599999999995</v>
      </c>
      <c r="Q269" s="54">
        <f t="shared" si="30"/>
        <v>12418.960000000001</v>
      </c>
      <c r="R269" s="89">
        <v>2026.52</v>
      </c>
      <c r="S269" s="92">
        <f t="shared" si="34"/>
        <v>6</v>
      </c>
      <c r="T269" s="59">
        <f t="shared" si="31"/>
        <v>10392.44</v>
      </c>
      <c r="U269" s="60">
        <f t="shared" si="32"/>
        <v>0.16317952549971976</v>
      </c>
      <c r="V269" s="59" t="str">
        <f t="array" ref="V269">_xlfn.IFS(S269=0,"Alta sin facturar",S269&gt;2,"Cliente",S269&gt;0,"Cliente nuevo")</f>
        <v>Cliente</v>
      </c>
      <c r="W269" s="59" t="str">
        <f t="shared" si="35"/>
        <v>Ha pagado</v>
      </c>
      <c r="X269" s="3"/>
      <c r="Y269" s="3"/>
      <c r="Z269" s="3"/>
      <c r="AA269" s="3"/>
      <c r="AB269" s="3"/>
      <c r="AC269" s="3"/>
      <c r="AD269" s="3"/>
      <c r="AE269" s="3"/>
      <c r="AG269"/>
      <c r="AH269"/>
      <c r="AI269"/>
      <c r="AJ269"/>
      <c r="AK269"/>
      <c r="AL269"/>
      <c r="AM269"/>
      <c r="AN269"/>
    </row>
    <row r="270" spans="1:40" x14ac:dyDescent="0.25">
      <c r="A270" s="6">
        <v>44642</v>
      </c>
      <c r="B270" t="str">
        <f t="shared" si="29"/>
        <v>Marzo</v>
      </c>
      <c r="C270" s="1" t="s">
        <v>33</v>
      </c>
      <c r="D270" s="58" t="str">
        <f>VLOOKUP(Datos!$C270,$AQ$2:$AR$41,2,0)</f>
        <v>Magallanes</v>
      </c>
      <c r="E270" s="1">
        <v>23350</v>
      </c>
      <c r="F270" s="1" t="str">
        <f t="array" ref="F270">_xlfn.IFS(H270=0,"Alta sin facturar",H270&gt;2,"Cliente",H270&gt;0,"Cliente nuevo")</f>
        <v>Cliente nuevo</v>
      </c>
      <c r="G270" s="1"/>
      <c r="H270" s="1">
        <f t="shared" si="33"/>
        <v>2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89">
        <v>3055.44</v>
      </c>
      <c r="O270" s="89">
        <v>0</v>
      </c>
      <c r="P270" s="89">
        <v>2235.3200000000002</v>
      </c>
      <c r="Q270" s="54">
        <f t="shared" si="30"/>
        <v>5290.76</v>
      </c>
      <c r="R270" s="89">
        <v>738.92</v>
      </c>
      <c r="S270" s="92">
        <f t="shared" si="34"/>
        <v>2</v>
      </c>
      <c r="T270" s="59">
        <f t="shared" si="31"/>
        <v>4551.84</v>
      </c>
      <c r="U270" s="60">
        <f t="shared" si="32"/>
        <v>0.13966235474676605</v>
      </c>
      <c r="V270" s="59" t="str">
        <f t="array" ref="V270">_xlfn.IFS(S270=0,"Alta sin facturar",S270&gt;2,"Cliente",S270&gt;0,"Cliente nuevo")</f>
        <v>Cliente nuevo</v>
      </c>
      <c r="W270" s="59" t="str">
        <f t="shared" si="35"/>
        <v>Ha pagado</v>
      </c>
      <c r="X270" s="3"/>
      <c r="Y270" s="3"/>
      <c r="Z270" s="3"/>
      <c r="AA270" s="3"/>
      <c r="AB270" s="3"/>
      <c r="AC270" s="3"/>
      <c r="AD270" s="3"/>
      <c r="AE270" s="3"/>
      <c r="AG270"/>
      <c r="AH270"/>
      <c r="AI270"/>
      <c r="AJ270"/>
      <c r="AK270"/>
      <c r="AL270"/>
      <c r="AM270"/>
      <c r="AN270"/>
    </row>
    <row r="271" spans="1:40" x14ac:dyDescent="0.25">
      <c r="A271" s="6">
        <v>44642</v>
      </c>
      <c r="B271" t="str">
        <f t="shared" si="29"/>
        <v>Marzo</v>
      </c>
      <c r="C271" s="1" t="s">
        <v>34</v>
      </c>
      <c r="D271" s="58" t="str">
        <f>VLOOKUP(Datos!$C271,$AQ$2:$AR$41,2,0)</f>
        <v>Norte</v>
      </c>
      <c r="E271" s="1">
        <v>23351</v>
      </c>
      <c r="F271" s="1" t="str">
        <f t="array" ref="F271">_xlfn.IFS(H271=0,"Alta sin facturar",H271&gt;2,"Cliente",H271&gt;0,"Cliente nuevo")</f>
        <v>Cliente</v>
      </c>
      <c r="G271" s="1"/>
      <c r="H271" s="1">
        <f t="shared" si="33"/>
        <v>6</v>
      </c>
      <c r="I271" s="2">
        <v>0</v>
      </c>
      <c r="J271" s="2">
        <v>0</v>
      </c>
      <c r="K271" s="2">
        <v>3492.76</v>
      </c>
      <c r="L271" s="2">
        <v>16096.160000000005</v>
      </c>
      <c r="M271" s="2">
        <v>22062.03999999999</v>
      </c>
      <c r="N271" s="89">
        <v>30349.08</v>
      </c>
      <c r="O271" s="89">
        <v>16966.160000000003</v>
      </c>
      <c r="P271" s="89">
        <v>31636.67999999996</v>
      </c>
      <c r="Q271" s="54">
        <f t="shared" si="30"/>
        <v>120602.87999999996</v>
      </c>
      <c r="R271" s="89">
        <v>5229.28</v>
      </c>
      <c r="S271" s="92">
        <f t="shared" si="34"/>
        <v>6</v>
      </c>
      <c r="T271" s="59">
        <f t="shared" si="31"/>
        <v>115373.59999999996</v>
      </c>
      <c r="U271" s="60">
        <f t="shared" si="32"/>
        <v>4.3359495229301333E-2</v>
      </c>
      <c r="V271" s="59" t="str">
        <f t="array" ref="V271">_xlfn.IFS(S271=0,"Alta sin facturar",S271&gt;2,"Cliente",S271&gt;0,"Cliente nuevo")</f>
        <v>Cliente</v>
      </c>
      <c r="W271" s="59" t="str">
        <f t="shared" si="35"/>
        <v>Ha pagado</v>
      </c>
      <c r="X271" s="3"/>
      <c r="Y271" s="3"/>
      <c r="Z271" s="3"/>
      <c r="AA271" s="3"/>
      <c r="AB271" s="3"/>
      <c r="AC271" s="3"/>
      <c r="AD271" s="3"/>
      <c r="AE271" s="3"/>
      <c r="AG271"/>
      <c r="AH271"/>
      <c r="AI271"/>
      <c r="AJ271"/>
      <c r="AK271"/>
      <c r="AL271"/>
      <c r="AM271"/>
      <c r="AN271"/>
    </row>
    <row r="272" spans="1:40" x14ac:dyDescent="0.25">
      <c r="A272" s="6">
        <v>44642</v>
      </c>
      <c r="B272" t="str">
        <f t="shared" si="29"/>
        <v>Marzo</v>
      </c>
      <c r="C272" s="1" t="s">
        <v>67</v>
      </c>
      <c r="D272" s="58" t="str">
        <f>VLOOKUP(Datos!$C272,$AQ$2:$AR$41,2,0)</f>
        <v>Norte</v>
      </c>
      <c r="E272" s="1">
        <v>23352</v>
      </c>
      <c r="F272" s="1" t="str">
        <f t="array" ref="F272">_xlfn.IFS(H272=0,"Alta sin facturar",H272&gt;2,"Cliente",H272&gt;0,"Cliente nuevo")</f>
        <v>Cliente</v>
      </c>
      <c r="G272" s="1"/>
      <c r="H272" s="1">
        <f t="shared" si="33"/>
        <v>4</v>
      </c>
      <c r="I272" s="2">
        <v>0</v>
      </c>
      <c r="J272" s="2">
        <v>0</v>
      </c>
      <c r="K272" s="2">
        <v>0</v>
      </c>
      <c r="L272" s="2">
        <v>0</v>
      </c>
      <c r="M272" s="2">
        <v>1140.28</v>
      </c>
      <c r="N272" s="89">
        <v>3622.6800000000003</v>
      </c>
      <c r="O272" s="89">
        <v>8799.76</v>
      </c>
      <c r="P272" s="89">
        <v>481.4</v>
      </c>
      <c r="Q272" s="54">
        <f t="shared" si="30"/>
        <v>14044.12</v>
      </c>
      <c r="R272" s="89">
        <v>0</v>
      </c>
      <c r="S272" s="92">
        <f t="shared" si="34"/>
        <v>4</v>
      </c>
      <c r="T272" s="59">
        <f t="shared" si="31"/>
        <v>14044.12</v>
      </c>
      <c r="U272" s="60">
        <f t="shared" si="32"/>
        <v>0</v>
      </c>
      <c r="V272" s="59" t="str">
        <f t="array" ref="V272">_xlfn.IFS(S272=0,"Alta sin facturar",S272&gt;2,"Cliente",S272&gt;0,"Cliente nuevo")</f>
        <v>Cliente</v>
      </c>
      <c r="W272" s="59" t="str">
        <f t="shared" si="35"/>
        <v>Ha pagado</v>
      </c>
      <c r="X272" s="3"/>
      <c r="Y272" s="3"/>
      <c r="Z272" s="3"/>
      <c r="AA272" s="3"/>
      <c r="AB272" s="3"/>
      <c r="AC272" s="3"/>
      <c r="AD272" s="3"/>
      <c r="AE272" s="3"/>
      <c r="AG272"/>
      <c r="AH272"/>
      <c r="AI272"/>
      <c r="AJ272"/>
      <c r="AK272"/>
      <c r="AL272"/>
      <c r="AM272"/>
      <c r="AN272"/>
    </row>
    <row r="273" spans="1:40" x14ac:dyDescent="0.25">
      <c r="A273" s="6">
        <v>44642</v>
      </c>
      <c r="B273" t="str">
        <f t="shared" si="29"/>
        <v>Marzo</v>
      </c>
      <c r="C273" s="1" t="s">
        <v>67</v>
      </c>
      <c r="D273" s="58" t="str">
        <f>VLOOKUP(Datos!$C273,$AQ$2:$AR$41,2,0)</f>
        <v>Norte</v>
      </c>
      <c r="E273" s="1">
        <v>23353</v>
      </c>
      <c r="F273" s="1" t="str">
        <f t="array" ref="F273">_xlfn.IFS(H273=0,"Alta sin facturar",H273&gt;2,"Cliente",H273&gt;0,"Cliente nuevo")</f>
        <v>Cliente nuevo</v>
      </c>
      <c r="G273" s="1"/>
      <c r="H273" s="1">
        <f t="shared" si="33"/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89">
        <v>1392</v>
      </c>
      <c r="O273" s="89">
        <v>0</v>
      </c>
      <c r="P273" s="89">
        <v>0</v>
      </c>
      <c r="Q273" s="54">
        <f t="shared" si="30"/>
        <v>1392</v>
      </c>
      <c r="R273" s="89">
        <v>0</v>
      </c>
      <c r="S273" s="92">
        <f t="shared" si="34"/>
        <v>1</v>
      </c>
      <c r="T273" s="59">
        <f t="shared" si="31"/>
        <v>1392</v>
      </c>
      <c r="U273" s="60">
        <f t="shared" si="32"/>
        <v>0</v>
      </c>
      <c r="V273" s="59" t="str">
        <f t="array" ref="V273">_xlfn.IFS(S273=0,"Alta sin facturar",S273&gt;2,"Cliente",S273&gt;0,"Cliente nuevo")</f>
        <v>Cliente nuevo</v>
      </c>
      <c r="W273" s="59" t="str">
        <f t="shared" si="35"/>
        <v>Ha pagado</v>
      </c>
      <c r="X273" s="3"/>
      <c r="Y273" s="3"/>
      <c r="Z273" s="3"/>
      <c r="AA273" s="3"/>
      <c r="AB273" s="3"/>
      <c r="AC273" s="3"/>
      <c r="AD273" s="3"/>
      <c r="AE273" s="3"/>
      <c r="AG273"/>
      <c r="AH273"/>
      <c r="AI273"/>
      <c r="AJ273"/>
      <c r="AK273"/>
      <c r="AL273"/>
      <c r="AM273"/>
      <c r="AN273"/>
    </row>
    <row r="274" spans="1:40" x14ac:dyDescent="0.25">
      <c r="A274" s="6">
        <v>44642</v>
      </c>
      <c r="B274" t="str">
        <f t="shared" si="29"/>
        <v>Marzo</v>
      </c>
      <c r="C274" s="1" t="s">
        <v>32</v>
      </c>
      <c r="D274" s="58" t="str">
        <f>VLOOKUP(Datos!$C274,$AQ$2:$AR$41,2,0)</f>
        <v>Norte</v>
      </c>
      <c r="E274" s="1">
        <v>23354</v>
      </c>
      <c r="F274" s="1" t="str">
        <f t="array" ref="F274">_xlfn.IFS(H274=0,"Alta sin facturar",H274&gt;2,"Cliente",H274&gt;0,"Cliente nuevo")</f>
        <v>Alta sin facturar</v>
      </c>
      <c r="G274" s="1"/>
      <c r="H274" s="1">
        <f t="shared" si="33"/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89">
        <v>0</v>
      </c>
      <c r="O274" s="89">
        <v>0</v>
      </c>
      <c r="P274" s="89">
        <v>0</v>
      </c>
      <c r="Q274" s="54">
        <f t="shared" si="30"/>
        <v>0</v>
      </c>
      <c r="R274" s="89"/>
      <c r="S274" s="92">
        <f t="shared" si="34"/>
        <v>0</v>
      </c>
      <c r="T274" s="59">
        <f t="shared" si="31"/>
        <v>0</v>
      </c>
      <c r="U274" s="60">
        <f t="shared" si="32"/>
        <v>0</v>
      </c>
      <c r="V274" s="59" t="str">
        <f t="array" ref="V274">_xlfn.IFS(S274=0,"Alta sin facturar",S274&gt;2,"Cliente",S274&gt;0,"Cliente nuevo")</f>
        <v>Alta sin facturar</v>
      </c>
      <c r="W274" s="59" t="str">
        <f t="shared" si="35"/>
        <v>Sin pago</v>
      </c>
      <c r="X274" s="3"/>
      <c r="Y274" s="3"/>
      <c r="Z274" s="3"/>
      <c r="AA274" s="3"/>
      <c r="AB274" s="3"/>
      <c r="AC274" s="3"/>
      <c r="AD274" s="3"/>
      <c r="AE274" s="3"/>
      <c r="AG274"/>
      <c r="AH274"/>
      <c r="AI274"/>
      <c r="AJ274"/>
      <c r="AK274"/>
      <c r="AL274"/>
      <c r="AM274"/>
      <c r="AN274"/>
    </row>
    <row r="275" spans="1:40" x14ac:dyDescent="0.25">
      <c r="A275" s="6">
        <v>44642</v>
      </c>
      <c r="B275" t="str">
        <f t="shared" si="29"/>
        <v>Marzo</v>
      </c>
      <c r="C275" s="1" t="s">
        <v>89</v>
      </c>
      <c r="D275" s="58" t="str">
        <f>VLOOKUP(Datos!$C275,$AQ$2:$AR$41,2,0)</f>
        <v>Centro</v>
      </c>
      <c r="E275" s="1">
        <v>23355</v>
      </c>
      <c r="F275" s="1" t="str">
        <f t="array" ref="F275">_xlfn.IFS(H275=0,"Alta sin facturar",H275&gt;2,"Cliente",H275&gt;0,"Cliente nuevo")</f>
        <v>Cliente</v>
      </c>
      <c r="G275" s="1"/>
      <c r="H275" s="1">
        <f t="shared" si="33"/>
        <v>5</v>
      </c>
      <c r="I275" s="2">
        <v>0</v>
      </c>
      <c r="J275" s="2">
        <v>0</v>
      </c>
      <c r="K275" s="2">
        <v>0</v>
      </c>
      <c r="L275" s="2">
        <v>939.59999999999991</v>
      </c>
      <c r="M275" s="2">
        <v>1779.4399999999996</v>
      </c>
      <c r="N275" s="89">
        <v>858.4</v>
      </c>
      <c r="O275" s="89">
        <v>1198.2799999999997</v>
      </c>
      <c r="P275" s="89">
        <v>317.83999999999997</v>
      </c>
      <c r="Q275" s="54">
        <f t="shared" si="30"/>
        <v>5093.5599999999995</v>
      </c>
      <c r="R275" s="89">
        <v>959.31999999999994</v>
      </c>
      <c r="S275" s="92">
        <f t="shared" si="34"/>
        <v>5</v>
      </c>
      <c r="T275" s="59">
        <f t="shared" si="31"/>
        <v>4134.24</v>
      </c>
      <c r="U275" s="60">
        <f t="shared" si="32"/>
        <v>0.18833978592575723</v>
      </c>
      <c r="V275" s="59" t="str">
        <f t="array" ref="V275">_xlfn.IFS(S275=0,"Alta sin facturar",S275&gt;2,"Cliente",S275&gt;0,"Cliente nuevo")</f>
        <v>Cliente</v>
      </c>
      <c r="W275" s="59" t="str">
        <f t="shared" si="35"/>
        <v>Ha pagado</v>
      </c>
      <c r="X275" s="3"/>
      <c r="Y275" s="3"/>
      <c r="Z275" s="3"/>
      <c r="AA275" s="3"/>
      <c r="AB275" s="3"/>
      <c r="AC275" s="3"/>
      <c r="AD275" s="3"/>
      <c r="AE275" s="3"/>
      <c r="AG275"/>
      <c r="AH275"/>
      <c r="AI275"/>
      <c r="AJ275"/>
      <c r="AK275"/>
      <c r="AL275"/>
      <c r="AM275"/>
      <c r="AN275"/>
    </row>
    <row r="276" spans="1:40" x14ac:dyDescent="0.25">
      <c r="A276" s="6">
        <v>44642</v>
      </c>
      <c r="B276" t="str">
        <f t="shared" si="29"/>
        <v>Marzo</v>
      </c>
      <c r="C276" s="1" t="s">
        <v>38</v>
      </c>
      <c r="D276" s="58" t="str">
        <f>VLOOKUP(Datos!$C276,$AQ$2:$AR$41,2,0)</f>
        <v>Centro</v>
      </c>
      <c r="E276" s="1">
        <v>23356</v>
      </c>
      <c r="F276" s="1" t="str">
        <f t="array" ref="F276">_xlfn.IFS(H276=0,"Alta sin facturar",H276&gt;2,"Cliente",H276&gt;0,"Cliente nuevo")</f>
        <v>Cliente</v>
      </c>
      <c r="G276" s="1"/>
      <c r="H276" s="1">
        <f t="shared" si="33"/>
        <v>4</v>
      </c>
      <c r="I276" s="2">
        <v>0</v>
      </c>
      <c r="J276" s="2">
        <v>0</v>
      </c>
      <c r="K276" s="2">
        <v>0</v>
      </c>
      <c r="L276" s="2">
        <v>0</v>
      </c>
      <c r="M276" s="2">
        <v>3026.4399999999996</v>
      </c>
      <c r="N276" s="89">
        <v>17673.759999999998</v>
      </c>
      <c r="O276" s="89">
        <v>6468.1600000000017</v>
      </c>
      <c r="P276" s="89">
        <v>638</v>
      </c>
      <c r="Q276" s="54">
        <f t="shared" si="30"/>
        <v>27806.36</v>
      </c>
      <c r="R276" s="89">
        <v>943.07999999999993</v>
      </c>
      <c r="S276" s="92">
        <f t="shared" si="34"/>
        <v>4</v>
      </c>
      <c r="T276" s="59">
        <f t="shared" si="31"/>
        <v>26863.279999999999</v>
      </c>
      <c r="U276" s="60">
        <f t="shared" si="32"/>
        <v>3.3915981811355383E-2</v>
      </c>
      <c r="V276" s="59" t="str">
        <f t="array" ref="V276">_xlfn.IFS(S276=0,"Alta sin facturar",S276&gt;2,"Cliente",S276&gt;0,"Cliente nuevo")</f>
        <v>Cliente</v>
      </c>
      <c r="W276" s="59" t="str">
        <f t="shared" si="35"/>
        <v>Ha pagado</v>
      </c>
      <c r="X276" s="3"/>
      <c r="Y276" s="3"/>
      <c r="Z276" s="3"/>
      <c r="AA276" s="3"/>
      <c r="AB276" s="3"/>
      <c r="AC276" s="3"/>
      <c r="AD276" s="3"/>
      <c r="AE276" s="3"/>
      <c r="AG276"/>
      <c r="AH276"/>
      <c r="AI276"/>
      <c r="AJ276"/>
      <c r="AK276"/>
      <c r="AL276"/>
      <c r="AM276"/>
      <c r="AN276"/>
    </row>
    <row r="277" spans="1:40" x14ac:dyDescent="0.25">
      <c r="A277" s="6">
        <v>44643</v>
      </c>
      <c r="B277" t="str">
        <f t="shared" si="29"/>
        <v>Marzo</v>
      </c>
      <c r="C277" s="1" t="s">
        <v>33</v>
      </c>
      <c r="D277" s="58" t="str">
        <f>VLOOKUP(Datos!$C277,$AQ$2:$AR$41,2,0)</f>
        <v>Magallanes</v>
      </c>
      <c r="E277" s="1">
        <v>23357</v>
      </c>
      <c r="F277" s="1" t="str">
        <f t="array" ref="F277">_xlfn.IFS(H277=0,"Alta sin facturar",H277&gt;2,"Cliente",H277&gt;0,"Cliente nuevo")</f>
        <v>Cliente nuevo</v>
      </c>
      <c r="G277" s="1"/>
      <c r="H277" s="1">
        <f t="shared" si="33"/>
        <v>2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89">
        <v>4999.6000000000004</v>
      </c>
      <c r="O277" s="89">
        <v>0</v>
      </c>
      <c r="P277" s="89">
        <v>2942.9200000000005</v>
      </c>
      <c r="Q277" s="54">
        <f t="shared" si="30"/>
        <v>7942.52</v>
      </c>
      <c r="R277" s="89">
        <v>21176.959999999999</v>
      </c>
      <c r="S277" s="92">
        <f t="shared" si="34"/>
        <v>2</v>
      </c>
      <c r="T277" s="59">
        <f t="shared" si="31"/>
        <v>-13234.439999999999</v>
      </c>
      <c r="U277" s="60">
        <f t="shared" si="32"/>
        <v>2.6662772016941725</v>
      </c>
      <c r="V277" s="59" t="str">
        <f t="array" ref="V277">_xlfn.IFS(S277=0,"Alta sin facturar",S277&gt;2,"Cliente",S277&gt;0,"Cliente nuevo")</f>
        <v>Cliente nuevo</v>
      </c>
      <c r="W277" s="59" t="str">
        <f t="shared" si="35"/>
        <v>Sin pago</v>
      </c>
      <c r="X277" s="3"/>
      <c r="Y277" s="3"/>
      <c r="Z277" s="3"/>
      <c r="AA277" s="3"/>
      <c r="AB277" s="3"/>
      <c r="AC277" s="3"/>
      <c r="AD277" s="3"/>
      <c r="AE277" s="3"/>
      <c r="AG277"/>
      <c r="AH277"/>
      <c r="AI277"/>
      <c r="AJ277"/>
      <c r="AK277"/>
      <c r="AL277"/>
      <c r="AM277"/>
      <c r="AN277"/>
    </row>
    <row r="278" spans="1:40" x14ac:dyDescent="0.25">
      <c r="A278" s="6">
        <v>44643</v>
      </c>
      <c r="B278" t="str">
        <f t="shared" si="29"/>
        <v>Marzo</v>
      </c>
      <c r="C278" s="1" t="s">
        <v>102</v>
      </c>
      <c r="D278" s="58" t="str">
        <f>VLOOKUP(Datos!$C278,$AQ$2:$AR$41,2,0)</f>
        <v>Sur</v>
      </c>
      <c r="E278" s="1">
        <v>23358</v>
      </c>
      <c r="F278" s="1" t="str">
        <f t="array" ref="F278">_xlfn.IFS(H278=0,"Alta sin facturar",H278&gt;2,"Cliente",H278&gt;0,"Cliente nuevo")</f>
        <v>Cliente</v>
      </c>
      <c r="G278" s="1"/>
      <c r="H278" s="1">
        <f t="shared" si="33"/>
        <v>6</v>
      </c>
      <c r="I278" s="2">
        <v>0</v>
      </c>
      <c r="J278" s="2">
        <v>0</v>
      </c>
      <c r="K278" s="2">
        <v>618.28</v>
      </c>
      <c r="L278" s="2">
        <v>4549.5199999999986</v>
      </c>
      <c r="M278" s="2">
        <v>2819.9599999999991</v>
      </c>
      <c r="N278" s="89">
        <v>1593.8400000000001</v>
      </c>
      <c r="O278" s="89">
        <v>2202.84</v>
      </c>
      <c r="P278" s="89">
        <v>4831.4000000000005</v>
      </c>
      <c r="Q278" s="54">
        <f t="shared" si="30"/>
        <v>16615.84</v>
      </c>
      <c r="R278" s="89">
        <v>0</v>
      </c>
      <c r="S278" s="92">
        <f t="shared" si="34"/>
        <v>6</v>
      </c>
      <c r="T278" s="59">
        <f t="shared" si="31"/>
        <v>16615.84</v>
      </c>
      <c r="U278" s="60">
        <f t="shared" si="32"/>
        <v>0</v>
      </c>
      <c r="V278" s="59" t="str">
        <f t="array" ref="V278">_xlfn.IFS(S278=0,"Alta sin facturar",S278&gt;2,"Cliente",S278&gt;0,"Cliente nuevo")</f>
        <v>Cliente</v>
      </c>
      <c r="W278" s="59" t="str">
        <f t="shared" si="35"/>
        <v>Ha pagado</v>
      </c>
      <c r="X278" s="3"/>
      <c r="Y278" s="3"/>
      <c r="Z278" s="3"/>
      <c r="AA278" s="3"/>
      <c r="AB278" s="3"/>
      <c r="AC278" s="3"/>
      <c r="AD278" s="3"/>
      <c r="AE278" s="3"/>
      <c r="AG278"/>
      <c r="AH278"/>
      <c r="AI278"/>
      <c r="AJ278"/>
      <c r="AK278"/>
      <c r="AL278"/>
      <c r="AM278"/>
      <c r="AN278"/>
    </row>
    <row r="279" spans="1:40" x14ac:dyDescent="0.25">
      <c r="A279" s="6">
        <v>44643</v>
      </c>
      <c r="B279" t="str">
        <f t="shared" si="29"/>
        <v>Marzo</v>
      </c>
      <c r="C279" s="1" t="s">
        <v>31</v>
      </c>
      <c r="D279" s="58" t="str">
        <f>VLOOKUP(Datos!$C279,$AQ$2:$AR$41,2,0)</f>
        <v>Centro</v>
      </c>
      <c r="E279" s="1">
        <v>23359</v>
      </c>
      <c r="F279" s="1" t="str">
        <f t="array" ref="F279">_xlfn.IFS(H279=0,"Alta sin facturar",H279&gt;2,"Cliente",H279&gt;0,"Cliente nuevo")</f>
        <v>Alta sin facturar</v>
      </c>
      <c r="G279" s="1"/>
      <c r="H279" s="1">
        <f t="shared" si="33"/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89">
        <v>0</v>
      </c>
      <c r="O279" s="89">
        <v>0</v>
      </c>
      <c r="P279" s="89">
        <v>0</v>
      </c>
      <c r="Q279" s="54">
        <f t="shared" si="30"/>
        <v>0</v>
      </c>
      <c r="R279" s="89">
        <v>1160</v>
      </c>
      <c r="S279" s="92">
        <f t="shared" si="34"/>
        <v>0</v>
      </c>
      <c r="T279" s="59">
        <f t="shared" si="31"/>
        <v>-1160</v>
      </c>
      <c r="U279" s="60">
        <f t="shared" si="32"/>
        <v>0</v>
      </c>
      <c r="V279" s="59" t="str">
        <f t="array" ref="V279">_xlfn.IFS(S279=0,"Alta sin facturar",S279&gt;2,"Cliente",S279&gt;0,"Cliente nuevo")</f>
        <v>Alta sin facturar</v>
      </c>
      <c r="W279" s="59" t="str">
        <f t="shared" si="35"/>
        <v>Sin pago</v>
      </c>
      <c r="X279" s="3"/>
      <c r="Y279" s="3"/>
      <c r="Z279" s="3"/>
      <c r="AA279" s="3"/>
      <c r="AB279" s="3"/>
      <c r="AC279" s="3"/>
      <c r="AD279" s="3"/>
      <c r="AE279" s="3"/>
      <c r="AG279"/>
      <c r="AH279"/>
      <c r="AI279"/>
      <c r="AJ279"/>
      <c r="AK279"/>
      <c r="AL279"/>
      <c r="AM279"/>
      <c r="AN279"/>
    </row>
    <row r="280" spans="1:40" x14ac:dyDescent="0.25">
      <c r="A280" s="6">
        <v>44644</v>
      </c>
      <c r="B280" t="str">
        <f t="shared" si="29"/>
        <v>Marzo</v>
      </c>
      <c r="C280" s="1" t="s">
        <v>33</v>
      </c>
      <c r="D280" s="58" t="str">
        <f>VLOOKUP(Datos!$C280,$AQ$2:$AR$41,2,0)</f>
        <v>Magallanes</v>
      </c>
      <c r="E280" s="1">
        <v>23360</v>
      </c>
      <c r="F280" s="1" t="str">
        <f t="array" ref="F280">_xlfn.IFS(H280=0,"Alta sin facturar",H280&gt;2,"Cliente",H280&gt;0,"Cliente nuevo")</f>
        <v>Cliente nuevo</v>
      </c>
      <c r="G280" s="1"/>
      <c r="H280" s="1">
        <f t="shared" si="33"/>
        <v>2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89">
        <v>6128.28</v>
      </c>
      <c r="O280" s="89">
        <v>0</v>
      </c>
      <c r="P280" s="89">
        <v>2035.8000000000002</v>
      </c>
      <c r="Q280" s="54">
        <f t="shared" si="30"/>
        <v>8164.08</v>
      </c>
      <c r="R280" s="89">
        <v>5731.56</v>
      </c>
      <c r="S280" s="92">
        <f t="shared" si="34"/>
        <v>2</v>
      </c>
      <c r="T280" s="59">
        <f t="shared" si="31"/>
        <v>2432.5199999999995</v>
      </c>
      <c r="U280" s="60">
        <f t="shared" si="32"/>
        <v>0.70204603580562663</v>
      </c>
      <c r="V280" s="59" t="str">
        <f t="array" ref="V280">_xlfn.IFS(S280=0,"Alta sin facturar",S280&gt;2,"Cliente",S280&gt;0,"Cliente nuevo")</f>
        <v>Cliente nuevo</v>
      </c>
      <c r="W280" s="59" t="str">
        <f t="shared" si="35"/>
        <v>Ha pagado</v>
      </c>
      <c r="X280" s="3"/>
      <c r="Y280" s="3"/>
      <c r="Z280" s="3"/>
      <c r="AA280" s="3"/>
      <c r="AB280" s="3"/>
      <c r="AC280" s="3"/>
      <c r="AD280" s="3"/>
      <c r="AE280" s="3"/>
      <c r="AG280"/>
      <c r="AH280"/>
      <c r="AI280"/>
      <c r="AJ280"/>
      <c r="AK280"/>
      <c r="AL280"/>
      <c r="AM280"/>
      <c r="AN280"/>
    </row>
    <row r="281" spans="1:40" x14ac:dyDescent="0.25">
      <c r="A281" s="6">
        <v>44644</v>
      </c>
      <c r="B281" t="str">
        <f t="shared" si="29"/>
        <v>Marzo</v>
      </c>
      <c r="C281" s="1" t="s">
        <v>89</v>
      </c>
      <c r="D281" s="58" t="str">
        <f>VLOOKUP(Datos!$C281,$AQ$2:$AR$41,2,0)</f>
        <v>Centro</v>
      </c>
      <c r="E281" s="1">
        <v>23361</v>
      </c>
      <c r="F281" s="1" t="str">
        <f t="array" ref="F281">_xlfn.IFS(H281=0,"Alta sin facturar",H281&gt;2,"Cliente",H281&gt;0,"Cliente nuevo")</f>
        <v>Cliente</v>
      </c>
      <c r="G281" s="1"/>
      <c r="H281" s="1">
        <f t="shared" si="33"/>
        <v>3</v>
      </c>
      <c r="I281" s="2">
        <v>0</v>
      </c>
      <c r="J281" s="2">
        <v>0</v>
      </c>
      <c r="K281" s="2">
        <v>0</v>
      </c>
      <c r="L281" s="2">
        <v>0</v>
      </c>
      <c r="M281" s="2">
        <v>174</v>
      </c>
      <c r="N281" s="89">
        <v>2714.3999999999996</v>
      </c>
      <c r="O281" s="89">
        <v>406</v>
      </c>
      <c r="P281" s="89">
        <v>0</v>
      </c>
      <c r="Q281" s="54">
        <f t="shared" si="30"/>
        <v>3294.3999999999996</v>
      </c>
      <c r="R281" s="89">
        <v>904.8</v>
      </c>
      <c r="S281" s="92">
        <f t="shared" si="34"/>
        <v>3</v>
      </c>
      <c r="T281" s="59">
        <f t="shared" si="31"/>
        <v>2389.5999999999995</v>
      </c>
      <c r="U281" s="60">
        <f t="shared" si="32"/>
        <v>0.27464788732394368</v>
      </c>
      <c r="V281" s="59" t="str">
        <f t="array" ref="V281">_xlfn.IFS(S281=0,"Alta sin facturar",S281&gt;2,"Cliente",S281&gt;0,"Cliente nuevo")</f>
        <v>Cliente</v>
      </c>
      <c r="W281" s="59" t="str">
        <f t="shared" si="35"/>
        <v>Ha pagado</v>
      </c>
      <c r="X281" s="3"/>
      <c r="Y281" s="3"/>
      <c r="Z281" s="3"/>
      <c r="AA281" s="3"/>
      <c r="AB281" s="3"/>
      <c r="AC281" s="3"/>
      <c r="AD281" s="3"/>
      <c r="AE281" s="3"/>
      <c r="AG281"/>
      <c r="AH281"/>
      <c r="AI281"/>
      <c r="AJ281"/>
      <c r="AK281"/>
      <c r="AL281"/>
      <c r="AM281"/>
      <c r="AN281"/>
    </row>
    <row r="282" spans="1:40" x14ac:dyDescent="0.25">
      <c r="A282" s="6">
        <v>44644</v>
      </c>
      <c r="B282" t="str">
        <f t="shared" si="29"/>
        <v>Marzo</v>
      </c>
      <c r="C282" s="1" t="s">
        <v>33</v>
      </c>
      <c r="D282" s="58" t="str">
        <f>VLOOKUP(Datos!$C282,$AQ$2:$AR$41,2,0)</f>
        <v>Magallanes</v>
      </c>
      <c r="E282" s="1">
        <v>23362</v>
      </c>
      <c r="F282" s="1" t="str">
        <f t="array" ref="F282">_xlfn.IFS(H282=0,"Alta sin facturar",H282&gt;2,"Cliente",H282&gt;0,"Cliente nuevo")</f>
        <v>Cliente nuevo</v>
      </c>
      <c r="G282" s="1"/>
      <c r="H282" s="1">
        <f t="shared" si="33"/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89">
        <v>298.12</v>
      </c>
      <c r="O282" s="89">
        <v>0</v>
      </c>
      <c r="P282" s="89">
        <v>0</v>
      </c>
      <c r="Q282" s="54">
        <f t="shared" si="30"/>
        <v>298.12</v>
      </c>
      <c r="R282" s="89">
        <v>453.56</v>
      </c>
      <c r="S282" s="92">
        <f t="shared" si="34"/>
        <v>1</v>
      </c>
      <c r="T282" s="59">
        <f t="shared" si="31"/>
        <v>-155.44</v>
      </c>
      <c r="U282" s="60">
        <f t="shared" si="32"/>
        <v>1.5214007782101167</v>
      </c>
      <c r="V282" s="59" t="str">
        <f t="array" ref="V282">_xlfn.IFS(S282=0,"Alta sin facturar",S282&gt;2,"Cliente",S282&gt;0,"Cliente nuevo")</f>
        <v>Cliente nuevo</v>
      </c>
      <c r="W282" s="59" t="str">
        <f t="shared" si="35"/>
        <v>Sin pago</v>
      </c>
      <c r="X282" s="3"/>
      <c r="Y282" s="3"/>
      <c r="Z282" s="3"/>
      <c r="AA282" s="3"/>
      <c r="AB282" s="3"/>
      <c r="AC282" s="3"/>
      <c r="AD282" s="3"/>
      <c r="AE282" s="3"/>
      <c r="AG282"/>
      <c r="AH282"/>
      <c r="AI282"/>
      <c r="AJ282"/>
      <c r="AK282"/>
      <c r="AL282"/>
      <c r="AM282"/>
      <c r="AN282"/>
    </row>
    <row r="283" spans="1:40" x14ac:dyDescent="0.25">
      <c r="A283" s="6">
        <v>44645</v>
      </c>
      <c r="B283" t="str">
        <f t="shared" si="29"/>
        <v>Marzo</v>
      </c>
      <c r="C283" s="1" t="s">
        <v>61</v>
      </c>
      <c r="D283" s="58" t="str">
        <f>VLOOKUP(Datos!$C283,$AQ$2:$AR$41,2,0)</f>
        <v>Centro</v>
      </c>
      <c r="E283" s="1">
        <v>23363</v>
      </c>
      <c r="F283" s="1" t="str">
        <f t="array" ref="F283">_xlfn.IFS(H283=0,"Alta sin facturar",H283&gt;2,"Cliente",H283&gt;0,"Cliente nuevo")</f>
        <v>Cliente nuevo</v>
      </c>
      <c r="G283" s="1"/>
      <c r="H283" s="1">
        <f t="shared" si="33"/>
        <v>2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89">
        <v>14053.400000000001</v>
      </c>
      <c r="O283" s="89">
        <v>0</v>
      </c>
      <c r="P283" s="89">
        <v>10640.679999999997</v>
      </c>
      <c r="Q283" s="54">
        <f t="shared" si="30"/>
        <v>24694.079999999998</v>
      </c>
      <c r="R283" s="89">
        <v>5414.88</v>
      </c>
      <c r="S283" s="92">
        <f t="shared" si="34"/>
        <v>2</v>
      </c>
      <c r="T283" s="59">
        <f t="shared" si="31"/>
        <v>19279.199999999997</v>
      </c>
      <c r="U283" s="60">
        <f t="shared" si="32"/>
        <v>0.21927846674182641</v>
      </c>
      <c r="V283" s="59" t="str">
        <f t="array" ref="V283">_xlfn.IFS(S283=0,"Alta sin facturar",S283&gt;2,"Cliente",S283&gt;0,"Cliente nuevo")</f>
        <v>Cliente nuevo</v>
      </c>
      <c r="W283" s="59" t="str">
        <f t="shared" si="35"/>
        <v>Ha pagado</v>
      </c>
      <c r="X283" s="3"/>
      <c r="Y283" s="3"/>
      <c r="Z283" s="3"/>
      <c r="AA283" s="3"/>
      <c r="AB283" s="3"/>
      <c r="AC283" s="3"/>
      <c r="AD283" s="3"/>
      <c r="AE283" s="3"/>
      <c r="AG283"/>
      <c r="AH283"/>
      <c r="AI283"/>
      <c r="AJ283"/>
      <c r="AK283"/>
      <c r="AL283"/>
      <c r="AM283"/>
      <c r="AN283"/>
    </row>
    <row r="284" spans="1:40" x14ac:dyDescent="0.25">
      <c r="A284" s="6">
        <v>44645</v>
      </c>
      <c r="B284" t="str">
        <f t="shared" si="29"/>
        <v>Marzo</v>
      </c>
      <c r="C284" s="1" t="s">
        <v>59</v>
      </c>
      <c r="D284" s="58" t="str">
        <f>VLOOKUP(Datos!$C284,$AQ$2:$AR$41,2,0)</f>
        <v>Magallanes</v>
      </c>
      <c r="E284" s="1">
        <v>23364</v>
      </c>
      <c r="F284" s="1" t="str">
        <f t="array" ref="F284">_xlfn.IFS(H284=0,"Alta sin facturar",H284&gt;2,"Cliente",H284&gt;0,"Cliente nuevo")</f>
        <v>Cliente nuevo</v>
      </c>
      <c r="G284" s="1"/>
      <c r="H284" s="1">
        <f t="shared" si="33"/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89">
        <v>0</v>
      </c>
      <c r="O284" s="89">
        <v>0</v>
      </c>
      <c r="P284" s="89">
        <v>581.16</v>
      </c>
      <c r="Q284" s="54">
        <f t="shared" si="30"/>
        <v>581.16</v>
      </c>
      <c r="R284" s="89"/>
      <c r="S284" s="92">
        <f t="shared" si="34"/>
        <v>1</v>
      </c>
      <c r="T284" s="59">
        <f t="shared" si="31"/>
        <v>581.16</v>
      </c>
      <c r="U284" s="60">
        <f t="shared" si="32"/>
        <v>0</v>
      </c>
      <c r="V284" s="59" t="str">
        <f t="array" ref="V284">_xlfn.IFS(S284=0,"Alta sin facturar",S284&gt;2,"Cliente",S284&gt;0,"Cliente nuevo")</f>
        <v>Cliente nuevo</v>
      </c>
      <c r="W284" s="59" t="str">
        <f t="shared" si="35"/>
        <v>Ha pagado</v>
      </c>
      <c r="X284" s="3"/>
      <c r="Y284" s="3"/>
      <c r="Z284" s="3"/>
      <c r="AA284" s="3"/>
      <c r="AB284" s="3"/>
      <c r="AC284" s="3"/>
      <c r="AD284" s="3"/>
      <c r="AE284" s="3"/>
      <c r="AG284"/>
      <c r="AH284"/>
      <c r="AI284"/>
      <c r="AJ284"/>
      <c r="AK284"/>
      <c r="AL284"/>
      <c r="AM284"/>
      <c r="AN284"/>
    </row>
    <row r="285" spans="1:40" x14ac:dyDescent="0.25">
      <c r="A285" s="6">
        <v>44645</v>
      </c>
      <c r="B285" t="str">
        <f t="shared" si="29"/>
        <v>Marzo</v>
      </c>
      <c r="C285" s="1" t="s">
        <v>66</v>
      </c>
      <c r="D285" s="58" t="str">
        <f>VLOOKUP(Datos!$C285,$AQ$2:$AR$41,2,0)</f>
        <v>Sur</v>
      </c>
      <c r="E285" s="1">
        <v>23365</v>
      </c>
      <c r="F285" s="1" t="str">
        <f t="array" ref="F285">_xlfn.IFS(H285=0,"Alta sin facturar",H285&gt;2,"Cliente",H285&gt;0,"Cliente nuevo")</f>
        <v>Cliente nuevo</v>
      </c>
      <c r="G285" s="1"/>
      <c r="H285" s="1">
        <f t="shared" si="33"/>
        <v>2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89">
        <v>5094.7199999999993</v>
      </c>
      <c r="O285" s="89">
        <v>0</v>
      </c>
      <c r="P285" s="89">
        <v>3485.7999999999997</v>
      </c>
      <c r="Q285" s="54">
        <f t="shared" si="30"/>
        <v>8580.5199999999986</v>
      </c>
      <c r="R285" s="89">
        <v>0</v>
      </c>
      <c r="S285" s="92">
        <f t="shared" si="34"/>
        <v>2</v>
      </c>
      <c r="T285" s="59">
        <f t="shared" si="31"/>
        <v>8580.5199999999986</v>
      </c>
      <c r="U285" s="60">
        <f t="shared" si="32"/>
        <v>0</v>
      </c>
      <c r="V285" s="59" t="str">
        <f t="array" ref="V285">_xlfn.IFS(S285=0,"Alta sin facturar",S285&gt;2,"Cliente",S285&gt;0,"Cliente nuevo")</f>
        <v>Cliente nuevo</v>
      </c>
      <c r="W285" s="59" t="str">
        <f t="shared" si="35"/>
        <v>Ha pagado</v>
      </c>
      <c r="X285" s="3"/>
      <c r="Y285" s="3"/>
      <c r="Z285" s="3"/>
      <c r="AA285" s="3"/>
      <c r="AB285" s="3"/>
      <c r="AC285" s="3"/>
      <c r="AD285" s="3"/>
      <c r="AE285" s="3"/>
      <c r="AG285"/>
      <c r="AH285"/>
      <c r="AI285"/>
      <c r="AJ285"/>
      <c r="AK285"/>
      <c r="AL285"/>
      <c r="AM285"/>
      <c r="AN285"/>
    </row>
    <row r="286" spans="1:40" x14ac:dyDescent="0.25">
      <c r="A286" s="6">
        <v>44645</v>
      </c>
      <c r="B286" t="str">
        <f t="shared" si="29"/>
        <v>Marzo</v>
      </c>
      <c r="C286" s="1" t="s">
        <v>97</v>
      </c>
      <c r="D286" s="58" t="str">
        <f>VLOOKUP(Datos!$C286,$AQ$2:$AR$41,2,0)</f>
        <v>Centro</v>
      </c>
      <c r="E286" s="1">
        <v>23366</v>
      </c>
      <c r="F286" s="1" t="str">
        <f t="array" ref="F286">_xlfn.IFS(H286=0,"Alta sin facturar",H286&gt;2,"Cliente",H286&gt;0,"Cliente nuevo")</f>
        <v>Alta sin facturar</v>
      </c>
      <c r="G286" s="1"/>
      <c r="H286" s="1">
        <f t="shared" si="33"/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89">
        <v>0</v>
      </c>
      <c r="O286" s="89">
        <v>0</v>
      </c>
      <c r="P286" s="89">
        <v>0</v>
      </c>
      <c r="Q286" s="54">
        <f t="shared" si="30"/>
        <v>0</v>
      </c>
      <c r="R286" s="89"/>
      <c r="S286" s="92">
        <f t="shared" si="34"/>
        <v>0</v>
      </c>
      <c r="T286" s="59">
        <f t="shared" si="31"/>
        <v>0</v>
      </c>
      <c r="U286" s="60">
        <f t="shared" si="32"/>
        <v>0</v>
      </c>
      <c r="V286" s="59" t="str">
        <f t="array" ref="V286">_xlfn.IFS(S286=0,"Alta sin facturar",S286&gt;2,"Cliente",S286&gt;0,"Cliente nuevo")</f>
        <v>Alta sin facturar</v>
      </c>
      <c r="W286" s="59" t="str">
        <f t="shared" si="35"/>
        <v>Sin pago</v>
      </c>
      <c r="X286" s="3"/>
      <c r="Y286" s="3"/>
      <c r="Z286" s="3"/>
      <c r="AA286" s="3"/>
      <c r="AB286" s="3"/>
      <c r="AC286" s="3"/>
      <c r="AD286" s="3"/>
      <c r="AE286" s="3"/>
      <c r="AG286"/>
      <c r="AH286"/>
      <c r="AI286"/>
      <c r="AJ286"/>
      <c r="AK286"/>
      <c r="AL286"/>
      <c r="AM286"/>
      <c r="AN286"/>
    </row>
    <row r="287" spans="1:40" x14ac:dyDescent="0.25">
      <c r="A287" s="6">
        <v>44646</v>
      </c>
      <c r="B287" t="str">
        <f t="shared" si="29"/>
        <v>Marzo</v>
      </c>
      <c r="C287" s="1" t="s">
        <v>63</v>
      </c>
      <c r="D287" s="58" t="str">
        <f>VLOOKUP(Datos!$C287,$AQ$2:$AR$41,2,0)</f>
        <v>Centro</v>
      </c>
      <c r="E287" s="1">
        <v>23367</v>
      </c>
      <c r="F287" s="1" t="str">
        <f t="array" ref="F287">_xlfn.IFS(H287=0,"Alta sin facturar",H287&gt;2,"Cliente",H287&gt;0,"Cliente nuevo")</f>
        <v>Alta sin facturar</v>
      </c>
      <c r="G287" s="1"/>
      <c r="H287" s="1">
        <f t="shared" si="33"/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89">
        <v>0</v>
      </c>
      <c r="O287" s="89">
        <v>0</v>
      </c>
      <c r="P287" s="89">
        <v>0</v>
      </c>
      <c r="Q287" s="54">
        <f t="shared" si="30"/>
        <v>0</v>
      </c>
      <c r="R287" s="89"/>
      <c r="S287" s="92">
        <f t="shared" si="34"/>
        <v>0</v>
      </c>
      <c r="T287" s="59">
        <f t="shared" si="31"/>
        <v>0</v>
      </c>
      <c r="U287" s="60">
        <f t="shared" si="32"/>
        <v>0</v>
      </c>
      <c r="V287" s="59" t="str">
        <f t="array" ref="V287">_xlfn.IFS(S287=0,"Alta sin facturar",S287&gt;2,"Cliente",S287&gt;0,"Cliente nuevo")</f>
        <v>Alta sin facturar</v>
      </c>
      <c r="W287" s="59" t="str">
        <f t="shared" si="35"/>
        <v>Sin pago</v>
      </c>
      <c r="X287" s="3"/>
      <c r="Y287" s="3"/>
      <c r="Z287" s="3"/>
      <c r="AA287" s="3"/>
      <c r="AB287" s="3"/>
      <c r="AC287" s="3"/>
      <c r="AD287" s="3"/>
      <c r="AE287" s="3"/>
      <c r="AG287"/>
      <c r="AH287"/>
      <c r="AI287"/>
      <c r="AJ287"/>
      <c r="AK287"/>
      <c r="AL287"/>
      <c r="AM287"/>
      <c r="AN287"/>
    </row>
    <row r="288" spans="1:40" x14ac:dyDescent="0.25">
      <c r="A288" s="6">
        <v>44646</v>
      </c>
      <c r="B288" t="str">
        <f t="shared" si="29"/>
        <v>Marzo</v>
      </c>
      <c r="C288" s="1" t="s">
        <v>35</v>
      </c>
      <c r="D288" s="58" t="str">
        <f>VLOOKUP(Datos!$C288,$AQ$2:$AR$41,2,0)</f>
        <v>Centro</v>
      </c>
      <c r="E288" s="1">
        <v>23368</v>
      </c>
      <c r="F288" s="1" t="str">
        <f t="array" ref="F288">_xlfn.IFS(H288=0,"Alta sin facturar",H288&gt;2,"Cliente",H288&gt;0,"Cliente nuevo")</f>
        <v>Cliente nuevo</v>
      </c>
      <c r="G288" s="1"/>
      <c r="H288" s="1">
        <f t="shared" si="33"/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89">
        <v>1468.56</v>
      </c>
      <c r="O288" s="89">
        <v>0</v>
      </c>
      <c r="P288" s="89">
        <v>0</v>
      </c>
      <c r="Q288" s="54">
        <f t="shared" si="30"/>
        <v>1468.56</v>
      </c>
      <c r="R288" s="89">
        <v>0</v>
      </c>
      <c r="S288" s="92">
        <f t="shared" si="34"/>
        <v>1</v>
      </c>
      <c r="T288" s="59">
        <f t="shared" si="31"/>
        <v>1468.56</v>
      </c>
      <c r="U288" s="60">
        <f t="shared" si="32"/>
        <v>0</v>
      </c>
      <c r="V288" s="59" t="str">
        <f t="array" ref="V288">_xlfn.IFS(S288=0,"Alta sin facturar",S288&gt;2,"Cliente",S288&gt;0,"Cliente nuevo")</f>
        <v>Cliente nuevo</v>
      </c>
      <c r="W288" s="59" t="str">
        <f t="shared" si="35"/>
        <v>Ha pagado</v>
      </c>
      <c r="X288" s="3"/>
      <c r="Y288" s="3"/>
      <c r="Z288" s="3"/>
      <c r="AA288" s="3"/>
      <c r="AB288" s="3"/>
      <c r="AC288" s="3"/>
      <c r="AD288" s="3"/>
      <c r="AE288" s="3"/>
      <c r="AG288"/>
      <c r="AH288"/>
      <c r="AI288"/>
      <c r="AJ288"/>
      <c r="AK288"/>
      <c r="AL288"/>
      <c r="AM288"/>
      <c r="AN288"/>
    </row>
    <row r="289" spans="1:40" x14ac:dyDescent="0.25">
      <c r="A289" s="6">
        <v>44646</v>
      </c>
      <c r="B289" t="str">
        <f t="shared" si="29"/>
        <v>Marzo</v>
      </c>
      <c r="C289" s="1" t="s">
        <v>39</v>
      </c>
      <c r="D289" s="58" t="str">
        <f>VLOOKUP(Datos!$C289,$AQ$2:$AR$41,2,0)</f>
        <v>Sur</v>
      </c>
      <c r="E289" s="1">
        <v>23369</v>
      </c>
      <c r="F289" s="1" t="str">
        <f t="array" ref="F289">_xlfn.IFS(H289=0,"Alta sin facturar",H289&gt;2,"Cliente",H289&gt;0,"Cliente nuevo")</f>
        <v>Cliente</v>
      </c>
      <c r="G289" s="1"/>
      <c r="H289" s="1">
        <f t="shared" si="33"/>
        <v>5</v>
      </c>
      <c r="I289" s="2">
        <v>0</v>
      </c>
      <c r="J289" s="2">
        <v>0</v>
      </c>
      <c r="K289" s="2">
        <v>0</v>
      </c>
      <c r="L289" s="2">
        <v>8153.64</v>
      </c>
      <c r="M289" s="2">
        <v>5487.9599999999991</v>
      </c>
      <c r="N289" s="89">
        <v>3911.5200000000004</v>
      </c>
      <c r="O289" s="89">
        <v>7651.36</v>
      </c>
      <c r="P289" s="89">
        <v>4584.32</v>
      </c>
      <c r="Q289" s="54">
        <f t="shared" si="30"/>
        <v>29788.799999999999</v>
      </c>
      <c r="R289" s="89">
        <v>0</v>
      </c>
      <c r="S289" s="92">
        <f t="shared" si="34"/>
        <v>5</v>
      </c>
      <c r="T289" s="59">
        <f t="shared" si="31"/>
        <v>29788.799999999999</v>
      </c>
      <c r="U289" s="60">
        <f t="shared" si="32"/>
        <v>0</v>
      </c>
      <c r="V289" s="59" t="str">
        <f t="array" ref="V289">_xlfn.IFS(S289=0,"Alta sin facturar",S289&gt;2,"Cliente",S289&gt;0,"Cliente nuevo")</f>
        <v>Cliente</v>
      </c>
      <c r="W289" s="59" t="str">
        <f t="shared" si="35"/>
        <v>Ha pagado</v>
      </c>
      <c r="X289" s="3"/>
      <c r="Y289" s="3"/>
      <c r="Z289" s="3"/>
      <c r="AA289" s="3"/>
      <c r="AB289" s="3"/>
      <c r="AC289" s="3"/>
      <c r="AD289" s="3"/>
      <c r="AE289" s="3"/>
      <c r="AG289"/>
      <c r="AH289"/>
      <c r="AI289"/>
      <c r="AJ289"/>
      <c r="AK289"/>
      <c r="AL289"/>
      <c r="AM289"/>
      <c r="AN289"/>
    </row>
    <row r="290" spans="1:40" x14ac:dyDescent="0.25">
      <c r="A290" s="6">
        <v>44646</v>
      </c>
      <c r="B290" t="str">
        <f t="shared" si="29"/>
        <v>Marzo</v>
      </c>
      <c r="C290" s="1" t="s">
        <v>75</v>
      </c>
      <c r="D290" s="58" t="str">
        <f>VLOOKUP(Datos!$C290,$AQ$2:$AR$41,2,0)</f>
        <v>Centro</v>
      </c>
      <c r="E290" s="1">
        <v>23370</v>
      </c>
      <c r="F290" s="1" t="str">
        <f t="array" ref="F290">_xlfn.IFS(H290=0,"Alta sin facturar",H290&gt;2,"Cliente",H290&gt;0,"Cliente nuevo")</f>
        <v>Alta sin facturar</v>
      </c>
      <c r="G290" s="1"/>
      <c r="H290" s="1">
        <f t="shared" si="33"/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89">
        <v>0</v>
      </c>
      <c r="O290" s="89">
        <v>0</v>
      </c>
      <c r="P290" s="89">
        <v>0</v>
      </c>
      <c r="Q290" s="54">
        <f t="shared" si="30"/>
        <v>0</v>
      </c>
      <c r="R290" s="89"/>
      <c r="S290" s="92">
        <f t="shared" si="34"/>
        <v>0</v>
      </c>
      <c r="T290" s="59">
        <f t="shared" si="31"/>
        <v>0</v>
      </c>
      <c r="U290" s="60">
        <f t="shared" si="32"/>
        <v>0</v>
      </c>
      <c r="V290" s="59" t="str">
        <f t="array" ref="V290">_xlfn.IFS(S290=0,"Alta sin facturar",S290&gt;2,"Cliente",S290&gt;0,"Cliente nuevo")</f>
        <v>Alta sin facturar</v>
      </c>
      <c r="W290" s="59" t="str">
        <f t="shared" si="35"/>
        <v>Sin pago</v>
      </c>
      <c r="X290" s="3"/>
      <c r="Y290" s="3"/>
      <c r="Z290" s="3"/>
      <c r="AA290" s="3"/>
      <c r="AB290" s="3"/>
      <c r="AC290" s="3"/>
      <c r="AD290" s="3"/>
      <c r="AE290" s="3"/>
      <c r="AG290"/>
      <c r="AH290"/>
      <c r="AI290"/>
      <c r="AJ290"/>
      <c r="AK290"/>
      <c r="AL290"/>
      <c r="AM290"/>
      <c r="AN290"/>
    </row>
    <row r="291" spans="1:40" x14ac:dyDescent="0.25">
      <c r="A291" s="6">
        <v>44646</v>
      </c>
      <c r="B291" t="str">
        <f t="shared" si="29"/>
        <v>Marzo</v>
      </c>
      <c r="C291" s="1" t="s">
        <v>39</v>
      </c>
      <c r="D291" s="58" t="str">
        <f>VLOOKUP(Datos!$C291,$AQ$2:$AR$41,2,0)</f>
        <v>Sur</v>
      </c>
      <c r="E291" s="1">
        <v>23371</v>
      </c>
      <c r="F291" s="1" t="str">
        <f t="array" ref="F291">_xlfn.IFS(H291=0,"Alta sin facturar",H291&gt;2,"Cliente",H291&gt;0,"Cliente nuevo")</f>
        <v>Cliente</v>
      </c>
      <c r="G291" s="1"/>
      <c r="H291" s="1">
        <f t="shared" si="33"/>
        <v>6</v>
      </c>
      <c r="I291" s="2">
        <v>0</v>
      </c>
      <c r="J291" s="2">
        <v>0</v>
      </c>
      <c r="K291" s="2">
        <v>465.15999999999997</v>
      </c>
      <c r="L291" s="2">
        <v>2586.7999999999997</v>
      </c>
      <c r="M291" s="2">
        <v>1336.32</v>
      </c>
      <c r="N291" s="89">
        <v>342.2</v>
      </c>
      <c r="O291" s="89">
        <v>1221.48</v>
      </c>
      <c r="P291" s="89">
        <v>930.31999999999994</v>
      </c>
      <c r="Q291" s="54">
        <f t="shared" si="30"/>
        <v>6882.2799999999988</v>
      </c>
      <c r="R291" s="89">
        <v>0</v>
      </c>
      <c r="S291" s="92">
        <f t="shared" si="34"/>
        <v>6</v>
      </c>
      <c r="T291" s="59">
        <f t="shared" si="31"/>
        <v>6882.2799999999988</v>
      </c>
      <c r="U291" s="60">
        <f t="shared" si="32"/>
        <v>0</v>
      </c>
      <c r="V291" s="59" t="str">
        <f t="array" ref="V291">_xlfn.IFS(S291=0,"Alta sin facturar",S291&gt;2,"Cliente",S291&gt;0,"Cliente nuevo")</f>
        <v>Cliente</v>
      </c>
      <c r="W291" s="59" t="str">
        <f t="shared" si="35"/>
        <v>Ha pagado</v>
      </c>
      <c r="X291" s="3"/>
      <c r="Y291" s="3"/>
      <c r="Z291" s="3"/>
      <c r="AA291" s="3"/>
      <c r="AB291" s="3"/>
      <c r="AC291" s="3"/>
      <c r="AD291" s="3"/>
      <c r="AE291" s="3"/>
      <c r="AG291"/>
      <c r="AH291"/>
      <c r="AI291"/>
      <c r="AJ291"/>
      <c r="AK291"/>
      <c r="AL291"/>
      <c r="AM291"/>
      <c r="AN291"/>
    </row>
    <row r="292" spans="1:40" x14ac:dyDescent="0.25">
      <c r="A292" s="6">
        <v>44646</v>
      </c>
      <c r="B292" t="str">
        <f t="shared" si="29"/>
        <v>Marzo</v>
      </c>
      <c r="C292" s="1" t="s">
        <v>35</v>
      </c>
      <c r="D292" s="58" t="str">
        <f>VLOOKUP(Datos!$C292,$AQ$2:$AR$41,2,0)</f>
        <v>Centro</v>
      </c>
      <c r="E292" s="1">
        <v>23372</v>
      </c>
      <c r="F292" s="1" t="str">
        <f t="array" ref="F292">_xlfn.IFS(H292=0,"Alta sin facturar",H292&gt;2,"Cliente",H292&gt;0,"Cliente nuevo")</f>
        <v>Alta sin facturar</v>
      </c>
      <c r="G292" s="1"/>
      <c r="H292" s="1">
        <f t="shared" si="33"/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89">
        <v>0</v>
      </c>
      <c r="O292" s="89">
        <v>0</v>
      </c>
      <c r="P292" s="89">
        <v>0</v>
      </c>
      <c r="Q292" s="54">
        <f t="shared" si="30"/>
        <v>0</v>
      </c>
      <c r="R292" s="89">
        <v>81.2</v>
      </c>
      <c r="S292" s="92">
        <f t="shared" si="34"/>
        <v>0</v>
      </c>
      <c r="T292" s="59">
        <f t="shared" si="31"/>
        <v>-81.2</v>
      </c>
      <c r="U292" s="60">
        <f t="shared" si="32"/>
        <v>0</v>
      </c>
      <c r="V292" s="59" t="str">
        <f t="array" ref="V292">_xlfn.IFS(S292=0,"Alta sin facturar",S292&gt;2,"Cliente",S292&gt;0,"Cliente nuevo")</f>
        <v>Alta sin facturar</v>
      </c>
      <c r="W292" s="59" t="str">
        <f t="shared" si="35"/>
        <v>Sin pago</v>
      </c>
      <c r="X292" s="3"/>
      <c r="Y292" s="3"/>
      <c r="Z292" s="3"/>
      <c r="AA292" s="3"/>
      <c r="AB292" s="3"/>
      <c r="AC292" s="3"/>
      <c r="AD292" s="3"/>
      <c r="AE292" s="3"/>
      <c r="AG292"/>
      <c r="AH292"/>
      <c r="AI292"/>
      <c r="AJ292"/>
      <c r="AK292"/>
      <c r="AL292"/>
      <c r="AM292"/>
      <c r="AN292"/>
    </row>
    <row r="293" spans="1:40" x14ac:dyDescent="0.25">
      <c r="A293" s="6">
        <v>44648</v>
      </c>
      <c r="B293" t="str">
        <f t="shared" si="29"/>
        <v>Marzo</v>
      </c>
      <c r="C293" s="1" t="s">
        <v>60</v>
      </c>
      <c r="D293" s="58" t="str">
        <f>VLOOKUP(Datos!$C293,$AQ$2:$AR$41,2,0)</f>
        <v>Norte</v>
      </c>
      <c r="E293" s="1">
        <v>23373</v>
      </c>
      <c r="F293" s="1" t="str">
        <f t="array" ref="F293">_xlfn.IFS(H293=0,"Alta sin facturar",H293&gt;2,"Cliente",H293&gt;0,"Cliente nuevo")</f>
        <v>Cliente nuevo</v>
      </c>
      <c r="G293" s="1"/>
      <c r="H293" s="1">
        <f t="shared" si="33"/>
        <v>1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89">
        <v>0</v>
      </c>
      <c r="O293" s="89">
        <v>0</v>
      </c>
      <c r="P293" s="89">
        <v>1670.3999999999996</v>
      </c>
      <c r="Q293" s="54">
        <f t="shared" si="30"/>
        <v>1670.3999999999996</v>
      </c>
      <c r="R293" s="89"/>
      <c r="S293" s="92">
        <f t="shared" si="34"/>
        <v>1</v>
      </c>
      <c r="T293" s="59">
        <f t="shared" si="31"/>
        <v>1670.3999999999996</v>
      </c>
      <c r="U293" s="60">
        <f t="shared" si="32"/>
        <v>0</v>
      </c>
      <c r="V293" s="59" t="str">
        <f t="array" ref="V293">_xlfn.IFS(S293=0,"Alta sin facturar",S293&gt;2,"Cliente",S293&gt;0,"Cliente nuevo")</f>
        <v>Cliente nuevo</v>
      </c>
      <c r="W293" s="59" t="str">
        <f t="shared" si="35"/>
        <v>Ha pagado</v>
      </c>
      <c r="X293" s="3"/>
      <c r="Y293" s="3"/>
      <c r="Z293" s="3"/>
      <c r="AA293" s="3"/>
      <c r="AB293" s="3"/>
      <c r="AC293" s="3"/>
      <c r="AD293" s="3"/>
      <c r="AE293" s="3"/>
      <c r="AG293"/>
      <c r="AH293"/>
      <c r="AI293"/>
      <c r="AJ293"/>
      <c r="AK293"/>
      <c r="AL293"/>
      <c r="AM293"/>
      <c r="AN293"/>
    </row>
    <row r="294" spans="1:40" x14ac:dyDescent="0.25">
      <c r="A294" s="6">
        <v>44648</v>
      </c>
      <c r="B294" t="str">
        <f t="shared" si="29"/>
        <v>Marzo</v>
      </c>
      <c r="C294" s="1" t="s">
        <v>66</v>
      </c>
      <c r="D294" s="58" t="str">
        <f>VLOOKUP(Datos!$C294,$AQ$2:$AR$41,2,0)</f>
        <v>Sur</v>
      </c>
      <c r="E294" s="1">
        <v>23374</v>
      </c>
      <c r="F294" s="1" t="str">
        <f t="array" ref="F294">_xlfn.IFS(H294=0,"Alta sin facturar",H294&gt;2,"Cliente",H294&gt;0,"Cliente nuevo")</f>
        <v>Cliente nuevo</v>
      </c>
      <c r="G294" s="1"/>
      <c r="H294" s="1">
        <f t="shared" si="33"/>
        <v>2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89">
        <v>2343.1999999999998</v>
      </c>
      <c r="O294" s="89">
        <v>0</v>
      </c>
      <c r="P294" s="89">
        <v>437.32</v>
      </c>
      <c r="Q294" s="54">
        <f t="shared" si="30"/>
        <v>2780.52</v>
      </c>
      <c r="R294" s="89">
        <v>252.88</v>
      </c>
      <c r="S294" s="92">
        <f t="shared" si="34"/>
        <v>2</v>
      </c>
      <c r="T294" s="59">
        <f t="shared" si="31"/>
        <v>2527.64</v>
      </c>
      <c r="U294" s="60">
        <f t="shared" si="32"/>
        <v>9.0947017104714228E-2</v>
      </c>
      <c r="V294" s="59" t="str">
        <f t="array" ref="V294">_xlfn.IFS(S294=0,"Alta sin facturar",S294&gt;2,"Cliente",S294&gt;0,"Cliente nuevo")</f>
        <v>Cliente nuevo</v>
      </c>
      <c r="W294" s="59" t="str">
        <f t="shared" si="35"/>
        <v>Ha pagado</v>
      </c>
      <c r="X294" s="3"/>
      <c r="Y294" s="3"/>
      <c r="Z294" s="3"/>
      <c r="AA294" s="3"/>
      <c r="AB294" s="3"/>
      <c r="AC294" s="3"/>
      <c r="AD294" s="3"/>
      <c r="AE294" s="3"/>
      <c r="AG294"/>
      <c r="AH294"/>
      <c r="AI294"/>
      <c r="AJ294"/>
      <c r="AK294"/>
      <c r="AL294"/>
      <c r="AM294"/>
      <c r="AN294"/>
    </row>
    <row r="295" spans="1:40" x14ac:dyDescent="0.25">
      <c r="A295" s="6">
        <v>44649</v>
      </c>
      <c r="B295" t="str">
        <f t="shared" si="29"/>
        <v>Marzo</v>
      </c>
      <c r="C295" s="1" t="s">
        <v>36</v>
      </c>
      <c r="D295" s="58" t="str">
        <f>VLOOKUP(Datos!$C295,$AQ$2:$AR$41,2,0)</f>
        <v>Magallanes</v>
      </c>
      <c r="E295" s="1">
        <v>23375</v>
      </c>
      <c r="F295" s="1" t="str">
        <f t="array" ref="F295">_xlfn.IFS(H295=0,"Alta sin facturar",H295&gt;2,"Cliente",H295&gt;0,"Cliente nuevo")</f>
        <v>Cliente nuevo</v>
      </c>
      <c r="G295" s="1"/>
      <c r="H295" s="1">
        <f t="shared" si="33"/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89">
        <v>0</v>
      </c>
      <c r="O295" s="89">
        <v>0</v>
      </c>
      <c r="P295" s="89">
        <v>12091.839999999997</v>
      </c>
      <c r="Q295" s="54">
        <f t="shared" si="30"/>
        <v>12091.839999999997</v>
      </c>
      <c r="R295" s="89">
        <v>2032.32</v>
      </c>
      <c r="S295" s="92">
        <f t="shared" si="34"/>
        <v>1</v>
      </c>
      <c r="T295" s="59">
        <f t="shared" si="31"/>
        <v>10059.519999999997</v>
      </c>
      <c r="U295" s="60">
        <f t="shared" si="32"/>
        <v>0.16807367613200311</v>
      </c>
      <c r="V295" s="59" t="str">
        <f t="array" ref="V295">_xlfn.IFS(S295=0,"Alta sin facturar",S295&gt;2,"Cliente",S295&gt;0,"Cliente nuevo")</f>
        <v>Cliente nuevo</v>
      </c>
      <c r="W295" s="59" t="str">
        <f t="shared" si="35"/>
        <v>Ha pagado</v>
      </c>
      <c r="X295" s="3"/>
      <c r="Y295" s="3"/>
      <c r="Z295" s="3"/>
      <c r="AA295" s="3"/>
      <c r="AB295" s="3"/>
      <c r="AC295" s="3"/>
      <c r="AD295" s="3"/>
      <c r="AE295" s="3"/>
      <c r="AG295"/>
      <c r="AH295"/>
      <c r="AI295"/>
      <c r="AJ295"/>
      <c r="AK295"/>
      <c r="AL295"/>
      <c r="AM295"/>
      <c r="AN295"/>
    </row>
    <row r="296" spans="1:40" x14ac:dyDescent="0.25">
      <c r="A296" s="6">
        <v>44649</v>
      </c>
      <c r="B296" t="str">
        <f t="shared" si="29"/>
        <v>Marzo</v>
      </c>
      <c r="C296" s="1" t="s">
        <v>35</v>
      </c>
      <c r="D296" s="58" t="str">
        <f>VLOOKUP(Datos!$C296,$AQ$2:$AR$41,2,0)</f>
        <v>Centro</v>
      </c>
      <c r="E296" s="1">
        <v>23376</v>
      </c>
      <c r="F296" s="1" t="str">
        <f t="array" ref="F296">_xlfn.IFS(H296=0,"Alta sin facturar",H296&gt;2,"Cliente",H296&gt;0,"Cliente nuevo")</f>
        <v>Alta sin facturar</v>
      </c>
      <c r="G296" s="1"/>
      <c r="H296" s="1">
        <f t="shared" si="33"/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89">
        <v>0</v>
      </c>
      <c r="O296" s="89">
        <v>0</v>
      </c>
      <c r="P296" s="89">
        <v>0</v>
      </c>
      <c r="Q296" s="54">
        <f t="shared" si="30"/>
        <v>0</v>
      </c>
      <c r="R296" s="89"/>
      <c r="S296" s="92">
        <f t="shared" si="34"/>
        <v>0</v>
      </c>
      <c r="T296" s="59">
        <f t="shared" si="31"/>
        <v>0</v>
      </c>
      <c r="U296" s="60">
        <f t="shared" si="32"/>
        <v>0</v>
      </c>
      <c r="V296" s="59" t="str">
        <f t="array" ref="V296">_xlfn.IFS(S296=0,"Alta sin facturar",S296&gt;2,"Cliente",S296&gt;0,"Cliente nuevo")</f>
        <v>Alta sin facturar</v>
      </c>
      <c r="W296" s="59" t="str">
        <f t="shared" si="35"/>
        <v>Sin pago</v>
      </c>
      <c r="X296" s="3"/>
      <c r="Y296" s="3"/>
      <c r="Z296" s="3"/>
      <c r="AA296" s="3"/>
      <c r="AB296" s="3"/>
      <c r="AC296" s="3"/>
      <c r="AD296" s="3"/>
      <c r="AE296" s="3"/>
      <c r="AG296"/>
      <c r="AH296"/>
      <c r="AI296"/>
      <c r="AJ296"/>
      <c r="AK296"/>
      <c r="AL296"/>
      <c r="AM296"/>
      <c r="AN296"/>
    </row>
    <row r="297" spans="1:40" x14ac:dyDescent="0.25">
      <c r="A297" s="6">
        <v>44649</v>
      </c>
      <c r="B297" t="str">
        <f t="shared" si="29"/>
        <v>Marzo</v>
      </c>
      <c r="C297" s="1" t="s">
        <v>35</v>
      </c>
      <c r="D297" s="58" t="str">
        <f>VLOOKUP(Datos!$C297,$AQ$2:$AR$41,2,0)</f>
        <v>Centro</v>
      </c>
      <c r="E297" s="1">
        <v>23377</v>
      </c>
      <c r="F297" s="1" t="str">
        <f t="array" ref="F297">_xlfn.IFS(H297=0,"Alta sin facturar",H297&gt;2,"Cliente",H297&gt;0,"Cliente nuevo")</f>
        <v>Alta sin facturar</v>
      </c>
      <c r="G297" s="1"/>
      <c r="H297" s="1">
        <f t="shared" si="33"/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89">
        <v>0</v>
      </c>
      <c r="O297" s="89">
        <v>0</v>
      </c>
      <c r="P297" s="89">
        <v>0</v>
      </c>
      <c r="Q297" s="54">
        <f t="shared" si="30"/>
        <v>0</v>
      </c>
      <c r="R297" s="89"/>
      <c r="S297" s="92">
        <f t="shared" si="34"/>
        <v>0</v>
      </c>
      <c r="T297" s="59">
        <f t="shared" si="31"/>
        <v>0</v>
      </c>
      <c r="U297" s="60">
        <f t="shared" si="32"/>
        <v>0</v>
      </c>
      <c r="V297" s="59" t="str">
        <f t="array" ref="V297">_xlfn.IFS(S297=0,"Alta sin facturar",S297&gt;2,"Cliente",S297&gt;0,"Cliente nuevo")</f>
        <v>Alta sin facturar</v>
      </c>
      <c r="W297" s="59" t="str">
        <f t="shared" si="35"/>
        <v>Sin pago</v>
      </c>
      <c r="X297" s="3"/>
      <c r="Y297" s="3"/>
      <c r="Z297" s="3"/>
      <c r="AA297" s="3"/>
      <c r="AB297" s="3"/>
      <c r="AC297" s="3"/>
      <c r="AD297" s="3"/>
      <c r="AE297" s="3"/>
      <c r="AG297"/>
      <c r="AH297"/>
      <c r="AI297"/>
      <c r="AJ297"/>
      <c r="AK297"/>
      <c r="AL297"/>
      <c r="AM297"/>
      <c r="AN297"/>
    </row>
    <row r="298" spans="1:40" x14ac:dyDescent="0.25">
      <c r="A298" s="6">
        <v>44649</v>
      </c>
      <c r="B298" t="str">
        <f t="shared" si="29"/>
        <v>Marzo</v>
      </c>
      <c r="C298" s="1" t="s">
        <v>33</v>
      </c>
      <c r="D298" s="58" t="str">
        <f>VLOOKUP(Datos!$C298,$AQ$2:$AR$41,2,0)</f>
        <v>Magallanes</v>
      </c>
      <c r="E298" s="1">
        <v>23378</v>
      </c>
      <c r="F298" s="1" t="str">
        <f t="array" ref="F298">_xlfn.IFS(H298=0,"Alta sin facturar",H298&gt;2,"Cliente",H298&gt;0,"Cliente nuevo")</f>
        <v>Cliente nuevo</v>
      </c>
      <c r="G298" s="1"/>
      <c r="H298" s="1">
        <f t="shared" si="33"/>
        <v>1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89">
        <v>401.36</v>
      </c>
      <c r="O298" s="89">
        <v>0</v>
      </c>
      <c r="P298" s="89">
        <v>0</v>
      </c>
      <c r="Q298" s="54">
        <f t="shared" si="30"/>
        <v>401.36</v>
      </c>
      <c r="R298" s="89">
        <v>1003.4</v>
      </c>
      <c r="S298" s="92">
        <f t="shared" si="34"/>
        <v>1</v>
      </c>
      <c r="T298" s="59">
        <f t="shared" si="31"/>
        <v>-602.04</v>
      </c>
      <c r="U298" s="60">
        <f t="shared" si="32"/>
        <v>2.5</v>
      </c>
      <c r="V298" s="59" t="str">
        <f t="array" ref="V298">_xlfn.IFS(S298=0,"Alta sin facturar",S298&gt;2,"Cliente",S298&gt;0,"Cliente nuevo")</f>
        <v>Cliente nuevo</v>
      </c>
      <c r="W298" s="59" t="str">
        <f t="shared" si="35"/>
        <v>Sin pago</v>
      </c>
      <c r="X298" s="3"/>
      <c r="Y298" s="3"/>
      <c r="Z298" s="3"/>
      <c r="AA298" s="3"/>
      <c r="AB298" s="3"/>
      <c r="AC298" s="3"/>
      <c r="AD298" s="3"/>
      <c r="AE298" s="3"/>
      <c r="AG298"/>
      <c r="AH298"/>
      <c r="AI298"/>
      <c r="AJ298"/>
      <c r="AK298"/>
      <c r="AL298"/>
      <c r="AM298"/>
      <c r="AN298"/>
    </row>
    <row r="299" spans="1:40" x14ac:dyDescent="0.25">
      <c r="A299" s="6">
        <v>44649</v>
      </c>
      <c r="B299" t="str">
        <f t="shared" si="29"/>
        <v>Marzo</v>
      </c>
      <c r="C299" s="1" t="s">
        <v>102</v>
      </c>
      <c r="D299" s="58" t="str">
        <f>VLOOKUP(Datos!$C299,$AQ$2:$AR$41,2,0)</f>
        <v>Sur</v>
      </c>
      <c r="E299" s="1">
        <v>23379</v>
      </c>
      <c r="F299" s="1" t="str">
        <f t="array" ref="F299">_xlfn.IFS(H299=0,"Alta sin facturar",H299&gt;2,"Cliente",H299&gt;0,"Cliente nuevo")</f>
        <v>Cliente nuevo</v>
      </c>
      <c r="G299" s="1"/>
      <c r="H299" s="1">
        <f t="shared" si="33"/>
        <v>2</v>
      </c>
      <c r="I299" s="2">
        <v>0</v>
      </c>
      <c r="J299" s="2">
        <v>0</v>
      </c>
      <c r="K299" s="2">
        <v>0</v>
      </c>
      <c r="L299" s="2">
        <v>0</v>
      </c>
      <c r="M299" s="2">
        <v>890.87999999999988</v>
      </c>
      <c r="N299" s="89">
        <v>1052.1199999999999</v>
      </c>
      <c r="O299" s="89">
        <v>0</v>
      </c>
      <c r="P299" s="89">
        <v>0</v>
      </c>
      <c r="Q299" s="54">
        <f t="shared" si="30"/>
        <v>1942.9999999999998</v>
      </c>
      <c r="R299" s="89">
        <v>0</v>
      </c>
      <c r="S299" s="92">
        <f t="shared" si="34"/>
        <v>2</v>
      </c>
      <c r="T299" s="59">
        <f t="shared" si="31"/>
        <v>1942.9999999999998</v>
      </c>
      <c r="U299" s="60">
        <f t="shared" si="32"/>
        <v>0</v>
      </c>
      <c r="V299" s="59" t="str">
        <f t="array" ref="V299">_xlfn.IFS(S299=0,"Alta sin facturar",S299&gt;2,"Cliente",S299&gt;0,"Cliente nuevo")</f>
        <v>Cliente nuevo</v>
      </c>
      <c r="W299" s="59" t="str">
        <f t="shared" si="35"/>
        <v>Ha pagado</v>
      </c>
      <c r="X299" s="3"/>
      <c r="Y299" s="3"/>
      <c r="Z299" s="3"/>
      <c r="AA299" s="3"/>
      <c r="AB299" s="3"/>
      <c r="AC299" s="3"/>
      <c r="AD299" s="3"/>
      <c r="AE299" s="3"/>
      <c r="AG299"/>
      <c r="AH299"/>
      <c r="AI299"/>
      <c r="AJ299"/>
      <c r="AK299"/>
      <c r="AL299"/>
      <c r="AM299"/>
      <c r="AN299"/>
    </row>
    <row r="300" spans="1:40" x14ac:dyDescent="0.25">
      <c r="A300" s="6">
        <v>44650</v>
      </c>
      <c r="B300" t="str">
        <f t="shared" si="29"/>
        <v>Marzo</v>
      </c>
      <c r="C300" s="1" t="s">
        <v>32</v>
      </c>
      <c r="D300" s="58" t="str">
        <f>VLOOKUP(Datos!$C300,$AQ$2:$AR$41,2,0)</f>
        <v>Norte</v>
      </c>
      <c r="E300" s="1">
        <v>23380</v>
      </c>
      <c r="F300" s="1" t="str">
        <f t="array" ref="F300">_xlfn.IFS(H300=0,"Alta sin facturar",H300&gt;2,"Cliente",H300&gt;0,"Cliente nuevo")</f>
        <v>Alta sin facturar</v>
      </c>
      <c r="G300" s="1"/>
      <c r="H300" s="1">
        <f t="shared" si="33"/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89">
        <v>0</v>
      </c>
      <c r="O300" s="89">
        <v>0</v>
      </c>
      <c r="P300" s="89">
        <v>0</v>
      </c>
      <c r="Q300" s="54">
        <f t="shared" si="30"/>
        <v>0</v>
      </c>
      <c r="R300" s="89"/>
      <c r="S300" s="92">
        <f t="shared" si="34"/>
        <v>0</v>
      </c>
      <c r="T300" s="59">
        <f t="shared" si="31"/>
        <v>0</v>
      </c>
      <c r="U300" s="60">
        <f t="shared" si="32"/>
        <v>0</v>
      </c>
      <c r="V300" s="59" t="str">
        <f t="array" ref="V300">_xlfn.IFS(S300=0,"Alta sin facturar",S300&gt;2,"Cliente",S300&gt;0,"Cliente nuevo")</f>
        <v>Alta sin facturar</v>
      </c>
      <c r="W300" s="59" t="str">
        <f t="shared" si="35"/>
        <v>Sin pago</v>
      </c>
      <c r="X300" s="3"/>
      <c r="Y300" s="3"/>
      <c r="Z300" s="3"/>
      <c r="AA300" s="3"/>
      <c r="AB300" s="3"/>
      <c r="AC300" s="3"/>
      <c r="AD300" s="3"/>
      <c r="AE300" s="3"/>
      <c r="AG300"/>
      <c r="AH300"/>
      <c r="AI300"/>
      <c r="AJ300"/>
      <c r="AK300"/>
      <c r="AL300"/>
      <c r="AM300"/>
      <c r="AN300"/>
    </row>
    <row r="301" spans="1:40" x14ac:dyDescent="0.25">
      <c r="A301" s="6">
        <v>44650</v>
      </c>
      <c r="B301" t="str">
        <f t="shared" si="29"/>
        <v>Marzo</v>
      </c>
      <c r="C301" s="1" t="s">
        <v>64</v>
      </c>
      <c r="D301" s="58" t="str">
        <f>VLOOKUP(Datos!$C301,$AQ$2:$AR$41,2,0)</f>
        <v>Norte</v>
      </c>
      <c r="E301" s="1">
        <v>23381</v>
      </c>
      <c r="F301" s="1" t="str">
        <f t="array" ref="F301">_xlfn.IFS(H301=0,"Alta sin facturar",H301&gt;2,"Cliente",H301&gt;0,"Cliente nuevo")</f>
        <v>Cliente</v>
      </c>
      <c r="G301" s="1"/>
      <c r="H301" s="1">
        <f t="shared" si="33"/>
        <v>5</v>
      </c>
      <c r="I301" s="2">
        <v>0</v>
      </c>
      <c r="J301" s="2">
        <v>0</v>
      </c>
      <c r="K301" s="2">
        <v>0</v>
      </c>
      <c r="L301" s="2">
        <v>858.40000000000009</v>
      </c>
      <c r="M301" s="2">
        <v>2317.6799999999994</v>
      </c>
      <c r="N301" s="89">
        <v>1545.12</v>
      </c>
      <c r="O301" s="89">
        <v>860.7199999999998</v>
      </c>
      <c r="P301" s="89">
        <v>290</v>
      </c>
      <c r="Q301" s="54">
        <f t="shared" si="30"/>
        <v>5871.9199999999983</v>
      </c>
      <c r="R301" s="89">
        <v>0</v>
      </c>
      <c r="S301" s="92">
        <f t="shared" si="34"/>
        <v>5</v>
      </c>
      <c r="T301" s="59">
        <f t="shared" si="31"/>
        <v>5871.9199999999983</v>
      </c>
      <c r="U301" s="60">
        <f t="shared" si="32"/>
        <v>0</v>
      </c>
      <c r="V301" s="59" t="str">
        <f t="array" ref="V301">_xlfn.IFS(S301=0,"Alta sin facturar",S301&gt;2,"Cliente",S301&gt;0,"Cliente nuevo")</f>
        <v>Cliente</v>
      </c>
      <c r="W301" s="59" t="str">
        <f t="shared" si="35"/>
        <v>Ha pagado</v>
      </c>
      <c r="X301" s="3"/>
      <c r="Y301" s="3"/>
      <c r="Z301" s="3"/>
      <c r="AA301" s="3"/>
      <c r="AB301" s="3"/>
      <c r="AC301" s="3"/>
      <c r="AD301" s="3"/>
      <c r="AE301" s="3"/>
      <c r="AG301"/>
      <c r="AH301"/>
      <c r="AI301"/>
      <c r="AJ301"/>
      <c r="AK301"/>
      <c r="AL301"/>
      <c r="AM301"/>
      <c r="AN301"/>
    </row>
    <row r="302" spans="1:40" x14ac:dyDescent="0.25">
      <c r="A302" s="6">
        <v>44650</v>
      </c>
      <c r="B302" t="str">
        <f t="shared" si="29"/>
        <v>Marzo</v>
      </c>
      <c r="C302" s="1" t="s">
        <v>36</v>
      </c>
      <c r="D302" s="58" t="str">
        <f>VLOOKUP(Datos!$C302,$AQ$2:$AR$41,2,0)</f>
        <v>Magallanes</v>
      </c>
      <c r="E302" s="1">
        <v>23382</v>
      </c>
      <c r="F302" s="1" t="str">
        <f t="array" ref="F302">_xlfn.IFS(H302=0,"Alta sin facturar",H302&gt;2,"Cliente",H302&gt;0,"Cliente nuevo")</f>
        <v>Cliente</v>
      </c>
      <c r="G302" s="1"/>
      <c r="H302" s="1">
        <f t="shared" si="33"/>
        <v>5</v>
      </c>
      <c r="I302" s="2">
        <v>0</v>
      </c>
      <c r="J302" s="2">
        <v>0</v>
      </c>
      <c r="K302" s="2">
        <v>0</v>
      </c>
      <c r="L302" s="2">
        <v>8427.3999999999978</v>
      </c>
      <c r="M302" s="2">
        <v>12199.719999999992</v>
      </c>
      <c r="N302" s="89">
        <v>13721.64</v>
      </c>
      <c r="O302" s="89">
        <v>10170.879999999997</v>
      </c>
      <c r="P302" s="89">
        <v>17328.079999999998</v>
      </c>
      <c r="Q302" s="54">
        <f t="shared" si="30"/>
        <v>61847.719999999987</v>
      </c>
      <c r="R302" s="89">
        <v>7927.44</v>
      </c>
      <c r="S302" s="92">
        <f t="shared" si="34"/>
        <v>5</v>
      </c>
      <c r="T302" s="59">
        <f t="shared" si="31"/>
        <v>53920.279999999984</v>
      </c>
      <c r="U302" s="60">
        <f t="shared" si="32"/>
        <v>0.12817675413095261</v>
      </c>
      <c r="V302" s="59" t="str">
        <f t="array" ref="V302">_xlfn.IFS(S302=0,"Alta sin facturar",S302&gt;2,"Cliente",S302&gt;0,"Cliente nuevo")</f>
        <v>Cliente</v>
      </c>
      <c r="W302" s="59" t="str">
        <f t="shared" si="35"/>
        <v>Ha pagado</v>
      </c>
      <c r="X302" s="3"/>
      <c r="Y302" s="3"/>
      <c r="Z302" s="3"/>
      <c r="AA302" s="3"/>
      <c r="AB302" s="3"/>
      <c r="AC302" s="3"/>
      <c r="AD302" s="3"/>
      <c r="AE302" s="3"/>
      <c r="AG302"/>
      <c r="AH302"/>
      <c r="AI302"/>
      <c r="AJ302"/>
      <c r="AK302"/>
      <c r="AL302"/>
      <c r="AM302"/>
      <c r="AN302"/>
    </row>
    <row r="303" spans="1:40" x14ac:dyDescent="0.25">
      <c r="A303" s="6">
        <v>44650</v>
      </c>
      <c r="B303" t="str">
        <f t="shared" si="29"/>
        <v>Marzo</v>
      </c>
      <c r="C303" s="1" t="s">
        <v>42</v>
      </c>
      <c r="D303" s="58" t="str">
        <f>VLOOKUP(Datos!$C303,$AQ$2:$AR$41,2,0)</f>
        <v>Norte</v>
      </c>
      <c r="E303" s="1">
        <v>23383</v>
      </c>
      <c r="F303" s="1" t="str">
        <f t="array" ref="F303">_xlfn.IFS(H303=0,"Alta sin facturar",H303&gt;2,"Cliente",H303&gt;0,"Cliente nuevo")</f>
        <v>Cliente nuevo</v>
      </c>
      <c r="G303" s="1"/>
      <c r="H303" s="1">
        <f t="shared" si="33"/>
        <v>1</v>
      </c>
      <c r="I303" s="2">
        <v>0</v>
      </c>
      <c r="J303" s="2">
        <v>0</v>
      </c>
      <c r="K303" s="2">
        <v>0</v>
      </c>
      <c r="L303" s="2">
        <v>0</v>
      </c>
      <c r="M303" s="2">
        <v>5185.1999999999925</v>
      </c>
      <c r="N303" s="89">
        <v>0</v>
      </c>
      <c r="O303" s="89">
        <v>0</v>
      </c>
      <c r="P303" s="89">
        <v>0</v>
      </c>
      <c r="Q303" s="54">
        <f t="shared" si="30"/>
        <v>5185.1999999999925</v>
      </c>
      <c r="R303" s="89">
        <v>0</v>
      </c>
      <c r="S303" s="92">
        <f t="shared" si="34"/>
        <v>1</v>
      </c>
      <c r="T303" s="59">
        <f t="shared" si="31"/>
        <v>5185.1999999999925</v>
      </c>
      <c r="U303" s="60">
        <f t="shared" si="32"/>
        <v>0</v>
      </c>
      <c r="V303" s="59" t="str">
        <f t="array" ref="V303">_xlfn.IFS(S303=0,"Alta sin facturar",S303&gt;2,"Cliente",S303&gt;0,"Cliente nuevo")</f>
        <v>Cliente nuevo</v>
      </c>
      <c r="W303" s="59" t="str">
        <f t="shared" si="35"/>
        <v>Ha pagado</v>
      </c>
      <c r="X303" s="3"/>
      <c r="Y303" s="3"/>
      <c r="Z303" s="3"/>
      <c r="AA303" s="3"/>
      <c r="AB303" s="3"/>
      <c r="AC303" s="3"/>
      <c r="AD303" s="3"/>
      <c r="AE303" s="3"/>
      <c r="AG303"/>
      <c r="AH303"/>
      <c r="AI303"/>
      <c r="AJ303"/>
      <c r="AK303"/>
      <c r="AL303"/>
      <c r="AM303"/>
      <c r="AN303"/>
    </row>
    <row r="304" spans="1:40" x14ac:dyDescent="0.25">
      <c r="A304" s="6">
        <v>44650</v>
      </c>
      <c r="B304" t="str">
        <f t="shared" si="29"/>
        <v>Marzo</v>
      </c>
      <c r="C304" s="1" t="s">
        <v>42</v>
      </c>
      <c r="D304" s="58" t="str">
        <f>VLOOKUP(Datos!$C304,$AQ$2:$AR$41,2,0)</f>
        <v>Norte</v>
      </c>
      <c r="E304" s="1">
        <v>23384</v>
      </c>
      <c r="F304" s="1" t="str">
        <f t="array" ref="F304">_xlfn.IFS(H304=0,"Alta sin facturar",H304&gt;2,"Cliente",H304&gt;0,"Cliente nuevo")</f>
        <v>Alta sin facturar</v>
      </c>
      <c r="G304" s="1"/>
      <c r="H304" s="1">
        <f t="shared" si="33"/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89">
        <v>0</v>
      </c>
      <c r="O304" s="89">
        <v>0</v>
      </c>
      <c r="P304" s="89">
        <v>0</v>
      </c>
      <c r="Q304" s="54">
        <f t="shared" si="30"/>
        <v>0</v>
      </c>
      <c r="R304" s="89"/>
      <c r="S304" s="92">
        <f t="shared" si="34"/>
        <v>0</v>
      </c>
      <c r="T304" s="59">
        <f t="shared" si="31"/>
        <v>0</v>
      </c>
      <c r="U304" s="60">
        <f t="shared" si="32"/>
        <v>0</v>
      </c>
      <c r="V304" s="59" t="str">
        <f t="array" ref="V304">_xlfn.IFS(S304=0,"Alta sin facturar",S304&gt;2,"Cliente",S304&gt;0,"Cliente nuevo")</f>
        <v>Alta sin facturar</v>
      </c>
      <c r="W304" s="59" t="str">
        <f t="shared" si="35"/>
        <v>Sin pago</v>
      </c>
      <c r="X304" s="3"/>
      <c r="Y304" s="3"/>
      <c r="Z304" s="3"/>
      <c r="AA304" s="3"/>
      <c r="AB304" s="3"/>
      <c r="AC304" s="3"/>
      <c r="AD304" s="3"/>
      <c r="AE304" s="3"/>
      <c r="AG304"/>
      <c r="AH304"/>
      <c r="AI304"/>
      <c r="AJ304"/>
      <c r="AK304"/>
      <c r="AL304"/>
      <c r="AM304"/>
      <c r="AN304"/>
    </row>
    <row r="305" spans="1:40" x14ac:dyDescent="0.25">
      <c r="A305" s="6">
        <v>44650</v>
      </c>
      <c r="B305" t="str">
        <f t="shared" si="29"/>
        <v>Marzo</v>
      </c>
      <c r="C305" s="1" t="s">
        <v>66</v>
      </c>
      <c r="D305" s="58" t="str">
        <f>VLOOKUP(Datos!$C305,$AQ$2:$AR$41,2,0)</f>
        <v>Sur</v>
      </c>
      <c r="E305" s="1">
        <v>23385</v>
      </c>
      <c r="F305" s="1" t="str">
        <f t="array" ref="F305">_xlfn.IFS(H305=0,"Alta sin facturar",H305&gt;2,"Cliente",H305&gt;0,"Cliente nuevo")</f>
        <v>Alta sin facturar</v>
      </c>
      <c r="G305" s="1"/>
      <c r="H305" s="1">
        <f t="shared" si="33"/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89">
        <v>0</v>
      </c>
      <c r="O305" s="89">
        <v>0</v>
      </c>
      <c r="P305" s="89">
        <v>0</v>
      </c>
      <c r="Q305" s="54">
        <f t="shared" si="30"/>
        <v>0</v>
      </c>
      <c r="R305" s="89">
        <v>1.1599999999999999</v>
      </c>
      <c r="S305" s="92">
        <f t="shared" si="34"/>
        <v>0</v>
      </c>
      <c r="T305" s="59">
        <f t="shared" si="31"/>
        <v>-1.1599999999999999</v>
      </c>
      <c r="U305" s="60">
        <f t="shared" si="32"/>
        <v>0</v>
      </c>
      <c r="V305" s="59" t="str">
        <f t="array" ref="V305">_xlfn.IFS(S305=0,"Alta sin facturar",S305&gt;2,"Cliente",S305&gt;0,"Cliente nuevo")</f>
        <v>Alta sin facturar</v>
      </c>
      <c r="W305" s="59" t="str">
        <f t="shared" si="35"/>
        <v>Sin pago</v>
      </c>
      <c r="X305" s="3"/>
      <c r="Y305" s="3"/>
      <c r="Z305" s="3"/>
      <c r="AA305" s="3"/>
      <c r="AB305" s="3"/>
      <c r="AC305" s="3"/>
      <c r="AD305" s="3"/>
      <c r="AE305" s="3"/>
      <c r="AG305"/>
      <c r="AH305"/>
      <c r="AI305"/>
      <c r="AJ305"/>
      <c r="AK305"/>
      <c r="AL305"/>
      <c r="AM305"/>
      <c r="AN305"/>
    </row>
    <row r="306" spans="1:40" x14ac:dyDescent="0.25">
      <c r="A306" s="6">
        <v>44651</v>
      </c>
      <c r="B306" t="str">
        <f t="shared" si="29"/>
        <v>Marzo</v>
      </c>
      <c r="C306" s="1" t="s">
        <v>65</v>
      </c>
      <c r="D306" s="58" t="str">
        <f>VLOOKUP(Datos!$C306,$AQ$2:$AR$41,2,0)</f>
        <v>Centro</v>
      </c>
      <c r="E306" s="1">
        <v>23386</v>
      </c>
      <c r="F306" s="1" t="str">
        <f t="array" ref="F306">_xlfn.IFS(H306=0,"Alta sin facturar",H306&gt;2,"Cliente",H306&gt;0,"Cliente nuevo")</f>
        <v>Alta sin facturar</v>
      </c>
      <c r="G306" s="1"/>
      <c r="H306" s="1">
        <f t="shared" si="33"/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89">
        <v>0</v>
      </c>
      <c r="O306" s="89">
        <v>0</v>
      </c>
      <c r="P306" s="89">
        <v>0</v>
      </c>
      <c r="Q306" s="54">
        <f t="shared" si="30"/>
        <v>0</v>
      </c>
      <c r="R306" s="89"/>
      <c r="S306" s="92">
        <f t="shared" si="34"/>
        <v>0</v>
      </c>
      <c r="T306" s="59">
        <f t="shared" si="31"/>
        <v>0</v>
      </c>
      <c r="U306" s="60">
        <f t="shared" si="32"/>
        <v>0</v>
      </c>
      <c r="V306" s="59" t="str">
        <f t="array" ref="V306">_xlfn.IFS(S306=0,"Alta sin facturar",S306&gt;2,"Cliente",S306&gt;0,"Cliente nuevo")</f>
        <v>Alta sin facturar</v>
      </c>
      <c r="W306" s="59" t="str">
        <f t="shared" si="35"/>
        <v>Sin pago</v>
      </c>
      <c r="X306" s="3"/>
      <c r="Y306" s="3"/>
      <c r="Z306" s="3"/>
      <c r="AA306" s="3"/>
      <c r="AB306" s="3"/>
      <c r="AC306" s="3"/>
      <c r="AD306" s="3"/>
      <c r="AE306" s="3"/>
      <c r="AG306"/>
      <c r="AH306"/>
      <c r="AI306"/>
      <c r="AJ306"/>
      <c r="AK306"/>
      <c r="AL306"/>
      <c r="AM306"/>
      <c r="AN306"/>
    </row>
    <row r="307" spans="1:40" x14ac:dyDescent="0.25">
      <c r="A307" s="6">
        <v>44652</v>
      </c>
      <c r="B307" t="str">
        <f t="shared" si="29"/>
        <v>Abril</v>
      </c>
      <c r="C307" s="1" t="s">
        <v>42</v>
      </c>
      <c r="D307" s="58" t="str">
        <f>VLOOKUP(Datos!$C307,$AQ$2:$AR$41,2,0)</f>
        <v>Norte</v>
      </c>
      <c r="E307" s="1">
        <v>23387</v>
      </c>
      <c r="F307" s="1" t="str">
        <f t="array" ref="F307">_xlfn.IFS(H307=0,"Alta sin facturar",H307&gt;2,"Cliente",H307&gt;0,"Cliente nuevo")</f>
        <v>Cliente</v>
      </c>
      <c r="G307" s="1"/>
      <c r="H307" s="1">
        <f t="shared" si="33"/>
        <v>5</v>
      </c>
      <c r="I307" s="2">
        <v>0</v>
      </c>
      <c r="J307" s="2">
        <v>0</v>
      </c>
      <c r="K307" s="2">
        <v>0</v>
      </c>
      <c r="L307" s="2">
        <v>1770.1599999999994</v>
      </c>
      <c r="M307" s="2">
        <v>10680.120000000003</v>
      </c>
      <c r="N307" s="89">
        <v>18340.760000000002</v>
      </c>
      <c r="O307" s="89">
        <v>12402.720000000007</v>
      </c>
      <c r="P307" s="89">
        <v>11584.920000000006</v>
      </c>
      <c r="Q307" s="54">
        <f t="shared" si="30"/>
        <v>54778.680000000015</v>
      </c>
      <c r="R307" s="89">
        <v>6961.16</v>
      </c>
      <c r="S307" s="92">
        <f t="shared" si="34"/>
        <v>5</v>
      </c>
      <c r="T307" s="59">
        <f t="shared" si="31"/>
        <v>47817.520000000019</v>
      </c>
      <c r="U307" s="60">
        <f t="shared" si="32"/>
        <v>0.12707790695212076</v>
      </c>
      <c r="V307" s="59" t="str">
        <f t="array" ref="V307">_xlfn.IFS(S307=0,"Alta sin facturar",S307&gt;2,"Cliente",S307&gt;0,"Cliente nuevo")</f>
        <v>Cliente</v>
      </c>
      <c r="W307" s="59" t="str">
        <f t="shared" si="35"/>
        <v>Ha pagado</v>
      </c>
      <c r="X307" s="3"/>
      <c r="Y307" s="3"/>
      <c r="Z307" s="3"/>
      <c r="AA307" s="3"/>
      <c r="AB307" s="3"/>
      <c r="AC307" s="3"/>
      <c r="AD307" s="3"/>
      <c r="AE307" s="3"/>
      <c r="AG307"/>
      <c r="AH307"/>
      <c r="AI307"/>
      <c r="AJ307"/>
      <c r="AK307"/>
      <c r="AL307"/>
      <c r="AM307"/>
      <c r="AN307"/>
    </row>
    <row r="308" spans="1:40" x14ac:dyDescent="0.25">
      <c r="A308" s="6">
        <v>44652</v>
      </c>
      <c r="B308" t="str">
        <f t="shared" si="29"/>
        <v>Abril</v>
      </c>
      <c r="C308" s="1" t="s">
        <v>42</v>
      </c>
      <c r="D308" s="58" t="str">
        <f>VLOOKUP(Datos!$C308,$AQ$2:$AR$41,2,0)</f>
        <v>Norte</v>
      </c>
      <c r="E308" s="1">
        <v>23388</v>
      </c>
      <c r="F308" s="1" t="str">
        <f t="array" ref="F308">_xlfn.IFS(H308=0,"Alta sin facturar",H308&gt;2,"Cliente",H308&gt;0,"Cliente nuevo")</f>
        <v>Alta sin facturar</v>
      </c>
      <c r="G308" s="1"/>
      <c r="H308" s="1">
        <f t="shared" si="33"/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89">
        <v>0</v>
      </c>
      <c r="O308" s="89">
        <v>0</v>
      </c>
      <c r="P308" s="89">
        <v>0</v>
      </c>
      <c r="Q308" s="54">
        <f t="shared" si="30"/>
        <v>0</v>
      </c>
      <c r="R308" s="89"/>
      <c r="S308" s="92">
        <f t="shared" si="34"/>
        <v>0</v>
      </c>
      <c r="T308" s="59">
        <f t="shared" si="31"/>
        <v>0</v>
      </c>
      <c r="U308" s="60">
        <f t="shared" si="32"/>
        <v>0</v>
      </c>
      <c r="V308" s="59" t="str">
        <f t="array" ref="V308">_xlfn.IFS(S308=0,"Alta sin facturar",S308&gt;2,"Cliente",S308&gt;0,"Cliente nuevo")</f>
        <v>Alta sin facturar</v>
      </c>
      <c r="W308" s="59" t="str">
        <f t="shared" si="35"/>
        <v>Sin pago</v>
      </c>
      <c r="X308" s="3"/>
      <c r="Y308" s="3"/>
      <c r="Z308" s="3"/>
      <c r="AA308" s="3"/>
      <c r="AB308" s="3"/>
      <c r="AC308" s="3"/>
      <c r="AD308" s="3"/>
      <c r="AE308" s="3"/>
      <c r="AG308"/>
      <c r="AH308"/>
      <c r="AI308"/>
      <c r="AJ308"/>
      <c r="AK308"/>
      <c r="AL308"/>
      <c r="AM308"/>
      <c r="AN308"/>
    </row>
    <row r="309" spans="1:40" x14ac:dyDescent="0.25">
      <c r="A309" s="6">
        <v>44653</v>
      </c>
      <c r="B309" t="str">
        <f t="shared" si="29"/>
        <v>Abril</v>
      </c>
      <c r="C309" s="1" t="s">
        <v>66</v>
      </c>
      <c r="D309" s="58" t="str">
        <f>VLOOKUP(Datos!$C309,$AQ$2:$AR$41,2,0)</f>
        <v>Sur</v>
      </c>
      <c r="E309" s="1">
        <v>23389</v>
      </c>
      <c r="F309" s="1" t="str">
        <f t="array" ref="F309">_xlfn.IFS(H309=0,"Alta sin facturar",H309&gt;2,"Cliente",H309&gt;0,"Cliente nuevo")</f>
        <v>Cliente nuevo</v>
      </c>
      <c r="G309" s="1"/>
      <c r="H309" s="1">
        <f t="shared" si="33"/>
        <v>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89">
        <v>1443.04</v>
      </c>
      <c r="O309" s="89">
        <v>0</v>
      </c>
      <c r="P309" s="89">
        <v>0</v>
      </c>
      <c r="Q309" s="54">
        <f t="shared" si="30"/>
        <v>1443.04</v>
      </c>
      <c r="R309" s="89">
        <v>1443.04</v>
      </c>
      <c r="S309" s="92">
        <f t="shared" si="34"/>
        <v>1</v>
      </c>
      <c r="T309" s="59">
        <f t="shared" si="31"/>
        <v>0</v>
      </c>
      <c r="U309" s="60">
        <f t="shared" si="32"/>
        <v>1</v>
      </c>
      <c r="V309" s="59" t="str">
        <f t="array" ref="V309">_xlfn.IFS(S309=0,"Alta sin facturar",S309&gt;2,"Cliente",S309&gt;0,"Cliente nuevo")</f>
        <v>Cliente nuevo</v>
      </c>
      <c r="W309" s="59" t="str">
        <f t="shared" si="35"/>
        <v>Sin pago</v>
      </c>
      <c r="X309" s="3"/>
      <c r="Y309" s="3"/>
      <c r="Z309" s="3"/>
      <c r="AA309" s="3"/>
      <c r="AB309" s="3"/>
      <c r="AC309" s="3"/>
      <c r="AD309" s="3"/>
      <c r="AE309" s="3"/>
      <c r="AG309"/>
      <c r="AH309"/>
      <c r="AI309"/>
      <c r="AJ309"/>
      <c r="AK309"/>
      <c r="AL309"/>
      <c r="AM309"/>
      <c r="AN309"/>
    </row>
    <row r="310" spans="1:40" x14ac:dyDescent="0.25">
      <c r="A310" s="6">
        <v>44653</v>
      </c>
      <c r="B310" t="str">
        <f t="shared" si="29"/>
        <v>Abril</v>
      </c>
      <c r="C310" s="1" t="s">
        <v>31</v>
      </c>
      <c r="D310" s="58" t="str">
        <f>VLOOKUP(Datos!$C310,$AQ$2:$AR$41,2,0)</f>
        <v>Centro</v>
      </c>
      <c r="E310" s="1">
        <v>23390</v>
      </c>
      <c r="F310" s="1" t="str">
        <f t="array" ref="F310">_xlfn.IFS(H310=0,"Alta sin facturar",H310&gt;2,"Cliente",H310&gt;0,"Cliente nuevo")</f>
        <v>Cliente</v>
      </c>
      <c r="G310" s="1"/>
      <c r="H310" s="1">
        <f t="shared" si="33"/>
        <v>4</v>
      </c>
      <c r="I310" s="2">
        <v>0</v>
      </c>
      <c r="J310" s="2">
        <v>0</v>
      </c>
      <c r="K310" s="2">
        <v>0</v>
      </c>
      <c r="L310" s="2">
        <v>0</v>
      </c>
      <c r="M310" s="2">
        <v>12202.040000000003</v>
      </c>
      <c r="N310" s="89">
        <v>11595.359999999999</v>
      </c>
      <c r="O310" s="89">
        <v>18448.640000000003</v>
      </c>
      <c r="P310" s="89">
        <v>10144.199999999999</v>
      </c>
      <c r="Q310" s="54">
        <f t="shared" si="30"/>
        <v>52390.240000000005</v>
      </c>
      <c r="R310" s="89">
        <v>0</v>
      </c>
      <c r="S310" s="92">
        <f t="shared" si="34"/>
        <v>4</v>
      </c>
      <c r="T310" s="59">
        <f t="shared" si="31"/>
        <v>52390.240000000005</v>
      </c>
      <c r="U310" s="60">
        <f t="shared" si="32"/>
        <v>0</v>
      </c>
      <c r="V310" s="59" t="str">
        <f t="array" ref="V310">_xlfn.IFS(S310=0,"Alta sin facturar",S310&gt;2,"Cliente",S310&gt;0,"Cliente nuevo")</f>
        <v>Cliente</v>
      </c>
      <c r="W310" s="59" t="str">
        <f t="shared" si="35"/>
        <v>Ha pagado</v>
      </c>
      <c r="X310" s="3"/>
      <c r="Y310" s="3"/>
      <c r="Z310" s="3"/>
      <c r="AA310" s="3"/>
      <c r="AB310" s="3"/>
      <c r="AC310" s="3"/>
      <c r="AD310" s="3"/>
      <c r="AE310" s="3"/>
      <c r="AG310"/>
      <c r="AH310"/>
      <c r="AI310"/>
      <c r="AJ310"/>
      <c r="AK310"/>
      <c r="AL310"/>
      <c r="AM310"/>
      <c r="AN310"/>
    </row>
    <row r="311" spans="1:40" x14ac:dyDescent="0.25">
      <c r="A311" s="6">
        <v>44653</v>
      </c>
      <c r="B311" t="str">
        <f t="shared" si="29"/>
        <v>Abril</v>
      </c>
      <c r="C311" s="1" t="s">
        <v>31</v>
      </c>
      <c r="D311" s="58" t="str">
        <f>VLOOKUP(Datos!$C311,$AQ$2:$AR$41,2,0)</f>
        <v>Centro</v>
      </c>
      <c r="E311" s="1">
        <v>23391</v>
      </c>
      <c r="F311" s="1" t="str">
        <f t="array" ref="F311">_xlfn.IFS(H311=0,"Alta sin facturar",H311&gt;2,"Cliente",H311&gt;0,"Cliente nuevo")</f>
        <v>Cliente</v>
      </c>
      <c r="G311" s="1"/>
      <c r="H311" s="1">
        <f t="shared" si="33"/>
        <v>5</v>
      </c>
      <c r="I311" s="2">
        <v>0</v>
      </c>
      <c r="J311" s="2">
        <v>0</v>
      </c>
      <c r="K311" s="2">
        <v>0</v>
      </c>
      <c r="L311" s="2">
        <v>869.99999999999989</v>
      </c>
      <c r="M311" s="2">
        <v>3758.3999999999996</v>
      </c>
      <c r="N311" s="89">
        <v>18444</v>
      </c>
      <c r="O311" s="89">
        <v>3190</v>
      </c>
      <c r="P311" s="89">
        <v>2320</v>
      </c>
      <c r="Q311" s="54">
        <f t="shared" si="30"/>
        <v>28582.400000000001</v>
      </c>
      <c r="R311" s="89">
        <v>0</v>
      </c>
      <c r="S311" s="92">
        <f t="shared" si="34"/>
        <v>5</v>
      </c>
      <c r="T311" s="59">
        <f t="shared" si="31"/>
        <v>28582.400000000001</v>
      </c>
      <c r="U311" s="60">
        <f t="shared" si="32"/>
        <v>0</v>
      </c>
      <c r="V311" s="59" t="str">
        <f t="array" ref="V311">_xlfn.IFS(S311=0,"Alta sin facturar",S311&gt;2,"Cliente",S311&gt;0,"Cliente nuevo")</f>
        <v>Cliente</v>
      </c>
      <c r="W311" s="59" t="str">
        <f t="shared" si="35"/>
        <v>Ha pagado</v>
      </c>
      <c r="X311" s="3"/>
      <c r="Y311" s="3"/>
      <c r="Z311" s="3"/>
      <c r="AA311" s="3"/>
      <c r="AB311" s="3"/>
      <c r="AC311" s="3"/>
      <c r="AD311" s="3"/>
      <c r="AE311" s="3"/>
      <c r="AG311"/>
      <c r="AH311"/>
      <c r="AI311"/>
      <c r="AJ311"/>
      <c r="AK311"/>
      <c r="AL311"/>
      <c r="AM311"/>
      <c r="AN311"/>
    </row>
    <row r="312" spans="1:40" x14ac:dyDescent="0.25">
      <c r="A312" s="6">
        <v>44655</v>
      </c>
      <c r="B312" t="str">
        <f t="shared" si="29"/>
        <v>Abril</v>
      </c>
      <c r="C312" s="1" t="s">
        <v>102</v>
      </c>
      <c r="D312" s="58" t="str">
        <f>VLOOKUP(Datos!$C312,$AQ$2:$AR$41,2,0)</f>
        <v>Sur</v>
      </c>
      <c r="E312" s="1">
        <v>23392</v>
      </c>
      <c r="F312" s="1" t="str">
        <f t="array" ref="F312">_xlfn.IFS(H312=0,"Alta sin facturar",H312&gt;2,"Cliente",H312&gt;0,"Cliente nuevo")</f>
        <v>Cliente</v>
      </c>
      <c r="G312" s="1"/>
      <c r="H312" s="1">
        <f t="shared" si="33"/>
        <v>5</v>
      </c>
      <c r="I312" s="2">
        <v>0</v>
      </c>
      <c r="J312" s="2">
        <v>0</v>
      </c>
      <c r="K312" s="2">
        <v>0</v>
      </c>
      <c r="L312" s="2">
        <v>1407.08</v>
      </c>
      <c r="M312" s="2">
        <v>1542.8</v>
      </c>
      <c r="N312" s="89">
        <v>2207.48</v>
      </c>
      <c r="O312" s="89">
        <v>2094.96</v>
      </c>
      <c r="P312" s="89">
        <v>4623.76</v>
      </c>
      <c r="Q312" s="54">
        <f t="shared" si="30"/>
        <v>11876.080000000002</v>
      </c>
      <c r="R312" s="89">
        <v>379.32</v>
      </c>
      <c r="S312" s="92">
        <f t="shared" si="34"/>
        <v>5</v>
      </c>
      <c r="T312" s="59">
        <f t="shared" si="31"/>
        <v>11496.760000000002</v>
      </c>
      <c r="U312" s="60">
        <f t="shared" si="32"/>
        <v>3.1939831998437189E-2</v>
      </c>
      <c r="V312" s="59" t="str">
        <f t="array" ref="V312">_xlfn.IFS(S312=0,"Alta sin facturar",S312&gt;2,"Cliente",S312&gt;0,"Cliente nuevo")</f>
        <v>Cliente</v>
      </c>
      <c r="W312" s="59" t="str">
        <f t="shared" si="35"/>
        <v>Ha pagado</v>
      </c>
      <c r="X312" s="3"/>
      <c r="Y312" s="3"/>
      <c r="Z312" s="3"/>
      <c r="AA312" s="3"/>
      <c r="AB312" s="3"/>
      <c r="AC312" s="3"/>
      <c r="AD312" s="3"/>
      <c r="AE312" s="3"/>
      <c r="AG312"/>
      <c r="AH312"/>
      <c r="AI312"/>
      <c r="AJ312"/>
      <c r="AK312"/>
      <c r="AL312"/>
      <c r="AM312"/>
      <c r="AN312"/>
    </row>
    <row r="313" spans="1:40" x14ac:dyDescent="0.25">
      <c r="A313" s="6">
        <v>44655</v>
      </c>
      <c r="B313" t="str">
        <f t="shared" si="29"/>
        <v>Abril</v>
      </c>
      <c r="C313" s="1" t="s">
        <v>102</v>
      </c>
      <c r="D313" s="58" t="str">
        <f>VLOOKUP(Datos!$C313,$AQ$2:$AR$41,2,0)</f>
        <v>Sur</v>
      </c>
      <c r="E313" s="1">
        <v>23393</v>
      </c>
      <c r="F313" s="1" t="str">
        <f t="array" ref="F313">_xlfn.IFS(H313=0,"Alta sin facturar",H313&gt;2,"Cliente",H313&gt;0,"Cliente nuevo")</f>
        <v>Cliente</v>
      </c>
      <c r="G313" s="1"/>
      <c r="H313" s="1">
        <f t="shared" si="33"/>
        <v>5</v>
      </c>
      <c r="I313" s="2">
        <v>0</v>
      </c>
      <c r="J313" s="2">
        <v>0</v>
      </c>
      <c r="K313" s="2">
        <v>0</v>
      </c>
      <c r="L313" s="2">
        <v>3555.4</v>
      </c>
      <c r="M313" s="2">
        <v>4982.2000000000016</v>
      </c>
      <c r="N313" s="89">
        <v>5289.6</v>
      </c>
      <c r="O313" s="89">
        <v>5660.8</v>
      </c>
      <c r="P313" s="89">
        <v>6593.4400000000005</v>
      </c>
      <c r="Q313" s="54">
        <f t="shared" si="30"/>
        <v>26081.440000000002</v>
      </c>
      <c r="R313" s="89">
        <v>38.28</v>
      </c>
      <c r="S313" s="92">
        <f t="shared" si="34"/>
        <v>5</v>
      </c>
      <c r="T313" s="59">
        <f t="shared" si="31"/>
        <v>26043.160000000003</v>
      </c>
      <c r="U313" s="60">
        <f t="shared" si="32"/>
        <v>1.4677103718199608E-3</v>
      </c>
      <c r="V313" s="59" t="str">
        <f t="array" ref="V313">_xlfn.IFS(S313=0,"Alta sin facturar",S313&gt;2,"Cliente",S313&gt;0,"Cliente nuevo")</f>
        <v>Cliente</v>
      </c>
      <c r="W313" s="59" t="str">
        <f t="shared" si="35"/>
        <v>Ha pagado</v>
      </c>
      <c r="X313" s="3"/>
      <c r="Y313" s="3"/>
      <c r="Z313" s="3"/>
      <c r="AA313" s="3"/>
      <c r="AB313" s="3"/>
      <c r="AC313" s="3"/>
      <c r="AD313" s="3"/>
      <c r="AE313" s="3"/>
      <c r="AG313"/>
      <c r="AH313"/>
      <c r="AI313"/>
      <c r="AJ313"/>
      <c r="AK313"/>
      <c r="AL313"/>
      <c r="AM313"/>
      <c r="AN313"/>
    </row>
    <row r="314" spans="1:40" x14ac:dyDescent="0.25">
      <c r="A314" s="6">
        <v>44656</v>
      </c>
      <c r="B314" t="str">
        <f t="shared" si="29"/>
        <v>Abril</v>
      </c>
      <c r="C314" s="1" t="s">
        <v>89</v>
      </c>
      <c r="D314" s="58" t="str">
        <f>VLOOKUP(Datos!$C314,$AQ$2:$AR$41,2,0)</f>
        <v>Centro</v>
      </c>
      <c r="E314" s="1">
        <v>23394</v>
      </c>
      <c r="F314" s="1" t="str">
        <f t="array" ref="F314">_xlfn.IFS(H314=0,"Alta sin facturar",H314&gt;2,"Cliente",H314&gt;0,"Cliente nuevo")</f>
        <v>Cliente nuevo</v>
      </c>
      <c r="G314" s="1"/>
      <c r="H314" s="1">
        <f t="shared" si="33"/>
        <v>1</v>
      </c>
      <c r="I314" s="2">
        <v>0</v>
      </c>
      <c r="J314" s="2">
        <v>0</v>
      </c>
      <c r="K314" s="2">
        <v>0</v>
      </c>
      <c r="L314" s="2">
        <v>0</v>
      </c>
      <c r="M314" s="2">
        <v>846.8</v>
      </c>
      <c r="N314" s="89">
        <v>0</v>
      </c>
      <c r="O314" s="89">
        <v>0</v>
      </c>
      <c r="P314" s="89">
        <v>0</v>
      </c>
      <c r="Q314" s="54">
        <f t="shared" si="30"/>
        <v>846.8</v>
      </c>
      <c r="R314" s="89">
        <v>0</v>
      </c>
      <c r="S314" s="92">
        <f t="shared" si="34"/>
        <v>1</v>
      </c>
      <c r="T314" s="59">
        <f t="shared" si="31"/>
        <v>846.8</v>
      </c>
      <c r="U314" s="60">
        <f t="shared" si="32"/>
        <v>0</v>
      </c>
      <c r="V314" s="59" t="str">
        <f t="array" ref="V314">_xlfn.IFS(S314=0,"Alta sin facturar",S314&gt;2,"Cliente",S314&gt;0,"Cliente nuevo")</f>
        <v>Cliente nuevo</v>
      </c>
      <c r="W314" s="59" t="str">
        <f t="shared" si="35"/>
        <v>Ha pagado</v>
      </c>
      <c r="X314" s="3"/>
      <c r="Y314" s="3"/>
      <c r="Z314" s="3"/>
      <c r="AA314" s="3"/>
      <c r="AB314" s="3"/>
      <c r="AC314" s="3"/>
      <c r="AD314" s="3"/>
      <c r="AE314" s="3"/>
      <c r="AG314"/>
      <c r="AH314"/>
      <c r="AI314"/>
      <c r="AJ314"/>
      <c r="AK314"/>
      <c r="AL314"/>
      <c r="AM314"/>
      <c r="AN314"/>
    </row>
    <row r="315" spans="1:40" x14ac:dyDescent="0.25">
      <c r="A315" s="6">
        <v>44656</v>
      </c>
      <c r="B315" t="str">
        <f t="shared" si="29"/>
        <v>Abril</v>
      </c>
      <c r="C315" s="1" t="s">
        <v>34</v>
      </c>
      <c r="D315" s="58" t="str">
        <f>VLOOKUP(Datos!$C315,$AQ$2:$AR$41,2,0)</f>
        <v>Norte</v>
      </c>
      <c r="E315" s="1">
        <v>23395</v>
      </c>
      <c r="F315" s="1" t="str">
        <f t="array" ref="F315">_xlfn.IFS(H315=0,"Alta sin facturar",H315&gt;2,"Cliente",H315&gt;0,"Cliente nuevo")</f>
        <v>Cliente</v>
      </c>
      <c r="G315" s="1"/>
      <c r="H315" s="1">
        <f t="shared" si="33"/>
        <v>5</v>
      </c>
      <c r="I315" s="2">
        <v>0</v>
      </c>
      <c r="J315" s="2">
        <v>0</v>
      </c>
      <c r="K315" s="2">
        <v>0</v>
      </c>
      <c r="L315" s="2">
        <v>15361.880000000001</v>
      </c>
      <c r="M315" s="2">
        <v>27041.920000000006</v>
      </c>
      <c r="N315" s="89">
        <v>12692.72</v>
      </c>
      <c r="O315" s="89">
        <v>17186.559999999998</v>
      </c>
      <c r="P315" s="89">
        <v>22734.839999999997</v>
      </c>
      <c r="Q315" s="54">
        <f t="shared" si="30"/>
        <v>95017.919999999998</v>
      </c>
      <c r="R315" s="89">
        <v>0</v>
      </c>
      <c r="S315" s="92">
        <f t="shared" si="34"/>
        <v>5</v>
      </c>
      <c r="T315" s="59">
        <f t="shared" si="31"/>
        <v>95017.919999999998</v>
      </c>
      <c r="U315" s="60">
        <f t="shared" si="32"/>
        <v>0</v>
      </c>
      <c r="V315" s="59" t="str">
        <f t="array" ref="V315">_xlfn.IFS(S315=0,"Alta sin facturar",S315&gt;2,"Cliente",S315&gt;0,"Cliente nuevo")</f>
        <v>Cliente</v>
      </c>
      <c r="W315" s="59" t="str">
        <f t="shared" si="35"/>
        <v>Ha pagado</v>
      </c>
      <c r="X315" s="3"/>
      <c r="Y315" s="3"/>
      <c r="Z315" s="3"/>
      <c r="AA315" s="3"/>
      <c r="AB315" s="3"/>
      <c r="AC315" s="3"/>
      <c r="AD315" s="3"/>
      <c r="AE315" s="3"/>
      <c r="AG315"/>
      <c r="AH315"/>
      <c r="AI315"/>
      <c r="AJ315"/>
      <c r="AK315"/>
      <c r="AL315"/>
      <c r="AM315"/>
      <c r="AN315"/>
    </row>
    <row r="316" spans="1:40" x14ac:dyDescent="0.25">
      <c r="A316" s="6">
        <v>44656</v>
      </c>
      <c r="B316" t="str">
        <f t="shared" si="29"/>
        <v>Abril</v>
      </c>
      <c r="C316" s="1" t="s">
        <v>34</v>
      </c>
      <c r="D316" s="58" t="str">
        <f>VLOOKUP(Datos!$C316,$AQ$2:$AR$41,2,0)</f>
        <v>Norte</v>
      </c>
      <c r="E316" s="1">
        <v>23396</v>
      </c>
      <c r="F316" s="1" t="str">
        <f t="array" ref="F316">_xlfn.IFS(H316=0,"Alta sin facturar",H316&gt;2,"Cliente",H316&gt;0,"Cliente nuevo")</f>
        <v>Cliente</v>
      </c>
      <c r="G316" s="1"/>
      <c r="H316" s="1">
        <f t="shared" si="33"/>
        <v>5</v>
      </c>
      <c r="I316" s="2">
        <v>0</v>
      </c>
      <c r="J316" s="2">
        <v>0</v>
      </c>
      <c r="K316" s="2">
        <v>0</v>
      </c>
      <c r="L316" s="2">
        <v>15885.039999999999</v>
      </c>
      <c r="M316" s="2">
        <v>13162.520000000002</v>
      </c>
      <c r="N316" s="89">
        <v>16449.96</v>
      </c>
      <c r="O316" s="89">
        <v>16581.039999999994</v>
      </c>
      <c r="P316" s="89">
        <v>15093.919999999995</v>
      </c>
      <c r="Q316" s="54">
        <f t="shared" si="30"/>
        <v>77172.479999999996</v>
      </c>
      <c r="R316" s="89">
        <v>5329.04</v>
      </c>
      <c r="S316" s="92">
        <f t="shared" si="34"/>
        <v>5</v>
      </c>
      <c r="T316" s="59">
        <f t="shared" si="31"/>
        <v>71843.44</v>
      </c>
      <c r="U316" s="60">
        <f t="shared" si="32"/>
        <v>6.9053631553631561E-2</v>
      </c>
      <c r="V316" s="59" t="str">
        <f t="array" ref="V316">_xlfn.IFS(S316=0,"Alta sin facturar",S316&gt;2,"Cliente",S316&gt;0,"Cliente nuevo")</f>
        <v>Cliente</v>
      </c>
      <c r="W316" s="59" t="str">
        <f t="shared" si="35"/>
        <v>Ha pagado</v>
      </c>
      <c r="X316" s="3"/>
      <c r="Y316" s="3"/>
      <c r="Z316" s="3"/>
      <c r="AA316" s="3"/>
      <c r="AB316" s="3"/>
      <c r="AC316" s="3"/>
      <c r="AD316" s="3"/>
      <c r="AE316" s="3"/>
      <c r="AG316"/>
      <c r="AH316"/>
      <c r="AI316"/>
      <c r="AJ316"/>
      <c r="AK316"/>
      <c r="AL316"/>
      <c r="AM316"/>
      <c r="AN316"/>
    </row>
    <row r="317" spans="1:40" x14ac:dyDescent="0.25">
      <c r="A317" s="6">
        <v>44657</v>
      </c>
      <c r="B317" t="str">
        <f t="shared" si="29"/>
        <v>Abril</v>
      </c>
      <c r="C317" s="1" t="s">
        <v>61</v>
      </c>
      <c r="D317" s="58" t="str">
        <f>VLOOKUP(Datos!$C317,$AQ$2:$AR$41,2,0)</f>
        <v>Centro</v>
      </c>
      <c r="E317" s="1">
        <v>23397</v>
      </c>
      <c r="F317" s="1" t="str">
        <f t="array" ref="F317">_xlfn.IFS(H317=0,"Alta sin facturar",H317&gt;2,"Cliente",H317&gt;0,"Cliente nuevo")</f>
        <v>Alta sin facturar</v>
      </c>
      <c r="G317" s="1"/>
      <c r="H317" s="1">
        <f t="shared" si="33"/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89">
        <v>0</v>
      </c>
      <c r="O317" s="89">
        <v>0</v>
      </c>
      <c r="P317" s="89">
        <v>0</v>
      </c>
      <c r="Q317" s="54">
        <f t="shared" si="30"/>
        <v>0</v>
      </c>
      <c r="R317" s="89"/>
      <c r="S317" s="92">
        <f t="shared" si="34"/>
        <v>0</v>
      </c>
      <c r="T317" s="59">
        <f t="shared" si="31"/>
        <v>0</v>
      </c>
      <c r="U317" s="60">
        <f t="shared" si="32"/>
        <v>0</v>
      </c>
      <c r="V317" s="59" t="str">
        <f t="array" ref="V317">_xlfn.IFS(S317=0,"Alta sin facturar",S317&gt;2,"Cliente",S317&gt;0,"Cliente nuevo")</f>
        <v>Alta sin facturar</v>
      </c>
      <c r="W317" s="59" t="str">
        <f t="shared" si="35"/>
        <v>Sin pago</v>
      </c>
      <c r="X317" s="3"/>
      <c r="Y317" s="3"/>
      <c r="Z317" s="3"/>
      <c r="AA317" s="3"/>
      <c r="AB317" s="3"/>
      <c r="AC317" s="3"/>
      <c r="AD317" s="3"/>
      <c r="AE317" s="3"/>
      <c r="AG317"/>
      <c r="AH317"/>
      <c r="AI317"/>
      <c r="AJ317"/>
      <c r="AK317"/>
      <c r="AL317"/>
      <c r="AM317"/>
      <c r="AN317"/>
    </row>
    <row r="318" spans="1:40" x14ac:dyDescent="0.25">
      <c r="A318" s="6">
        <v>44657</v>
      </c>
      <c r="B318" t="str">
        <f t="shared" si="29"/>
        <v>Abril</v>
      </c>
      <c r="C318" s="1" t="s">
        <v>61</v>
      </c>
      <c r="D318" s="58" t="str">
        <f>VLOOKUP(Datos!$C318,$AQ$2:$AR$41,2,0)</f>
        <v>Centro</v>
      </c>
      <c r="E318" s="1">
        <v>23398</v>
      </c>
      <c r="F318" s="1" t="str">
        <f t="array" ref="F318">_xlfn.IFS(H318=0,"Alta sin facturar",H318&gt;2,"Cliente",H318&gt;0,"Cliente nuevo")</f>
        <v>Alta sin facturar</v>
      </c>
      <c r="G318" s="1"/>
      <c r="H318" s="1">
        <f t="shared" si="33"/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89">
        <v>0</v>
      </c>
      <c r="O318" s="89">
        <v>0</v>
      </c>
      <c r="P318" s="89">
        <v>0</v>
      </c>
      <c r="Q318" s="54">
        <f t="shared" si="30"/>
        <v>0</v>
      </c>
      <c r="R318" s="89"/>
      <c r="S318" s="92">
        <f t="shared" si="34"/>
        <v>0</v>
      </c>
      <c r="T318" s="59">
        <f t="shared" si="31"/>
        <v>0</v>
      </c>
      <c r="U318" s="60">
        <f t="shared" si="32"/>
        <v>0</v>
      </c>
      <c r="V318" s="59" t="str">
        <f t="array" ref="V318">_xlfn.IFS(S318=0,"Alta sin facturar",S318&gt;2,"Cliente",S318&gt;0,"Cliente nuevo")</f>
        <v>Alta sin facturar</v>
      </c>
      <c r="W318" s="59" t="str">
        <f t="shared" si="35"/>
        <v>Sin pago</v>
      </c>
      <c r="X318" s="3"/>
      <c r="Y318" s="3"/>
      <c r="Z318" s="3"/>
      <c r="AA318" s="3"/>
      <c r="AB318" s="3"/>
      <c r="AC318" s="3"/>
      <c r="AD318" s="3"/>
      <c r="AE318" s="3"/>
      <c r="AG318"/>
      <c r="AH318"/>
      <c r="AI318"/>
      <c r="AJ318"/>
      <c r="AK318"/>
      <c r="AL318"/>
      <c r="AM318"/>
      <c r="AN318"/>
    </row>
    <row r="319" spans="1:40" x14ac:dyDescent="0.25">
      <c r="A319" s="6">
        <v>44657</v>
      </c>
      <c r="B319" t="str">
        <f t="shared" si="29"/>
        <v>Abril</v>
      </c>
      <c r="C319" s="1" t="s">
        <v>62</v>
      </c>
      <c r="D319" s="58" t="str">
        <f>VLOOKUP(Datos!$C319,$AQ$2:$AR$41,2,0)</f>
        <v>Norte</v>
      </c>
      <c r="E319" s="1">
        <v>23399</v>
      </c>
      <c r="F319" s="1" t="str">
        <f t="array" ref="F319">_xlfn.IFS(H319=0,"Alta sin facturar",H319&gt;2,"Cliente",H319&gt;0,"Cliente nuevo")</f>
        <v>Cliente</v>
      </c>
      <c r="G319" s="1"/>
      <c r="H319" s="1">
        <f t="shared" si="33"/>
        <v>5</v>
      </c>
      <c r="I319" s="2">
        <v>0</v>
      </c>
      <c r="J319" s="2">
        <v>0</v>
      </c>
      <c r="K319" s="2">
        <v>0</v>
      </c>
      <c r="L319" s="2">
        <v>373.52</v>
      </c>
      <c r="M319" s="2">
        <v>185.6</v>
      </c>
      <c r="N319" s="89">
        <v>3290.9199999999996</v>
      </c>
      <c r="O319" s="89">
        <v>6535.4399999999969</v>
      </c>
      <c r="P319" s="89">
        <v>2485.8799999999997</v>
      </c>
      <c r="Q319" s="54">
        <f t="shared" si="30"/>
        <v>12871.359999999995</v>
      </c>
      <c r="R319" s="89">
        <v>0</v>
      </c>
      <c r="S319" s="92">
        <f t="shared" si="34"/>
        <v>5</v>
      </c>
      <c r="T319" s="59">
        <f t="shared" si="31"/>
        <v>12871.359999999995</v>
      </c>
      <c r="U319" s="60">
        <f t="shared" si="32"/>
        <v>0</v>
      </c>
      <c r="V319" s="59" t="str">
        <f t="array" ref="V319">_xlfn.IFS(S319=0,"Alta sin facturar",S319&gt;2,"Cliente",S319&gt;0,"Cliente nuevo")</f>
        <v>Cliente</v>
      </c>
      <c r="W319" s="59" t="str">
        <f t="shared" si="35"/>
        <v>Ha pagado</v>
      </c>
      <c r="X319" s="3"/>
      <c r="Y319" s="3"/>
      <c r="Z319" s="3"/>
      <c r="AA319" s="3"/>
      <c r="AB319" s="3"/>
      <c r="AC319" s="3"/>
      <c r="AD319" s="3"/>
      <c r="AE319" s="3"/>
      <c r="AG319"/>
      <c r="AH319"/>
      <c r="AI319"/>
      <c r="AJ319"/>
      <c r="AK319"/>
      <c r="AL319"/>
      <c r="AM319"/>
      <c r="AN319"/>
    </row>
    <row r="320" spans="1:40" x14ac:dyDescent="0.25">
      <c r="A320" s="6">
        <v>44657</v>
      </c>
      <c r="B320" t="str">
        <f t="shared" si="29"/>
        <v>Abril</v>
      </c>
      <c r="C320" s="1" t="s">
        <v>64</v>
      </c>
      <c r="D320" s="58" t="str">
        <f>VLOOKUP(Datos!$C320,$AQ$2:$AR$41,2,0)</f>
        <v>Norte</v>
      </c>
      <c r="E320" s="1">
        <v>23400</v>
      </c>
      <c r="F320" s="1" t="str">
        <f t="array" ref="F320">_xlfn.IFS(H320=0,"Alta sin facturar",H320&gt;2,"Cliente",H320&gt;0,"Cliente nuevo")</f>
        <v>Cliente nuevo</v>
      </c>
      <c r="G320" s="1"/>
      <c r="H320" s="1">
        <f t="shared" si="33"/>
        <v>2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89">
        <v>0</v>
      </c>
      <c r="O320" s="89">
        <v>2829.24</v>
      </c>
      <c r="P320" s="89">
        <v>1519.5999999999997</v>
      </c>
      <c r="Q320" s="54">
        <f t="shared" si="30"/>
        <v>4348.8399999999992</v>
      </c>
      <c r="R320" s="89">
        <v>2176.16</v>
      </c>
      <c r="S320" s="92">
        <f t="shared" si="34"/>
        <v>2</v>
      </c>
      <c r="T320" s="59">
        <f t="shared" si="31"/>
        <v>2172.6799999999994</v>
      </c>
      <c r="U320" s="60">
        <f t="shared" si="32"/>
        <v>0.50040010669511881</v>
      </c>
      <c r="V320" s="59" t="str">
        <f t="array" ref="V320">_xlfn.IFS(S320=0,"Alta sin facturar",S320&gt;2,"Cliente",S320&gt;0,"Cliente nuevo")</f>
        <v>Cliente nuevo</v>
      </c>
      <c r="W320" s="59" t="str">
        <f t="shared" si="35"/>
        <v>Ha pagado</v>
      </c>
      <c r="X320" s="3"/>
      <c r="Y320" s="3"/>
      <c r="Z320" s="3"/>
      <c r="AA320" s="3"/>
      <c r="AB320" s="3"/>
      <c r="AC320" s="3"/>
      <c r="AD320" s="3"/>
      <c r="AE320" s="3"/>
      <c r="AG320"/>
      <c r="AH320"/>
      <c r="AI320"/>
      <c r="AJ320"/>
      <c r="AK320"/>
      <c r="AL320"/>
      <c r="AM320"/>
      <c r="AN320"/>
    </row>
    <row r="321" spans="1:40" x14ac:dyDescent="0.25">
      <c r="A321" s="6">
        <v>44658</v>
      </c>
      <c r="B321" t="str">
        <f t="shared" si="29"/>
        <v>Abril</v>
      </c>
      <c r="C321" s="1" t="s">
        <v>64</v>
      </c>
      <c r="D321" s="58" t="str">
        <f>VLOOKUP(Datos!$C321,$AQ$2:$AR$41,2,0)</f>
        <v>Norte</v>
      </c>
      <c r="E321" s="1">
        <v>23401</v>
      </c>
      <c r="F321" s="1" t="str">
        <f t="array" ref="F321">_xlfn.IFS(H321=0,"Alta sin facturar",H321&gt;2,"Cliente",H321&gt;0,"Cliente nuevo")</f>
        <v>Cliente</v>
      </c>
      <c r="G321" s="1"/>
      <c r="H321" s="1">
        <f t="shared" si="33"/>
        <v>3</v>
      </c>
      <c r="I321" s="2">
        <v>0</v>
      </c>
      <c r="J321" s="2">
        <v>0</v>
      </c>
      <c r="K321" s="2">
        <v>0</v>
      </c>
      <c r="L321" s="2">
        <v>0</v>
      </c>
      <c r="M321" s="2">
        <v>244.76</v>
      </c>
      <c r="N321" s="89">
        <v>95.12</v>
      </c>
      <c r="O321" s="89">
        <v>716.88</v>
      </c>
      <c r="P321" s="89">
        <v>0</v>
      </c>
      <c r="Q321" s="54">
        <f t="shared" si="30"/>
        <v>1056.76</v>
      </c>
      <c r="R321" s="89">
        <v>0</v>
      </c>
      <c r="S321" s="92">
        <f t="shared" si="34"/>
        <v>3</v>
      </c>
      <c r="T321" s="59">
        <f t="shared" si="31"/>
        <v>1056.76</v>
      </c>
      <c r="U321" s="60">
        <f t="shared" si="32"/>
        <v>0</v>
      </c>
      <c r="V321" s="59" t="str">
        <f t="array" ref="V321">_xlfn.IFS(S321=0,"Alta sin facturar",S321&gt;2,"Cliente",S321&gt;0,"Cliente nuevo")</f>
        <v>Cliente</v>
      </c>
      <c r="W321" s="59" t="str">
        <f t="shared" si="35"/>
        <v>Ha pagado</v>
      </c>
      <c r="X321" s="3"/>
      <c r="Y321" s="3"/>
      <c r="Z321" s="3"/>
      <c r="AA321" s="3"/>
      <c r="AB321" s="3"/>
      <c r="AC321" s="3"/>
      <c r="AD321" s="3"/>
      <c r="AE321" s="3"/>
      <c r="AG321"/>
      <c r="AH321"/>
      <c r="AI321"/>
      <c r="AJ321"/>
      <c r="AK321"/>
      <c r="AL321"/>
      <c r="AM321"/>
      <c r="AN321"/>
    </row>
    <row r="322" spans="1:40" x14ac:dyDescent="0.25">
      <c r="A322" s="6">
        <v>44659</v>
      </c>
      <c r="B322" t="str">
        <f t="shared" ref="B322:B385" si="36">PROPER(TEXT(A322,"mmmm"))</f>
        <v>Abril</v>
      </c>
      <c r="C322" s="1" t="s">
        <v>59</v>
      </c>
      <c r="D322" s="58" t="str">
        <f>VLOOKUP(Datos!$C322,$AQ$2:$AR$41,2,0)</f>
        <v>Magallanes</v>
      </c>
      <c r="E322" s="1">
        <v>23402</v>
      </c>
      <c r="F322" s="1" t="str">
        <f t="array" ref="F322">_xlfn.IFS(H322=0,"Alta sin facturar",H322&gt;2,"Cliente",H322&gt;0,"Cliente nuevo")</f>
        <v>Cliente nuevo</v>
      </c>
      <c r="G322" s="1"/>
      <c r="H322" s="1">
        <f t="shared" si="33"/>
        <v>2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89">
        <v>2608.84</v>
      </c>
      <c r="O322" s="89">
        <v>0</v>
      </c>
      <c r="P322" s="89">
        <v>2060.16</v>
      </c>
      <c r="Q322" s="54">
        <f t="shared" ref="Q322:Q385" si="37">SUBTOTAL(109,I322:P322)</f>
        <v>4669</v>
      </c>
      <c r="R322" s="89">
        <v>344.52</v>
      </c>
      <c r="S322" s="92">
        <f t="shared" si="34"/>
        <v>2</v>
      </c>
      <c r="T322" s="59">
        <f t="shared" ref="T322:T385" si="38">Q322-R322</f>
        <v>4324.4799999999996</v>
      </c>
      <c r="U322" s="60">
        <f t="shared" ref="U322:U385" si="39">IF(Q322=0,0,R322/Q322)</f>
        <v>7.3788819875776387E-2</v>
      </c>
      <c r="V322" s="59" t="str">
        <f t="array" ref="V322">_xlfn.IFS(S322=0,"Alta sin facturar",S322&gt;2,"Cliente",S322&gt;0,"Cliente nuevo")</f>
        <v>Cliente nuevo</v>
      </c>
      <c r="W322" s="59" t="str">
        <f t="shared" si="35"/>
        <v>Ha pagado</v>
      </c>
      <c r="X322" s="3"/>
      <c r="Y322" s="3"/>
      <c r="Z322" s="3"/>
      <c r="AA322" s="3"/>
      <c r="AB322" s="3"/>
      <c r="AC322" s="3"/>
      <c r="AD322" s="3"/>
      <c r="AE322" s="3"/>
      <c r="AG322"/>
      <c r="AH322"/>
      <c r="AI322"/>
      <c r="AJ322"/>
      <c r="AK322"/>
      <c r="AL322"/>
      <c r="AM322"/>
      <c r="AN322"/>
    </row>
    <row r="323" spans="1:40" x14ac:dyDescent="0.25">
      <c r="A323" s="6">
        <v>44659</v>
      </c>
      <c r="B323" t="str">
        <f t="shared" si="36"/>
        <v>Abril</v>
      </c>
      <c r="C323" s="1" t="s">
        <v>34</v>
      </c>
      <c r="D323" s="58" t="str">
        <f>VLOOKUP(Datos!$C323,$AQ$2:$AR$41,2,0)</f>
        <v>Norte</v>
      </c>
      <c r="E323" s="1">
        <v>23403</v>
      </c>
      <c r="F323" s="1" t="str">
        <f t="array" ref="F323">_xlfn.IFS(H323=0,"Alta sin facturar",H323&gt;2,"Cliente",H323&gt;0,"Cliente nuevo")</f>
        <v>Cliente</v>
      </c>
      <c r="G323" s="1"/>
      <c r="H323" s="1">
        <f t="shared" ref="H323:H386" si="40">COUNTIF(I323:P323,"&gt;0")</f>
        <v>5</v>
      </c>
      <c r="I323" s="2">
        <v>0</v>
      </c>
      <c r="J323" s="2">
        <v>0</v>
      </c>
      <c r="K323" s="2">
        <v>0</v>
      </c>
      <c r="L323" s="2">
        <v>4432.3599999999979</v>
      </c>
      <c r="M323" s="2">
        <v>5788.399999999996</v>
      </c>
      <c r="N323" s="89">
        <v>12298.32</v>
      </c>
      <c r="O323" s="89">
        <v>7136.3200000000024</v>
      </c>
      <c r="P323" s="89">
        <v>7679.1999999999989</v>
      </c>
      <c r="Q323" s="54">
        <f t="shared" si="37"/>
        <v>37334.6</v>
      </c>
      <c r="R323" s="89">
        <v>4147</v>
      </c>
      <c r="S323" s="92">
        <f t="shared" ref="S323:S386" si="41">COUNTIF(I323:P323,"&gt;0")</f>
        <v>5</v>
      </c>
      <c r="T323" s="59">
        <f t="shared" si="38"/>
        <v>33187.599999999999</v>
      </c>
      <c r="U323" s="60">
        <f t="shared" si="39"/>
        <v>0.11107658847289111</v>
      </c>
      <c r="V323" s="59" t="str">
        <f t="array" ref="V323">_xlfn.IFS(S323=0,"Alta sin facturar",S323&gt;2,"Cliente",S323&gt;0,"Cliente nuevo")</f>
        <v>Cliente</v>
      </c>
      <c r="W323" s="59" t="str">
        <f t="shared" ref="W323:W386" si="42">IF(T323&lt;1,"Sin pago","Ha pagado")</f>
        <v>Ha pagado</v>
      </c>
      <c r="X323" s="3"/>
      <c r="Y323" s="3"/>
      <c r="Z323" s="3"/>
      <c r="AA323" s="3"/>
      <c r="AB323" s="3"/>
      <c r="AC323" s="3"/>
      <c r="AD323" s="3"/>
      <c r="AE323" s="3"/>
      <c r="AG323"/>
      <c r="AH323"/>
      <c r="AI323"/>
      <c r="AJ323"/>
      <c r="AK323"/>
      <c r="AL323"/>
      <c r="AM323"/>
      <c r="AN323"/>
    </row>
    <row r="324" spans="1:40" x14ac:dyDescent="0.25">
      <c r="A324" s="6">
        <v>44659</v>
      </c>
      <c r="B324" t="str">
        <f t="shared" si="36"/>
        <v>Abril</v>
      </c>
      <c r="C324" s="1" t="s">
        <v>33</v>
      </c>
      <c r="D324" s="58" t="str">
        <f>VLOOKUP(Datos!$C324,$AQ$2:$AR$41,2,0)</f>
        <v>Magallanes</v>
      </c>
      <c r="E324" s="1">
        <v>23404</v>
      </c>
      <c r="F324" s="1" t="str">
        <f t="array" ref="F324">_xlfn.IFS(H324=0,"Alta sin facturar",H324&gt;2,"Cliente",H324&gt;0,"Cliente nuevo")</f>
        <v>Cliente nuevo</v>
      </c>
      <c r="G324" s="1"/>
      <c r="H324" s="1">
        <f t="shared" si="40"/>
        <v>1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89">
        <v>0</v>
      </c>
      <c r="O324" s="89">
        <v>0</v>
      </c>
      <c r="P324" s="89">
        <v>522</v>
      </c>
      <c r="Q324" s="54">
        <f t="shared" si="37"/>
        <v>522</v>
      </c>
      <c r="R324" s="89"/>
      <c r="S324" s="92">
        <f t="shared" si="41"/>
        <v>1</v>
      </c>
      <c r="T324" s="59">
        <f t="shared" si="38"/>
        <v>522</v>
      </c>
      <c r="U324" s="60">
        <f t="shared" si="39"/>
        <v>0</v>
      </c>
      <c r="V324" s="59" t="str">
        <f t="array" ref="V324">_xlfn.IFS(S324=0,"Alta sin facturar",S324&gt;2,"Cliente",S324&gt;0,"Cliente nuevo")</f>
        <v>Cliente nuevo</v>
      </c>
      <c r="W324" s="59" t="str">
        <f t="shared" si="42"/>
        <v>Ha pagado</v>
      </c>
      <c r="X324" s="3"/>
      <c r="Y324" s="3"/>
      <c r="Z324" s="3"/>
      <c r="AA324" s="3"/>
      <c r="AB324" s="3"/>
      <c r="AC324" s="3"/>
      <c r="AD324" s="3"/>
      <c r="AE324" s="3"/>
      <c r="AG324"/>
      <c r="AH324"/>
      <c r="AI324"/>
      <c r="AJ324"/>
      <c r="AK324"/>
      <c r="AL324"/>
      <c r="AM324"/>
      <c r="AN324"/>
    </row>
    <row r="325" spans="1:40" x14ac:dyDescent="0.25">
      <c r="A325" s="6">
        <v>44659</v>
      </c>
      <c r="B325" t="str">
        <f t="shared" si="36"/>
        <v>Abril</v>
      </c>
      <c r="C325" s="1" t="s">
        <v>59</v>
      </c>
      <c r="D325" s="58" t="str">
        <f>VLOOKUP(Datos!$C325,$AQ$2:$AR$41,2,0)</f>
        <v>Magallanes</v>
      </c>
      <c r="E325" s="1">
        <v>23405</v>
      </c>
      <c r="F325" s="1" t="str">
        <f t="array" ref="F325">_xlfn.IFS(H325=0,"Alta sin facturar",H325&gt;2,"Cliente",H325&gt;0,"Cliente nuevo")</f>
        <v>Alta sin facturar</v>
      </c>
      <c r="G325" s="1"/>
      <c r="H325" s="1">
        <f t="shared" si="40"/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89">
        <v>0</v>
      </c>
      <c r="O325" s="89">
        <v>0</v>
      </c>
      <c r="P325" s="89">
        <v>0</v>
      </c>
      <c r="Q325" s="54">
        <f t="shared" si="37"/>
        <v>0</v>
      </c>
      <c r="R325" s="89"/>
      <c r="S325" s="92">
        <f t="shared" si="41"/>
        <v>0</v>
      </c>
      <c r="T325" s="59">
        <f t="shared" si="38"/>
        <v>0</v>
      </c>
      <c r="U325" s="60">
        <f t="shared" si="39"/>
        <v>0</v>
      </c>
      <c r="V325" s="59" t="str">
        <f t="array" ref="V325">_xlfn.IFS(S325=0,"Alta sin facturar",S325&gt;2,"Cliente",S325&gt;0,"Cliente nuevo")</f>
        <v>Alta sin facturar</v>
      </c>
      <c r="W325" s="59" t="str">
        <f t="shared" si="42"/>
        <v>Sin pago</v>
      </c>
      <c r="X325" s="3"/>
      <c r="Y325" s="3"/>
      <c r="Z325" s="3"/>
      <c r="AA325" s="3"/>
      <c r="AB325" s="3"/>
      <c r="AC325" s="3"/>
      <c r="AD325" s="3"/>
      <c r="AE325" s="3"/>
      <c r="AG325"/>
      <c r="AH325"/>
      <c r="AI325"/>
      <c r="AJ325"/>
      <c r="AK325"/>
      <c r="AL325"/>
      <c r="AM325"/>
      <c r="AN325"/>
    </row>
    <row r="326" spans="1:40" x14ac:dyDescent="0.25">
      <c r="A326" s="6">
        <v>44659</v>
      </c>
      <c r="B326" t="str">
        <f t="shared" si="36"/>
        <v>Abril</v>
      </c>
      <c r="C326" s="1" t="s">
        <v>31</v>
      </c>
      <c r="D326" s="58" t="str">
        <f>VLOOKUP(Datos!$C326,$AQ$2:$AR$41,2,0)</f>
        <v>Centro</v>
      </c>
      <c r="E326" s="1">
        <v>23406</v>
      </c>
      <c r="F326" s="1" t="str">
        <f t="array" ref="F326">_xlfn.IFS(H326=0,"Alta sin facturar",H326&gt;2,"Cliente",H326&gt;0,"Cliente nuevo")</f>
        <v>Cliente</v>
      </c>
      <c r="G326" s="1"/>
      <c r="H326" s="1">
        <f t="shared" si="40"/>
        <v>5</v>
      </c>
      <c r="I326" s="2">
        <v>0</v>
      </c>
      <c r="J326" s="2">
        <v>0</v>
      </c>
      <c r="K326" s="2">
        <v>0</v>
      </c>
      <c r="L326" s="2">
        <v>1030.08</v>
      </c>
      <c r="M326" s="2">
        <v>8639.68</v>
      </c>
      <c r="N326" s="89">
        <v>9314.7999999999993</v>
      </c>
      <c r="O326" s="89">
        <v>516.20000000000005</v>
      </c>
      <c r="P326" s="89">
        <v>3566.9999999999995</v>
      </c>
      <c r="Q326" s="54">
        <f t="shared" si="37"/>
        <v>23067.759999999998</v>
      </c>
      <c r="R326" s="89">
        <v>0</v>
      </c>
      <c r="S326" s="92">
        <f t="shared" si="41"/>
        <v>5</v>
      </c>
      <c r="T326" s="59">
        <f t="shared" si="38"/>
        <v>23067.759999999998</v>
      </c>
      <c r="U326" s="60">
        <f t="shared" si="39"/>
        <v>0</v>
      </c>
      <c r="V326" s="59" t="str">
        <f t="array" ref="V326">_xlfn.IFS(S326=0,"Alta sin facturar",S326&gt;2,"Cliente",S326&gt;0,"Cliente nuevo")</f>
        <v>Cliente</v>
      </c>
      <c r="W326" s="59" t="str">
        <f t="shared" si="42"/>
        <v>Ha pagado</v>
      </c>
      <c r="X326" s="3"/>
      <c r="Y326" s="3"/>
      <c r="Z326" s="3"/>
      <c r="AA326" s="3"/>
      <c r="AB326" s="3"/>
      <c r="AC326" s="3"/>
      <c r="AD326" s="3"/>
      <c r="AE326" s="3"/>
      <c r="AG326"/>
      <c r="AH326"/>
      <c r="AI326"/>
      <c r="AJ326"/>
      <c r="AK326"/>
      <c r="AL326"/>
      <c r="AM326"/>
      <c r="AN326"/>
    </row>
    <row r="327" spans="1:40" x14ac:dyDescent="0.25">
      <c r="A327" s="6">
        <v>44659</v>
      </c>
      <c r="B327" t="str">
        <f t="shared" si="36"/>
        <v>Abril</v>
      </c>
      <c r="C327" s="1" t="s">
        <v>33</v>
      </c>
      <c r="D327" s="58" t="str">
        <f>VLOOKUP(Datos!$C327,$AQ$2:$AR$41,2,0)</f>
        <v>Magallanes</v>
      </c>
      <c r="E327" s="1">
        <v>23407</v>
      </c>
      <c r="F327" s="1" t="str">
        <f t="array" ref="F327">_xlfn.IFS(H327=0,"Alta sin facturar",H327&gt;2,"Cliente",H327&gt;0,"Cliente nuevo")</f>
        <v>Cliente nuevo</v>
      </c>
      <c r="G327" s="1"/>
      <c r="H327" s="1">
        <f t="shared" si="40"/>
        <v>1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89">
        <v>1876.88</v>
      </c>
      <c r="O327" s="89">
        <v>0</v>
      </c>
      <c r="P327" s="89">
        <v>0</v>
      </c>
      <c r="Q327" s="54">
        <f t="shared" si="37"/>
        <v>1876.88</v>
      </c>
      <c r="R327" s="89">
        <v>0</v>
      </c>
      <c r="S327" s="92">
        <f t="shared" si="41"/>
        <v>1</v>
      </c>
      <c r="T327" s="59">
        <f t="shared" si="38"/>
        <v>1876.88</v>
      </c>
      <c r="U327" s="60">
        <f t="shared" si="39"/>
        <v>0</v>
      </c>
      <c r="V327" s="59" t="str">
        <f t="array" ref="V327">_xlfn.IFS(S327=0,"Alta sin facturar",S327&gt;2,"Cliente",S327&gt;0,"Cliente nuevo")</f>
        <v>Cliente nuevo</v>
      </c>
      <c r="W327" s="59" t="str">
        <f t="shared" si="42"/>
        <v>Ha pagado</v>
      </c>
      <c r="X327" s="3"/>
      <c r="Y327" s="3"/>
      <c r="Z327" s="3"/>
      <c r="AA327" s="3"/>
      <c r="AB327" s="3"/>
      <c r="AC327" s="3"/>
      <c r="AD327" s="3"/>
      <c r="AE327" s="3"/>
      <c r="AG327"/>
      <c r="AH327"/>
      <c r="AI327"/>
      <c r="AJ327"/>
      <c r="AK327"/>
      <c r="AL327"/>
      <c r="AM327"/>
      <c r="AN327"/>
    </row>
    <row r="328" spans="1:40" x14ac:dyDescent="0.25">
      <c r="A328" s="6">
        <v>44660</v>
      </c>
      <c r="B328" t="str">
        <f t="shared" si="36"/>
        <v>Abril</v>
      </c>
      <c r="C328" s="1" t="s">
        <v>39</v>
      </c>
      <c r="D328" s="58" t="str">
        <f>VLOOKUP(Datos!$C328,$AQ$2:$AR$41,2,0)</f>
        <v>Sur</v>
      </c>
      <c r="E328" s="1">
        <v>23408</v>
      </c>
      <c r="F328" s="1" t="str">
        <f t="array" ref="F328">_xlfn.IFS(H328=0,"Alta sin facturar",H328&gt;2,"Cliente",H328&gt;0,"Cliente nuevo")</f>
        <v>Cliente</v>
      </c>
      <c r="G328" s="1"/>
      <c r="H328" s="1">
        <f t="shared" si="40"/>
        <v>5</v>
      </c>
      <c r="I328" s="2">
        <v>0</v>
      </c>
      <c r="J328" s="2">
        <v>0</v>
      </c>
      <c r="K328" s="2">
        <v>0</v>
      </c>
      <c r="L328" s="2">
        <v>1813.0800000000002</v>
      </c>
      <c r="M328" s="2">
        <v>271.43999999999994</v>
      </c>
      <c r="N328" s="89">
        <v>730.8</v>
      </c>
      <c r="O328" s="89">
        <v>3412.7199999999993</v>
      </c>
      <c r="P328" s="89">
        <v>982.51999999999987</v>
      </c>
      <c r="Q328" s="54">
        <f t="shared" si="37"/>
        <v>7210.5599999999986</v>
      </c>
      <c r="R328" s="89">
        <v>0</v>
      </c>
      <c r="S328" s="92">
        <f t="shared" si="41"/>
        <v>5</v>
      </c>
      <c r="T328" s="59">
        <f t="shared" si="38"/>
        <v>7210.5599999999986</v>
      </c>
      <c r="U328" s="60">
        <f t="shared" si="39"/>
        <v>0</v>
      </c>
      <c r="V328" s="59" t="str">
        <f t="array" ref="V328">_xlfn.IFS(S328=0,"Alta sin facturar",S328&gt;2,"Cliente",S328&gt;0,"Cliente nuevo")</f>
        <v>Cliente</v>
      </c>
      <c r="W328" s="59" t="str">
        <f t="shared" si="42"/>
        <v>Ha pagado</v>
      </c>
      <c r="X328" s="3"/>
      <c r="Y328" s="3"/>
      <c r="Z328" s="3"/>
      <c r="AA328" s="3"/>
      <c r="AB328" s="3"/>
      <c r="AC328" s="3"/>
      <c r="AD328" s="3"/>
      <c r="AE328" s="3"/>
      <c r="AG328"/>
      <c r="AH328"/>
      <c r="AI328"/>
      <c r="AJ328"/>
      <c r="AK328"/>
      <c r="AL328"/>
      <c r="AM328"/>
      <c r="AN328"/>
    </row>
    <row r="329" spans="1:40" x14ac:dyDescent="0.25">
      <c r="A329" s="6">
        <v>44660</v>
      </c>
      <c r="B329" t="str">
        <f t="shared" si="36"/>
        <v>Abril</v>
      </c>
      <c r="C329" s="1" t="s">
        <v>40</v>
      </c>
      <c r="D329" s="58" t="str">
        <f>VLOOKUP(Datos!$C329,$AQ$2:$AR$41,2,0)</f>
        <v>Centro</v>
      </c>
      <c r="E329" s="1">
        <v>23409</v>
      </c>
      <c r="F329" s="1" t="str">
        <f t="array" ref="F329">_xlfn.IFS(H329=0,"Alta sin facturar",H329&gt;2,"Cliente",H329&gt;0,"Cliente nuevo")</f>
        <v>Alta sin facturar</v>
      </c>
      <c r="G329" s="1"/>
      <c r="H329" s="1">
        <f t="shared" si="40"/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89">
        <v>0</v>
      </c>
      <c r="O329" s="89">
        <v>0</v>
      </c>
      <c r="P329" s="89">
        <v>0</v>
      </c>
      <c r="Q329" s="54">
        <f t="shared" si="37"/>
        <v>0</v>
      </c>
      <c r="R329" s="89"/>
      <c r="S329" s="92">
        <f t="shared" si="41"/>
        <v>0</v>
      </c>
      <c r="T329" s="59">
        <f t="shared" si="38"/>
        <v>0</v>
      </c>
      <c r="U329" s="60">
        <f t="shared" si="39"/>
        <v>0</v>
      </c>
      <c r="V329" s="59" t="str">
        <f t="array" ref="V329">_xlfn.IFS(S329=0,"Alta sin facturar",S329&gt;2,"Cliente",S329&gt;0,"Cliente nuevo")</f>
        <v>Alta sin facturar</v>
      </c>
      <c r="W329" s="59" t="str">
        <f t="shared" si="42"/>
        <v>Sin pago</v>
      </c>
      <c r="X329" s="3"/>
      <c r="Y329" s="3"/>
      <c r="Z329" s="3"/>
      <c r="AA329" s="3"/>
      <c r="AB329" s="3"/>
      <c r="AC329" s="3"/>
      <c r="AD329" s="3"/>
      <c r="AE329" s="3"/>
      <c r="AG329"/>
      <c r="AH329"/>
      <c r="AI329"/>
      <c r="AJ329"/>
      <c r="AK329"/>
      <c r="AL329"/>
      <c r="AM329"/>
      <c r="AN329"/>
    </row>
    <row r="330" spans="1:40" x14ac:dyDescent="0.25">
      <c r="A330" s="6">
        <v>44660</v>
      </c>
      <c r="B330" t="str">
        <f t="shared" si="36"/>
        <v>Abril</v>
      </c>
      <c r="C330" s="1" t="s">
        <v>67</v>
      </c>
      <c r="D330" s="58" t="str">
        <f>VLOOKUP(Datos!$C330,$AQ$2:$AR$41,2,0)</f>
        <v>Norte</v>
      </c>
      <c r="E330" s="1">
        <v>23410</v>
      </c>
      <c r="F330" s="1" t="str">
        <f t="array" ref="F330">_xlfn.IFS(H330=0,"Alta sin facturar",H330&gt;2,"Cliente",H330&gt;0,"Cliente nuevo")</f>
        <v>Cliente</v>
      </c>
      <c r="G330" s="1"/>
      <c r="H330" s="1">
        <f t="shared" si="40"/>
        <v>5</v>
      </c>
      <c r="I330" s="2">
        <v>0</v>
      </c>
      <c r="J330" s="2">
        <v>0</v>
      </c>
      <c r="K330" s="2">
        <v>0</v>
      </c>
      <c r="L330" s="2">
        <v>375.84</v>
      </c>
      <c r="M330" s="2">
        <v>4823.28</v>
      </c>
      <c r="N330" s="89">
        <v>487.2</v>
      </c>
      <c r="O330" s="89">
        <v>560.28</v>
      </c>
      <c r="P330" s="89">
        <v>5926.44</v>
      </c>
      <c r="Q330" s="54">
        <f t="shared" si="37"/>
        <v>12173.039999999999</v>
      </c>
      <c r="R330" s="89">
        <v>0</v>
      </c>
      <c r="S330" s="92">
        <f t="shared" si="41"/>
        <v>5</v>
      </c>
      <c r="T330" s="59">
        <f t="shared" si="38"/>
        <v>12173.039999999999</v>
      </c>
      <c r="U330" s="60">
        <f t="shared" si="39"/>
        <v>0</v>
      </c>
      <c r="V330" s="59" t="str">
        <f t="array" ref="V330">_xlfn.IFS(S330=0,"Alta sin facturar",S330&gt;2,"Cliente",S330&gt;0,"Cliente nuevo")</f>
        <v>Cliente</v>
      </c>
      <c r="W330" s="59" t="str">
        <f t="shared" si="42"/>
        <v>Ha pagado</v>
      </c>
      <c r="X330" s="3"/>
      <c r="Y330" s="3"/>
      <c r="Z330" s="3"/>
      <c r="AA330" s="3"/>
      <c r="AB330" s="3"/>
      <c r="AC330" s="3"/>
      <c r="AD330" s="3"/>
      <c r="AE330" s="3"/>
      <c r="AG330"/>
      <c r="AH330"/>
      <c r="AI330"/>
      <c r="AJ330"/>
      <c r="AK330"/>
      <c r="AL330"/>
      <c r="AM330"/>
      <c r="AN330"/>
    </row>
    <row r="331" spans="1:40" x14ac:dyDescent="0.25">
      <c r="A331" s="6">
        <v>44662</v>
      </c>
      <c r="B331" t="str">
        <f t="shared" si="36"/>
        <v>Abril</v>
      </c>
      <c r="C331" s="1" t="s">
        <v>62</v>
      </c>
      <c r="D331" s="58" t="str">
        <f>VLOOKUP(Datos!$C331,$AQ$2:$AR$41,2,0)</f>
        <v>Norte</v>
      </c>
      <c r="E331" s="1">
        <v>23411</v>
      </c>
      <c r="F331" s="1" t="str">
        <f t="array" ref="F331">_xlfn.IFS(H331=0,"Alta sin facturar",H331&gt;2,"Cliente",H331&gt;0,"Cliente nuevo")</f>
        <v>Cliente nuevo</v>
      </c>
      <c r="G331" s="1"/>
      <c r="H331" s="1">
        <f t="shared" si="40"/>
        <v>2</v>
      </c>
      <c r="I331" s="2">
        <v>0</v>
      </c>
      <c r="J331" s="2">
        <v>0</v>
      </c>
      <c r="K331" s="2">
        <v>0</v>
      </c>
      <c r="L331" s="2">
        <v>5902.0800000000008</v>
      </c>
      <c r="M331" s="2">
        <v>912.92</v>
      </c>
      <c r="N331" s="89">
        <v>0</v>
      </c>
      <c r="O331" s="89">
        <v>0</v>
      </c>
      <c r="P331" s="89">
        <v>0</v>
      </c>
      <c r="Q331" s="54">
        <f t="shared" si="37"/>
        <v>6815.0000000000009</v>
      </c>
      <c r="R331" s="89">
        <v>6815</v>
      </c>
      <c r="S331" s="92">
        <f t="shared" si="41"/>
        <v>2</v>
      </c>
      <c r="T331" s="59">
        <f t="shared" si="38"/>
        <v>0</v>
      </c>
      <c r="U331" s="60">
        <f t="shared" si="39"/>
        <v>0.99999999999999989</v>
      </c>
      <c r="V331" s="59" t="str">
        <f t="array" ref="V331">_xlfn.IFS(S331=0,"Alta sin facturar",S331&gt;2,"Cliente",S331&gt;0,"Cliente nuevo")</f>
        <v>Cliente nuevo</v>
      </c>
      <c r="W331" s="59" t="str">
        <f t="shared" si="42"/>
        <v>Sin pago</v>
      </c>
      <c r="X331" s="3"/>
      <c r="Y331" s="3"/>
      <c r="Z331" s="3"/>
      <c r="AA331" s="3"/>
      <c r="AB331" s="3"/>
      <c r="AC331" s="3"/>
      <c r="AD331" s="3"/>
      <c r="AE331" s="3"/>
      <c r="AG331"/>
      <c r="AH331"/>
      <c r="AI331"/>
      <c r="AJ331"/>
      <c r="AK331"/>
      <c r="AL331"/>
      <c r="AM331"/>
      <c r="AN331"/>
    </row>
    <row r="332" spans="1:40" x14ac:dyDescent="0.25">
      <c r="A332" s="6">
        <v>44662</v>
      </c>
      <c r="B332" t="str">
        <f t="shared" si="36"/>
        <v>Abril</v>
      </c>
      <c r="C332" s="1" t="s">
        <v>66</v>
      </c>
      <c r="D332" s="58" t="str">
        <f>VLOOKUP(Datos!$C332,$AQ$2:$AR$41,2,0)</f>
        <v>Sur</v>
      </c>
      <c r="E332" s="1">
        <v>23412</v>
      </c>
      <c r="F332" s="1" t="str">
        <f t="array" ref="F332">_xlfn.IFS(H332=0,"Alta sin facturar",H332&gt;2,"Cliente",H332&gt;0,"Cliente nuevo")</f>
        <v>Cliente nuevo</v>
      </c>
      <c r="G332" s="1"/>
      <c r="H332" s="1">
        <f t="shared" si="40"/>
        <v>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89">
        <v>88.16</v>
      </c>
      <c r="O332" s="89">
        <v>0</v>
      </c>
      <c r="P332" s="89">
        <v>0</v>
      </c>
      <c r="Q332" s="54">
        <f t="shared" si="37"/>
        <v>88.16</v>
      </c>
      <c r="R332" s="89">
        <v>422.24</v>
      </c>
      <c r="S332" s="92">
        <f t="shared" si="41"/>
        <v>1</v>
      </c>
      <c r="T332" s="59">
        <f t="shared" si="38"/>
        <v>-334.08000000000004</v>
      </c>
      <c r="U332" s="60">
        <f t="shared" si="39"/>
        <v>4.7894736842105265</v>
      </c>
      <c r="V332" s="59" t="str">
        <f t="array" ref="V332">_xlfn.IFS(S332=0,"Alta sin facturar",S332&gt;2,"Cliente",S332&gt;0,"Cliente nuevo")</f>
        <v>Cliente nuevo</v>
      </c>
      <c r="W332" s="59" t="str">
        <f t="shared" si="42"/>
        <v>Sin pago</v>
      </c>
      <c r="X332" s="3"/>
      <c r="Y332" s="3"/>
      <c r="Z332" s="3"/>
      <c r="AA332" s="3"/>
      <c r="AB332" s="3"/>
      <c r="AC332" s="3"/>
      <c r="AD332" s="3"/>
      <c r="AE332" s="3"/>
      <c r="AG332"/>
      <c r="AH332"/>
      <c r="AI332"/>
      <c r="AJ332"/>
      <c r="AK332"/>
      <c r="AL332"/>
      <c r="AM332"/>
      <c r="AN332"/>
    </row>
    <row r="333" spans="1:40" x14ac:dyDescent="0.25">
      <c r="A333" s="6">
        <v>44662</v>
      </c>
      <c r="B333" t="str">
        <f t="shared" si="36"/>
        <v>Abril</v>
      </c>
      <c r="C333" s="1" t="s">
        <v>39</v>
      </c>
      <c r="D333" s="58" t="str">
        <f>VLOOKUP(Datos!$C333,$AQ$2:$AR$41,2,0)</f>
        <v>Sur</v>
      </c>
      <c r="E333" s="1">
        <v>23413</v>
      </c>
      <c r="F333" s="1" t="str">
        <f t="array" ref="F333">_xlfn.IFS(H333=0,"Alta sin facturar",H333&gt;2,"Cliente",H333&gt;0,"Cliente nuevo")</f>
        <v>Cliente</v>
      </c>
      <c r="G333" s="1"/>
      <c r="H333" s="1">
        <f t="shared" si="40"/>
        <v>4</v>
      </c>
      <c r="I333" s="2">
        <v>0</v>
      </c>
      <c r="J333" s="2">
        <v>0</v>
      </c>
      <c r="K333" s="2">
        <v>0</v>
      </c>
      <c r="L333" s="2">
        <v>0</v>
      </c>
      <c r="M333" s="2">
        <v>1026.5999999999999</v>
      </c>
      <c r="N333" s="89">
        <v>320.16000000000003</v>
      </c>
      <c r="O333" s="89">
        <v>1183.1999999999998</v>
      </c>
      <c r="P333" s="89">
        <v>342.2</v>
      </c>
      <c r="Q333" s="54">
        <f t="shared" si="37"/>
        <v>2872.16</v>
      </c>
      <c r="R333" s="89">
        <v>0</v>
      </c>
      <c r="S333" s="92">
        <f t="shared" si="41"/>
        <v>4</v>
      </c>
      <c r="T333" s="59">
        <f t="shared" si="38"/>
        <v>2872.16</v>
      </c>
      <c r="U333" s="60">
        <f t="shared" si="39"/>
        <v>0</v>
      </c>
      <c r="V333" s="59" t="str">
        <f t="array" ref="V333">_xlfn.IFS(S333=0,"Alta sin facturar",S333&gt;2,"Cliente",S333&gt;0,"Cliente nuevo")</f>
        <v>Cliente</v>
      </c>
      <c r="W333" s="59" t="str">
        <f t="shared" si="42"/>
        <v>Ha pagado</v>
      </c>
      <c r="X333" s="3"/>
      <c r="Y333" s="3"/>
      <c r="Z333" s="3"/>
      <c r="AA333" s="3"/>
      <c r="AB333" s="3"/>
      <c r="AC333" s="3"/>
      <c r="AD333" s="3"/>
      <c r="AE333" s="3"/>
      <c r="AG333"/>
      <c r="AH333"/>
      <c r="AI333"/>
      <c r="AJ333"/>
      <c r="AK333"/>
      <c r="AL333"/>
      <c r="AM333"/>
      <c r="AN333"/>
    </row>
    <row r="334" spans="1:40" x14ac:dyDescent="0.25">
      <c r="A334" s="6">
        <v>44662</v>
      </c>
      <c r="B334" t="str">
        <f t="shared" si="36"/>
        <v>Abril</v>
      </c>
      <c r="C334" s="1" t="s">
        <v>33</v>
      </c>
      <c r="D334" s="58" t="str">
        <f>VLOOKUP(Datos!$C334,$AQ$2:$AR$41,2,0)</f>
        <v>Magallanes</v>
      </c>
      <c r="E334" s="1">
        <v>23414</v>
      </c>
      <c r="F334" s="1" t="str">
        <f t="array" ref="F334">_xlfn.IFS(H334=0,"Alta sin facturar",H334&gt;2,"Cliente",H334&gt;0,"Cliente nuevo")</f>
        <v>Cliente nuevo</v>
      </c>
      <c r="G334" s="1"/>
      <c r="H334" s="1">
        <f t="shared" si="40"/>
        <v>2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89">
        <v>2391.92</v>
      </c>
      <c r="O334" s="89">
        <v>0</v>
      </c>
      <c r="P334" s="89">
        <v>1603.12</v>
      </c>
      <c r="Q334" s="54">
        <f t="shared" si="37"/>
        <v>3995.04</v>
      </c>
      <c r="R334" s="89">
        <v>839.84</v>
      </c>
      <c r="S334" s="92">
        <f t="shared" si="41"/>
        <v>2</v>
      </c>
      <c r="T334" s="59">
        <f t="shared" si="38"/>
        <v>3155.2</v>
      </c>
      <c r="U334" s="60">
        <f t="shared" si="39"/>
        <v>0.2102206736353078</v>
      </c>
      <c r="V334" s="59" t="str">
        <f t="array" ref="V334">_xlfn.IFS(S334=0,"Alta sin facturar",S334&gt;2,"Cliente",S334&gt;0,"Cliente nuevo")</f>
        <v>Cliente nuevo</v>
      </c>
      <c r="W334" s="59" t="str">
        <f t="shared" si="42"/>
        <v>Ha pagado</v>
      </c>
      <c r="X334" s="3"/>
      <c r="Y334" s="3"/>
      <c r="Z334" s="3"/>
      <c r="AA334" s="3"/>
      <c r="AB334" s="3"/>
      <c r="AC334" s="3"/>
      <c r="AD334" s="3"/>
      <c r="AE334" s="3"/>
      <c r="AG334"/>
      <c r="AH334"/>
      <c r="AI334"/>
      <c r="AJ334"/>
      <c r="AK334"/>
      <c r="AL334"/>
      <c r="AM334"/>
      <c r="AN334"/>
    </row>
    <row r="335" spans="1:40" x14ac:dyDescent="0.25">
      <c r="A335" s="6">
        <v>44663</v>
      </c>
      <c r="B335" t="str">
        <f t="shared" si="36"/>
        <v>Abril</v>
      </c>
      <c r="C335" s="1" t="s">
        <v>67</v>
      </c>
      <c r="D335" s="58" t="str">
        <f>VLOOKUP(Datos!$C335,$AQ$2:$AR$41,2,0)</f>
        <v>Norte</v>
      </c>
      <c r="E335" s="1">
        <v>23415</v>
      </c>
      <c r="F335" s="1" t="str">
        <f t="array" ref="F335">_xlfn.IFS(H335=0,"Alta sin facturar",H335&gt;2,"Cliente",H335&gt;0,"Cliente nuevo")</f>
        <v>Cliente nuevo</v>
      </c>
      <c r="G335" s="1"/>
      <c r="H335" s="1">
        <f t="shared" si="40"/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89">
        <v>741.24</v>
      </c>
      <c r="O335" s="89">
        <v>0</v>
      </c>
      <c r="P335" s="89">
        <v>0</v>
      </c>
      <c r="Q335" s="54">
        <f t="shared" si="37"/>
        <v>741.24</v>
      </c>
      <c r="R335" s="89">
        <v>741.24</v>
      </c>
      <c r="S335" s="92">
        <f t="shared" si="41"/>
        <v>1</v>
      </c>
      <c r="T335" s="59">
        <f t="shared" si="38"/>
        <v>0</v>
      </c>
      <c r="U335" s="60">
        <f t="shared" si="39"/>
        <v>1</v>
      </c>
      <c r="V335" s="59" t="str">
        <f t="array" ref="V335">_xlfn.IFS(S335=0,"Alta sin facturar",S335&gt;2,"Cliente",S335&gt;0,"Cliente nuevo")</f>
        <v>Cliente nuevo</v>
      </c>
      <c r="W335" s="59" t="str">
        <f t="shared" si="42"/>
        <v>Sin pago</v>
      </c>
      <c r="X335" s="3"/>
      <c r="Y335" s="3"/>
      <c r="Z335" s="3"/>
      <c r="AA335" s="3"/>
      <c r="AB335" s="3"/>
      <c r="AC335" s="3"/>
      <c r="AD335" s="3"/>
      <c r="AE335" s="3"/>
      <c r="AG335"/>
      <c r="AH335"/>
      <c r="AI335"/>
      <c r="AJ335"/>
      <c r="AK335"/>
      <c r="AL335"/>
      <c r="AM335"/>
      <c r="AN335"/>
    </row>
    <row r="336" spans="1:40" x14ac:dyDescent="0.25">
      <c r="A336" s="6">
        <v>44663</v>
      </c>
      <c r="B336" t="str">
        <f t="shared" si="36"/>
        <v>Abril</v>
      </c>
      <c r="C336" s="1" t="s">
        <v>66</v>
      </c>
      <c r="D336" s="58" t="str">
        <f>VLOOKUP(Datos!$C336,$AQ$2:$AR$41,2,0)</f>
        <v>Sur</v>
      </c>
      <c r="E336" s="1">
        <v>23416</v>
      </c>
      <c r="F336" s="1" t="str">
        <f t="array" ref="F336">_xlfn.IFS(H336=0,"Alta sin facturar",H336&gt;2,"Cliente",H336&gt;0,"Cliente nuevo")</f>
        <v>Alta sin facturar</v>
      </c>
      <c r="G336" s="1"/>
      <c r="H336" s="1">
        <f t="shared" si="40"/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89">
        <v>0</v>
      </c>
      <c r="O336" s="89">
        <v>0</v>
      </c>
      <c r="P336" s="89">
        <v>0</v>
      </c>
      <c r="Q336" s="54">
        <f t="shared" si="37"/>
        <v>0</v>
      </c>
      <c r="R336" s="89">
        <v>0</v>
      </c>
      <c r="S336" s="92">
        <f t="shared" si="41"/>
        <v>0</v>
      </c>
      <c r="T336" s="59">
        <f t="shared" si="38"/>
        <v>0</v>
      </c>
      <c r="U336" s="60">
        <f t="shared" si="39"/>
        <v>0</v>
      </c>
      <c r="V336" s="59" t="str">
        <f t="array" ref="V336">_xlfn.IFS(S336=0,"Alta sin facturar",S336&gt;2,"Cliente",S336&gt;0,"Cliente nuevo")</f>
        <v>Alta sin facturar</v>
      </c>
      <c r="W336" s="59" t="str">
        <f t="shared" si="42"/>
        <v>Sin pago</v>
      </c>
      <c r="X336" s="3"/>
      <c r="Y336" s="3"/>
      <c r="Z336" s="3"/>
      <c r="AA336" s="3"/>
      <c r="AB336" s="3"/>
      <c r="AC336" s="3"/>
      <c r="AD336" s="3"/>
      <c r="AE336" s="3"/>
      <c r="AG336"/>
      <c r="AH336"/>
      <c r="AI336"/>
      <c r="AJ336"/>
      <c r="AK336"/>
      <c r="AL336"/>
      <c r="AM336"/>
      <c r="AN336"/>
    </row>
    <row r="337" spans="1:40" x14ac:dyDescent="0.25">
      <c r="A337" s="6">
        <v>44663</v>
      </c>
      <c r="B337" t="str">
        <f t="shared" si="36"/>
        <v>Abril</v>
      </c>
      <c r="C337" s="1" t="s">
        <v>61</v>
      </c>
      <c r="D337" s="58" t="str">
        <f>VLOOKUP(Datos!$C337,$AQ$2:$AR$41,2,0)</f>
        <v>Centro</v>
      </c>
      <c r="E337" s="1">
        <v>23417</v>
      </c>
      <c r="F337" s="1" t="str">
        <f t="array" ref="F337">_xlfn.IFS(H337=0,"Alta sin facturar",H337&gt;2,"Cliente",H337&gt;0,"Cliente nuevo")</f>
        <v>Alta sin facturar</v>
      </c>
      <c r="G337" s="1"/>
      <c r="H337" s="1">
        <f t="shared" si="40"/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89">
        <v>0</v>
      </c>
      <c r="O337" s="89">
        <v>0</v>
      </c>
      <c r="P337" s="89">
        <v>0</v>
      </c>
      <c r="Q337" s="54">
        <f t="shared" si="37"/>
        <v>0</v>
      </c>
      <c r="R337" s="89"/>
      <c r="S337" s="92">
        <f t="shared" si="41"/>
        <v>0</v>
      </c>
      <c r="T337" s="59">
        <f t="shared" si="38"/>
        <v>0</v>
      </c>
      <c r="U337" s="60">
        <f t="shared" si="39"/>
        <v>0</v>
      </c>
      <c r="V337" s="59" t="str">
        <f t="array" ref="V337">_xlfn.IFS(S337=0,"Alta sin facturar",S337&gt;2,"Cliente",S337&gt;0,"Cliente nuevo")</f>
        <v>Alta sin facturar</v>
      </c>
      <c r="W337" s="59" t="str">
        <f t="shared" si="42"/>
        <v>Sin pago</v>
      </c>
      <c r="X337" s="3"/>
      <c r="Y337" s="3"/>
      <c r="Z337" s="3"/>
      <c r="AA337" s="3"/>
      <c r="AB337" s="3"/>
      <c r="AC337" s="3"/>
      <c r="AD337" s="3"/>
      <c r="AE337" s="3"/>
      <c r="AG337"/>
      <c r="AH337"/>
      <c r="AI337"/>
      <c r="AJ337"/>
      <c r="AK337"/>
      <c r="AL337"/>
      <c r="AM337"/>
      <c r="AN337"/>
    </row>
    <row r="338" spans="1:40" x14ac:dyDescent="0.25">
      <c r="A338" s="6">
        <v>44663</v>
      </c>
      <c r="B338" t="str">
        <f t="shared" si="36"/>
        <v>Abril</v>
      </c>
      <c r="C338" s="1" t="s">
        <v>66</v>
      </c>
      <c r="D338" s="58" t="str">
        <f>VLOOKUP(Datos!$C338,$AQ$2:$AR$41,2,0)</f>
        <v>Sur</v>
      </c>
      <c r="E338" s="1">
        <v>23418</v>
      </c>
      <c r="F338" s="1" t="str">
        <f t="array" ref="F338">_xlfn.IFS(H338=0,"Alta sin facturar",H338&gt;2,"Cliente",H338&gt;0,"Cliente nuevo")</f>
        <v>Cliente nuevo</v>
      </c>
      <c r="G338" s="1"/>
      <c r="H338" s="1">
        <f t="shared" si="40"/>
        <v>1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89">
        <v>0</v>
      </c>
      <c r="O338" s="89">
        <v>0</v>
      </c>
      <c r="P338" s="89">
        <v>673.96</v>
      </c>
      <c r="Q338" s="54">
        <f t="shared" si="37"/>
        <v>673.96</v>
      </c>
      <c r="R338" s="89">
        <v>658.88</v>
      </c>
      <c r="S338" s="92">
        <f t="shared" si="41"/>
        <v>1</v>
      </c>
      <c r="T338" s="59">
        <f t="shared" si="38"/>
        <v>15.080000000000041</v>
      </c>
      <c r="U338" s="60">
        <f t="shared" si="39"/>
        <v>0.97762478485370041</v>
      </c>
      <c r="V338" s="59" t="str">
        <f t="array" ref="V338">_xlfn.IFS(S338=0,"Alta sin facturar",S338&gt;2,"Cliente",S338&gt;0,"Cliente nuevo")</f>
        <v>Cliente nuevo</v>
      </c>
      <c r="W338" s="59" t="str">
        <f t="shared" si="42"/>
        <v>Ha pagado</v>
      </c>
      <c r="X338" s="3"/>
      <c r="Y338" s="3"/>
      <c r="Z338" s="3"/>
      <c r="AA338" s="3"/>
      <c r="AB338" s="3"/>
      <c r="AC338" s="3"/>
      <c r="AD338" s="3"/>
      <c r="AE338" s="3"/>
      <c r="AG338"/>
      <c r="AH338"/>
      <c r="AI338"/>
      <c r="AJ338"/>
      <c r="AK338"/>
      <c r="AL338"/>
      <c r="AM338"/>
      <c r="AN338"/>
    </row>
    <row r="339" spans="1:40" x14ac:dyDescent="0.25">
      <c r="A339" s="6">
        <v>44664</v>
      </c>
      <c r="B339" t="str">
        <f t="shared" si="36"/>
        <v>Abril</v>
      </c>
      <c r="C339" s="1" t="s">
        <v>36</v>
      </c>
      <c r="D339" s="58" t="str">
        <f>VLOOKUP(Datos!$C339,$AQ$2:$AR$41,2,0)</f>
        <v>Magallanes</v>
      </c>
      <c r="E339" s="1">
        <v>23419</v>
      </c>
      <c r="F339" s="1" t="str">
        <f t="array" ref="F339">_xlfn.IFS(H339=0,"Alta sin facturar",H339&gt;2,"Cliente",H339&gt;0,"Cliente nuevo")</f>
        <v>Alta sin facturar</v>
      </c>
      <c r="G339" s="1"/>
      <c r="H339" s="1">
        <f t="shared" si="40"/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89">
        <v>0</v>
      </c>
      <c r="O339" s="89">
        <v>0</v>
      </c>
      <c r="P339" s="89">
        <v>0</v>
      </c>
      <c r="Q339" s="54">
        <f t="shared" si="37"/>
        <v>0</v>
      </c>
      <c r="R339" s="89">
        <v>5615.56</v>
      </c>
      <c r="S339" s="92">
        <f t="shared" si="41"/>
        <v>0</v>
      </c>
      <c r="T339" s="59">
        <f t="shared" si="38"/>
        <v>-5615.56</v>
      </c>
      <c r="U339" s="60">
        <f t="shared" si="39"/>
        <v>0</v>
      </c>
      <c r="V339" s="59" t="str">
        <f t="array" ref="V339">_xlfn.IFS(S339=0,"Alta sin facturar",S339&gt;2,"Cliente",S339&gt;0,"Cliente nuevo")</f>
        <v>Alta sin facturar</v>
      </c>
      <c r="W339" s="59" t="str">
        <f t="shared" si="42"/>
        <v>Sin pago</v>
      </c>
      <c r="X339" s="3"/>
      <c r="Y339" s="3"/>
      <c r="Z339" s="3"/>
      <c r="AA339" s="3"/>
      <c r="AB339" s="3"/>
      <c r="AC339" s="3"/>
      <c r="AD339" s="3"/>
      <c r="AE339" s="3"/>
      <c r="AG339"/>
      <c r="AH339"/>
      <c r="AI339"/>
      <c r="AJ339"/>
      <c r="AK339"/>
      <c r="AL339"/>
      <c r="AM339"/>
      <c r="AN339"/>
    </row>
    <row r="340" spans="1:40" x14ac:dyDescent="0.25">
      <c r="A340" s="6">
        <v>44664</v>
      </c>
      <c r="B340" t="str">
        <f t="shared" si="36"/>
        <v>Abril</v>
      </c>
      <c r="C340" s="1" t="s">
        <v>102</v>
      </c>
      <c r="D340" s="58" t="str">
        <f>VLOOKUP(Datos!$C340,$AQ$2:$AR$41,2,0)</f>
        <v>Sur</v>
      </c>
      <c r="E340" s="1">
        <v>23420</v>
      </c>
      <c r="F340" s="1" t="str">
        <f t="array" ref="F340">_xlfn.IFS(H340=0,"Alta sin facturar",H340&gt;2,"Cliente",H340&gt;0,"Cliente nuevo")</f>
        <v>Cliente nuevo</v>
      </c>
      <c r="G340" s="1"/>
      <c r="H340" s="1">
        <f t="shared" si="40"/>
        <v>2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89">
        <v>1247</v>
      </c>
      <c r="O340" s="89">
        <v>0</v>
      </c>
      <c r="P340" s="89">
        <v>163.56</v>
      </c>
      <c r="Q340" s="54">
        <f t="shared" si="37"/>
        <v>1410.56</v>
      </c>
      <c r="R340" s="89">
        <v>0</v>
      </c>
      <c r="S340" s="92">
        <f t="shared" si="41"/>
        <v>2</v>
      </c>
      <c r="T340" s="59">
        <f t="shared" si="38"/>
        <v>1410.56</v>
      </c>
      <c r="U340" s="60">
        <f t="shared" si="39"/>
        <v>0</v>
      </c>
      <c r="V340" s="59" t="str">
        <f t="array" ref="V340">_xlfn.IFS(S340=0,"Alta sin facturar",S340&gt;2,"Cliente",S340&gt;0,"Cliente nuevo")</f>
        <v>Cliente nuevo</v>
      </c>
      <c r="W340" s="59" t="str">
        <f t="shared" si="42"/>
        <v>Ha pagado</v>
      </c>
      <c r="X340" s="3"/>
      <c r="Y340" s="3"/>
      <c r="Z340" s="3"/>
      <c r="AA340" s="3"/>
      <c r="AB340" s="3"/>
      <c r="AC340" s="3"/>
      <c r="AD340" s="3"/>
      <c r="AE340" s="3"/>
      <c r="AG340"/>
      <c r="AH340"/>
      <c r="AI340"/>
      <c r="AJ340"/>
      <c r="AK340"/>
      <c r="AL340"/>
      <c r="AM340"/>
      <c r="AN340"/>
    </row>
    <row r="341" spans="1:40" x14ac:dyDescent="0.25">
      <c r="A341" s="6">
        <v>44664</v>
      </c>
      <c r="B341" t="str">
        <f t="shared" si="36"/>
        <v>Abril</v>
      </c>
      <c r="C341" s="1" t="s">
        <v>60</v>
      </c>
      <c r="D341" s="58" t="str">
        <f>VLOOKUP(Datos!$C341,$AQ$2:$AR$41,2,0)</f>
        <v>Norte</v>
      </c>
      <c r="E341" s="1">
        <v>23421</v>
      </c>
      <c r="F341" s="1" t="str">
        <f t="array" ref="F341">_xlfn.IFS(H341=0,"Alta sin facturar",H341&gt;2,"Cliente",H341&gt;0,"Cliente nuevo")</f>
        <v>Cliente nuevo</v>
      </c>
      <c r="G341" s="1"/>
      <c r="H341" s="1">
        <f t="shared" si="40"/>
        <v>1</v>
      </c>
      <c r="I341" s="2">
        <v>0</v>
      </c>
      <c r="J341" s="2">
        <v>0</v>
      </c>
      <c r="K341" s="2">
        <v>0</v>
      </c>
      <c r="L341" s="2">
        <v>254.03999999999996</v>
      </c>
      <c r="M341" s="2">
        <v>0</v>
      </c>
      <c r="N341" s="89">
        <v>0</v>
      </c>
      <c r="O341" s="89">
        <v>0</v>
      </c>
      <c r="P341" s="89">
        <v>0</v>
      </c>
      <c r="Q341" s="54">
        <f t="shared" si="37"/>
        <v>254.03999999999996</v>
      </c>
      <c r="R341" s="89">
        <v>0</v>
      </c>
      <c r="S341" s="92">
        <f t="shared" si="41"/>
        <v>1</v>
      </c>
      <c r="T341" s="59">
        <f t="shared" si="38"/>
        <v>254.03999999999996</v>
      </c>
      <c r="U341" s="60">
        <f t="shared" si="39"/>
        <v>0</v>
      </c>
      <c r="V341" s="59" t="str">
        <f t="array" ref="V341">_xlfn.IFS(S341=0,"Alta sin facturar",S341&gt;2,"Cliente",S341&gt;0,"Cliente nuevo")</f>
        <v>Cliente nuevo</v>
      </c>
      <c r="W341" s="59" t="str">
        <f t="shared" si="42"/>
        <v>Ha pagado</v>
      </c>
      <c r="X341" s="3"/>
      <c r="Y341" s="3"/>
      <c r="Z341" s="3"/>
      <c r="AA341" s="3"/>
      <c r="AB341" s="3"/>
      <c r="AC341" s="3"/>
      <c r="AD341" s="3"/>
      <c r="AE341" s="3"/>
      <c r="AG341"/>
      <c r="AH341"/>
      <c r="AI341"/>
      <c r="AJ341"/>
      <c r="AK341"/>
      <c r="AL341"/>
      <c r="AM341"/>
      <c r="AN341"/>
    </row>
    <row r="342" spans="1:40" x14ac:dyDescent="0.25">
      <c r="A342" s="6">
        <v>44665</v>
      </c>
      <c r="B342" t="str">
        <f t="shared" si="36"/>
        <v>Abril</v>
      </c>
      <c r="C342" s="1" t="s">
        <v>36</v>
      </c>
      <c r="D342" s="58" t="str">
        <f>VLOOKUP(Datos!$C342,$AQ$2:$AR$41,2,0)</f>
        <v>Magallanes</v>
      </c>
      <c r="E342" s="1">
        <v>23422</v>
      </c>
      <c r="F342" s="1" t="str">
        <f t="array" ref="F342">_xlfn.IFS(H342=0,"Alta sin facturar",H342&gt;2,"Cliente",H342&gt;0,"Cliente nuevo")</f>
        <v>Cliente</v>
      </c>
      <c r="G342" s="1"/>
      <c r="H342" s="1">
        <f t="shared" si="40"/>
        <v>5</v>
      </c>
      <c r="I342" s="2">
        <v>0</v>
      </c>
      <c r="J342" s="2">
        <v>0</v>
      </c>
      <c r="K342" s="2">
        <v>0</v>
      </c>
      <c r="L342" s="2">
        <v>7868.2799999999979</v>
      </c>
      <c r="M342" s="2">
        <v>7336.9999999999991</v>
      </c>
      <c r="N342" s="89">
        <v>5971.68</v>
      </c>
      <c r="O342" s="89">
        <v>6419.4399999999987</v>
      </c>
      <c r="P342" s="89">
        <v>3852.3599999999997</v>
      </c>
      <c r="Q342" s="54">
        <f t="shared" si="37"/>
        <v>31448.76</v>
      </c>
      <c r="R342" s="89">
        <v>315.52</v>
      </c>
      <c r="S342" s="92">
        <f t="shared" si="41"/>
        <v>5</v>
      </c>
      <c r="T342" s="59">
        <f t="shared" si="38"/>
        <v>31133.239999999998</v>
      </c>
      <c r="U342" s="60">
        <f t="shared" si="39"/>
        <v>1.0032828003393456E-2</v>
      </c>
      <c r="V342" s="59" t="str">
        <f t="array" ref="V342">_xlfn.IFS(S342=0,"Alta sin facturar",S342&gt;2,"Cliente",S342&gt;0,"Cliente nuevo")</f>
        <v>Cliente</v>
      </c>
      <c r="W342" s="59" t="str">
        <f t="shared" si="42"/>
        <v>Ha pagado</v>
      </c>
      <c r="X342" s="3"/>
      <c r="Y342" s="3"/>
      <c r="Z342" s="3"/>
      <c r="AA342" s="3"/>
      <c r="AB342" s="3"/>
      <c r="AC342" s="3"/>
      <c r="AD342" s="3"/>
      <c r="AE342" s="3"/>
      <c r="AG342"/>
      <c r="AH342"/>
      <c r="AI342"/>
      <c r="AJ342"/>
      <c r="AK342"/>
      <c r="AL342"/>
      <c r="AM342"/>
      <c r="AN342"/>
    </row>
    <row r="343" spans="1:40" x14ac:dyDescent="0.25">
      <c r="A343" s="6">
        <v>44665</v>
      </c>
      <c r="B343" t="str">
        <f t="shared" si="36"/>
        <v>Abril</v>
      </c>
      <c r="C343" s="1" t="s">
        <v>60</v>
      </c>
      <c r="D343" s="58" t="str">
        <f>VLOOKUP(Datos!$C343,$AQ$2:$AR$41,2,0)</f>
        <v>Norte</v>
      </c>
      <c r="E343" s="1">
        <v>23423</v>
      </c>
      <c r="F343" s="1" t="str">
        <f t="array" ref="F343">_xlfn.IFS(H343=0,"Alta sin facturar",H343&gt;2,"Cliente",H343&gt;0,"Cliente nuevo")</f>
        <v>Cliente</v>
      </c>
      <c r="G343" s="1"/>
      <c r="H343" s="1">
        <f t="shared" si="40"/>
        <v>5</v>
      </c>
      <c r="I343" s="2">
        <v>0</v>
      </c>
      <c r="J343" s="2">
        <v>0</v>
      </c>
      <c r="K343" s="2">
        <v>0</v>
      </c>
      <c r="L343" s="2">
        <v>328.28</v>
      </c>
      <c r="M343" s="2">
        <v>987.15999999999985</v>
      </c>
      <c r="N343" s="89">
        <v>34181.72</v>
      </c>
      <c r="O343" s="89">
        <v>740.07999999999993</v>
      </c>
      <c r="P343" s="89">
        <v>60372.2</v>
      </c>
      <c r="Q343" s="54">
        <f t="shared" si="37"/>
        <v>96609.44</v>
      </c>
      <c r="R343" s="89">
        <v>48044.88</v>
      </c>
      <c r="S343" s="92">
        <f t="shared" si="41"/>
        <v>5</v>
      </c>
      <c r="T343" s="59">
        <f t="shared" si="38"/>
        <v>48564.560000000005</v>
      </c>
      <c r="U343" s="60">
        <f t="shared" si="39"/>
        <v>0.49731040776139468</v>
      </c>
      <c r="V343" s="59" t="str">
        <f t="array" ref="V343">_xlfn.IFS(S343=0,"Alta sin facturar",S343&gt;2,"Cliente",S343&gt;0,"Cliente nuevo")</f>
        <v>Cliente</v>
      </c>
      <c r="W343" s="59" t="str">
        <f t="shared" si="42"/>
        <v>Ha pagado</v>
      </c>
      <c r="X343" s="3"/>
      <c r="Y343" s="3"/>
      <c r="Z343" s="3"/>
      <c r="AA343" s="3"/>
      <c r="AB343" s="3"/>
      <c r="AC343" s="3"/>
      <c r="AD343" s="3"/>
      <c r="AE343" s="3"/>
      <c r="AG343"/>
      <c r="AH343"/>
      <c r="AI343"/>
      <c r="AJ343"/>
      <c r="AK343"/>
      <c r="AL343"/>
      <c r="AM343"/>
      <c r="AN343"/>
    </row>
    <row r="344" spans="1:40" x14ac:dyDescent="0.25">
      <c r="A344" s="6">
        <v>44666</v>
      </c>
      <c r="B344" t="str">
        <f t="shared" si="36"/>
        <v>Abril</v>
      </c>
      <c r="C344" s="1" t="s">
        <v>42</v>
      </c>
      <c r="D344" s="58" t="str">
        <f>VLOOKUP(Datos!$C344,$AQ$2:$AR$41,2,0)</f>
        <v>Norte</v>
      </c>
      <c r="E344" s="1">
        <v>23424</v>
      </c>
      <c r="F344" s="1" t="str">
        <f t="array" ref="F344">_xlfn.IFS(H344=0,"Alta sin facturar",H344&gt;2,"Cliente",H344&gt;0,"Cliente nuevo")</f>
        <v>Cliente</v>
      </c>
      <c r="G344" s="1"/>
      <c r="H344" s="1">
        <f t="shared" si="40"/>
        <v>5</v>
      </c>
      <c r="I344" s="2">
        <v>0</v>
      </c>
      <c r="J344" s="2">
        <v>0</v>
      </c>
      <c r="K344" s="2">
        <v>0</v>
      </c>
      <c r="L344" s="2">
        <v>379.31999999999994</v>
      </c>
      <c r="M344" s="2">
        <v>10343.720000000003</v>
      </c>
      <c r="N344" s="89">
        <v>16308.44</v>
      </c>
      <c r="O344" s="89">
        <v>13142.799999999983</v>
      </c>
      <c r="P344" s="89">
        <v>13297.079999999991</v>
      </c>
      <c r="Q344" s="54">
        <f t="shared" si="37"/>
        <v>53471.359999999971</v>
      </c>
      <c r="R344" s="89">
        <v>5113.28</v>
      </c>
      <c r="S344" s="92">
        <f t="shared" si="41"/>
        <v>5</v>
      </c>
      <c r="T344" s="59">
        <f t="shared" si="38"/>
        <v>48358.079999999973</v>
      </c>
      <c r="U344" s="60">
        <f t="shared" si="39"/>
        <v>9.5626518569941032E-2</v>
      </c>
      <c r="V344" s="59" t="str">
        <f t="array" ref="V344">_xlfn.IFS(S344=0,"Alta sin facturar",S344&gt;2,"Cliente",S344&gt;0,"Cliente nuevo")</f>
        <v>Cliente</v>
      </c>
      <c r="W344" s="59" t="str">
        <f t="shared" si="42"/>
        <v>Ha pagado</v>
      </c>
      <c r="X344" s="3"/>
      <c r="Y344" s="3"/>
      <c r="Z344" s="3"/>
      <c r="AA344" s="3"/>
      <c r="AB344" s="3"/>
      <c r="AC344" s="3"/>
      <c r="AD344" s="3"/>
      <c r="AE344" s="3"/>
      <c r="AG344"/>
      <c r="AH344"/>
      <c r="AI344"/>
      <c r="AJ344"/>
      <c r="AK344"/>
      <c r="AL344"/>
      <c r="AM344"/>
      <c r="AN344"/>
    </row>
    <row r="345" spans="1:40" x14ac:dyDescent="0.25">
      <c r="A345" s="6">
        <v>44666</v>
      </c>
      <c r="B345" t="str">
        <f t="shared" si="36"/>
        <v>Abril</v>
      </c>
      <c r="C345" s="1" t="s">
        <v>42</v>
      </c>
      <c r="D345" s="58" t="str">
        <f>VLOOKUP(Datos!$C345,$AQ$2:$AR$41,2,0)</f>
        <v>Norte</v>
      </c>
      <c r="E345" s="1">
        <v>23425</v>
      </c>
      <c r="F345" s="1" t="str">
        <f t="array" ref="F345">_xlfn.IFS(H345=0,"Alta sin facturar",H345&gt;2,"Cliente",H345&gt;0,"Cliente nuevo")</f>
        <v>Alta sin facturar</v>
      </c>
      <c r="G345" s="1"/>
      <c r="H345" s="1">
        <f t="shared" si="40"/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89">
        <v>0</v>
      </c>
      <c r="O345" s="89">
        <v>0</v>
      </c>
      <c r="P345" s="89">
        <v>0</v>
      </c>
      <c r="Q345" s="54">
        <f t="shared" si="37"/>
        <v>0</v>
      </c>
      <c r="R345" s="89"/>
      <c r="S345" s="92">
        <f t="shared" si="41"/>
        <v>0</v>
      </c>
      <c r="T345" s="59">
        <f t="shared" si="38"/>
        <v>0</v>
      </c>
      <c r="U345" s="60">
        <f t="shared" si="39"/>
        <v>0</v>
      </c>
      <c r="V345" s="59" t="str">
        <f t="array" ref="V345">_xlfn.IFS(S345=0,"Alta sin facturar",S345&gt;2,"Cliente",S345&gt;0,"Cliente nuevo")</f>
        <v>Alta sin facturar</v>
      </c>
      <c r="W345" s="59" t="str">
        <f t="shared" si="42"/>
        <v>Sin pago</v>
      </c>
      <c r="X345" s="3"/>
      <c r="Y345" s="3"/>
      <c r="Z345" s="3"/>
      <c r="AA345" s="3"/>
      <c r="AB345" s="3"/>
      <c r="AC345" s="3"/>
      <c r="AD345" s="3"/>
      <c r="AE345" s="3"/>
      <c r="AG345"/>
      <c r="AH345"/>
      <c r="AI345"/>
      <c r="AJ345"/>
      <c r="AK345"/>
      <c r="AL345"/>
      <c r="AM345"/>
      <c r="AN345"/>
    </row>
    <row r="346" spans="1:40" x14ac:dyDescent="0.25">
      <c r="A346" s="6">
        <v>44669</v>
      </c>
      <c r="B346" t="str">
        <f t="shared" si="36"/>
        <v>Abril</v>
      </c>
      <c r="C346" s="1" t="s">
        <v>62</v>
      </c>
      <c r="D346" s="58" t="str">
        <f>VLOOKUP(Datos!$C346,$AQ$2:$AR$41,2,0)</f>
        <v>Norte</v>
      </c>
      <c r="E346" s="1">
        <v>23426</v>
      </c>
      <c r="F346" s="1" t="str">
        <f t="array" ref="F346">_xlfn.IFS(H346=0,"Alta sin facturar",H346&gt;2,"Cliente",H346&gt;0,"Cliente nuevo")</f>
        <v>Alta sin facturar</v>
      </c>
      <c r="G346" s="1"/>
      <c r="H346" s="1">
        <f t="shared" si="40"/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89">
        <v>0</v>
      </c>
      <c r="O346" s="89">
        <v>0</v>
      </c>
      <c r="P346" s="89">
        <v>0</v>
      </c>
      <c r="Q346" s="54">
        <f t="shared" si="37"/>
        <v>0</v>
      </c>
      <c r="R346" s="89"/>
      <c r="S346" s="92">
        <f t="shared" si="41"/>
        <v>0</v>
      </c>
      <c r="T346" s="59">
        <f t="shared" si="38"/>
        <v>0</v>
      </c>
      <c r="U346" s="60">
        <f t="shared" si="39"/>
        <v>0</v>
      </c>
      <c r="V346" s="59" t="str">
        <f t="array" ref="V346">_xlfn.IFS(S346=0,"Alta sin facturar",S346&gt;2,"Cliente",S346&gt;0,"Cliente nuevo")</f>
        <v>Alta sin facturar</v>
      </c>
      <c r="W346" s="59" t="str">
        <f t="shared" si="42"/>
        <v>Sin pago</v>
      </c>
      <c r="X346" s="3"/>
      <c r="Y346" s="3"/>
      <c r="Z346" s="3"/>
      <c r="AA346" s="3"/>
      <c r="AB346" s="3"/>
      <c r="AC346" s="3"/>
      <c r="AD346" s="3"/>
      <c r="AE346" s="3"/>
      <c r="AG346"/>
      <c r="AH346"/>
      <c r="AI346"/>
      <c r="AJ346"/>
      <c r="AK346"/>
      <c r="AL346"/>
      <c r="AM346"/>
      <c r="AN346"/>
    </row>
    <row r="347" spans="1:40" x14ac:dyDescent="0.25">
      <c r="A347" s="6">
        <v>44669</v>
      </c>
      <c r="B347" t="str">
        <f t="shared" si="36"/>
        <v>Abril</v>
      </c>
      <c r="C347" s="1" t="s">
        <v>33</v>
      </c>
      <c r="D347" s="58" t="str">
        <f>VLOOKUP(Datos!$C347,$AQ$2:$AR$41,2,0)</f>
        <v>Magallanes</v>
      </c>
      <c r="E347" s="1">
        <v>23427</v>
      </c>
      <c r="F347" s="1" t="str">
        <f t="array" ref="F347">_xlfn.IFS(H347=0,"Alta sin facturar",H347&gt;2,"Cliente",H347&gt;0,"Cliente nuevo")</f>
        <v>Cliente nuevo</v>
      </c>
      <c r="G347" s="1"/>
      <c r="H347" s="1">
        <f t="shared" si="40"/>
        <v>2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89">
        <v>2259.6800000000003</v>
      </c>
      <c r="O347" s="89">
        <v>0</v>
      </c>
      <c r="P347" s="89">
        <v>677.43999999999994</v>
      </c>
      <c r="Q347" s="54">
        <f t="shared" si="37"/>
        <v>2937.1200000000003</v>
      </c>
      <c r="R347" s="89">
        <v>0</v>
      </c>
      <c r="S347" s="92">
        <f t="shared" si="41"/>
        <v>2</v>
      </c>
      <c r="T347" s="59">
        <f t="shared" si="38"/>
        <v>2937.1200000000003</v>
      </c>
      <c r="U347" s="60">
        <f t="shared" si="39"/>
        <v>0</v>
      </c>
      <c r="V347" s="59" t="str">
        <f t="array" ref="V347">_xlfn.IFS(S347=0,"Alta sin facturar",S347&gt;2,"Cliente",S347&gt;0,"Cliente nuevo")</f>
        <v>Cliente nuevo</v>
      </c>
      <c r="W347" s="59" t="str">
        <f t="shared" si="42"/>
        <v>Ha pagado</v>
      </c>
      <c r="X347" s="3"/>
      <c r="Y347" s="3"/>
      <c r="Z347" s="3"/>
      <c r="AA347" s="3"/>
      <c r="AB347" s="3"/>
      <c r="AC347" s="3"/>
      <c r="AD347" s="3"/>
      <c r="AE347" s="3"/>
      <c r="AG347"/>
      <c r="AH347"/>
      <c r="AI347"/>
      <c r="AJ347"/>
      <c r="AK347"/>
      <c r="AL347"/>
      <c r="AM347"/>
      <c r="AN347"/>
    </row>
    <row r="348" spans="1:40" x14ac:dyDescent="0.25">
      <c r="A348" s="6">
        <v>44670</v>
      </c>
      <c r="B348" t="str">
        <f t="shared" si="36"/>
        <v>Abril</v>
      </c>
      <c r="C348" s="1" t="s">
        <v>97</v>
      </c>
      <c r="D348" s="58" t="str">
        <f>VLOOKUP(Datos!$C348,$AQ$2:$AR$41,2,0)</f>
        <v>Centro</v>
      </c>
      <c r="E348" s="1">
        <v>23428</v>
      </c>
      <c r="F348" s="1" t="str">
        <f t="array" ref="F348">_xlfn.IFS(H348=0,"Alta sin facturar",H348&gt;2,"Cliente",H348&gt;0,"Cliente nuevo")</f>
        <v>Cliente</v>
      </c>
      <c r="G348" s="1"/>
      <c r="H348" s="1">
        <f t="shared" si="40"/>
        <v>3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89">
        <v>1076.48</v>
      </c>
      <c r="O348" s="89">
        <v>6500.6399999999994</v>
      </c>
      <c r="P348" s="89">
        <v>5448.5199999999995</v>
      </c>
      <c r="Q348" s="54">
        <f t="shared" si="37"/>
        <v>13025.64</v>
      </c>
      <c r="R348" s="89">
        <v>827.08</v>
      </c>
      <c r="S348" s="92">
        <f t="shared" si="41"/>
        <v>3</v>
      </c>
      <c r="T348" s="59">
        <f t="shared" si="38"/>
        <v>12198.56</v>
      </c>
      <c r="U348" s="60">
        <f t="shared" si="39"/>
        <v>6.3496304212307425E-2</v>
      </c>
      <c r="V348" s="59" t="str">
        <f t="array" ref="V348">_xlfn.IFS(S348=0,"Alta sin facturar",S348&gt;2,"Cliente",S348&gt;0,"Cliente nuevo")</f>
        <v>Cliente</v>
      </c>
      <c r="W348" s="59" t="str">
        <f t="shared" si="42"/>
        <v>Ha pagado</v>
      </c>
      <c r="X348" s="3"/>
      <c r="Y348" s="3"/>
      <c r="Z348" s="3"/>
      <c r="AA348" s="3"/>
      <c r="AB348" s="3"/>
      <c r="AC348" s="3"/>
      <c r="AD348" s="3"/>
      <c r="AE348" s="3"/>
      <c r="AG348"/>
      <c r="AH348"/>
      <c r="AI348"/>
      <c r="AJ348"/>
      <c r="AK348"/>
      <c r="AL348"/>
      <c r="AM348"/>
      <c r="AN348"/>
    </row>
    <row r="349" spans="1:40" x14ac:dyDescent="0.25">
      <c r="A349" s="6">
        <v>44670</v>
      </c>
      <c r="B349" t="str">
        <f t="shared" si="36"/>
        <v>Abril</v>
      </c>
      <c r="C349" s="1" t="s">
        <v>97</v>
      </c>
      <c r="D349" s="58" t="str">
        <f>VLOOKUP(Datos!$C349,$AQ$2:$AR$41,2,0)</f>
        <v>Centro</v>
      </c>
      <c r="E349" s="1">
        <v>23429</v>
      </c>
      <c r="F349" s="1" t="str">
        <f t="array" ref="F349">_xlfn.IFS(H349=0,"Alta sin facturar",H349&gt;2,"Cliente",H349&gt;0,"Cliente nuevo")</f>
        <v>Cliente nuevo</v>
      </c>
      <c r="G349" s="1"/>
      <c r="H349" s="1">
        <f t="shared" si="40"/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89">
        <v>0</v>
      </c>
      <c r="O349" s="89">
        <v>290</v>
      </c>
      <c r="P349" s="89">
        <v>0</v>
      </c>
      <c r="Q349" s="54">
        <f t="shared" si="37"/>
        <v>290</v>
      </c>
      <c r="R349" s="89">
        <v>0</v>
      </c>
      <c r="S349" s="92">
        <f t="shared" si="41"/>
        <v>1</v>
      </c>
      <c r="T349" s="59">
        <f t="shared" si="38"/>
        <v>290</v>
      </c>
      <c r="U349" s="60">
        <f t="shared" si="39"/>
        <v>0</v>
      </c>
      <c r="V349" s="59" t="str">
        <f t="array" ref="V349">_xlfn.IFS(S349=0,"Alta sin facturar",S349&gt;2,"Cliente",S349&gt;0,"Cliente nuevo")</f>
        <v>Cliente nuevo</v>
      </c>
      <c r="W349" s="59" t="str">
        <f t="shared" si="42"/>
        <v>Ha pagado</v>
      </c>
      <c r="X349" s="3"/>
      <c r="Y349" s="3"/>
      <c r="Z349" s="3"/>
      <c r="AA349" s="3"/>
      <c r="AB349" s="3"/>
      <c r="AC349" s="3"/>
      <c r="AD349" s="3"/>
      <c r="AE349" s="3"/>
      <c r="AG349"/>
      <c r="AH349"/>
      <c r="AI349"/>
      <c r="AJ349"/>
      <c r="AK349"/>
      <c r="AL349"/>
      <c r="AM349"/>
      <c r="AN349"/>
    </row>
    <row r="350" spans="1:40" x14ac:dyDescent="0.25">
      <c r="A350" s="6">
        <v>44670</v>
      </c>
      <c r="B350" t="str">
        <f t="shared" si="36"/>
        <v>Abril</v>
      </c>
      <c r="C350" s="1" t="s">
        <v>38</v>
      </c>
      <c r="D350" s="58" t="str">
        <f>VLOOKUP(Datos!$C350,$AQ$2:$AR$41,2,0)</f>
        <v>Centro</v>
      </c>
      <c r="E350" s="1">
        <v>23430</v>
      </c>
      <c r="F350" s="1" t="str">
        <f t="array" ref="F350">_xlfn.IFS(H350=0,"Alta sin facturar",H350&gt;2,"Cliente",H350&gt;0,"Cliente nuevo")</f>
        <v>Alta sin facturar</v>
      </c>
      <c r="G350" s="1"/>
      <c r="H350" s="1">
        <f t="shared" si="40"/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89">
        <v>0</v>
      </c>
      <c r="O350" s="89">
        <v>0</v>
      </c>
      <c r="P350" s="89">
        <v>0</v>
      </c>
      <c r="Q350" s="54">
        <f t="shared" si="37"/>
        <v>0</v>
      </c>
      <c r="R350" s="89"/>
      <c r="S350" s="92">
        <f t="shared" si="41"/>
        <v>0</v>
      </c>
      <c r="T350" s="59">
        <f t="shared" si="38"/>
        <v>0</v>
      </c>
      <c r="U350" s="60">
        <f t="shared" si="39"/>
        <v>0</v>
      </c>
      <c r="V350" s="59" t="str">
        <f t="array" ref="V350">_xlfn.IFS(S350=0,"Alta sin facturar",S350&gt;2,"Cliente",S350&gt;0,"Cliente nuevo")</f>
        <v>Alta sin facturar</v>
      </c>
      <c r="W350" s="59" t="str">
        <f t="shared" si="42"/>
        <v>Sin pago</v>
      </c>
      <c r="X350" s="3"/>
      <c r="Y350" s="3"/>
      <c r="Z350" s="3"/>
      <c r="AA350" s="3"/>
      <c r="AB350" s="3"/>
      <c r="AC350" s="3"/>
      <c r="AD350" s="3"/>
      <c r="AE350" s="3"/>
      <c r="AG350"/>
      <c r="AH350"/>
      <c r="AI350"/>
      <c r="AJ350"/>
      <c r="AK350"/>
      <c r="AL350"/>
      <c r="AM350"/>
      <c r="AN350"/>
    </row>
    <row r="351" spans="1:40" x14ac:dyDescent="0.25">
      <c r="A351" s="6">
        <v>44671</v>
      </c>
      <c r="B351" t="str">
        <f t="shared" si="36"/>
        <v>Abril</v>
      </c>
      <c r="C351" s="1" t="s">
        <v>36</v>
      </c>
      <c r="D351" s="58" t="str">
        <f>VLOOKUP(Datos!$C351,$AQ$2:$AR$41,2,0)</f>
        <v>Magallanes</v>
      </c>
      <c r="E351" s="1">
        <v>23431</v>
      </c>
      <c r="F351" s="1" t="str">
        <f t="array" ref="F351">_xlfn.IFS(H351=0,"Alta sin facturar",H351&gt;2,"Cliente",H351&gt;0,"Cliente nuevo")</f>
        <v>Cliente nuevo</v>
      </c>
      <c r="G351" s="1"/>
      <c r="H351" s="1">
        <f t="shared" si="40"/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89">
        <v>0</v>
      </c>
      <c r="O351" s="89">
        <v>0</v>
      </c>
      <c r="P351" s="89">
        <v>236.64</v>
      </c>
      <c r="Q351" s="54">
        <f t="shared" si="37"/>
        <v>236.64</v>
      </c>
      <c r="R351" s="89">
        <v>0</v>
      </c>
      <c r="S351" s="92">
        <f t="shared" si="41"/>
        <v>1</v>
      </c>
      <c r="T351" s="59">
        <f t="shared" si="38"/>
        <v>236.64</v>
      </c>
      <c r="U351" s="60">
        <f t="shared" si="39"/>
        <v>0</v>
      </c>
      <c r="V351" s="59" t="str">
        <f t="array" ref="V351">_xlfn.IFS(S351=0,"Alta sin facturar",S351&gt;2,"Cliente",S351&gt;0,"Cliente nuevo")</f>
        <v>Cliente nuevo</v>
      </c>
      <c r="W351" s="59" t="str">
        <f t="shared" si="42"/>
        <v>Ha pagado</v>
      </c>
      <c r="X351" s="3"/>
      <c r="Y351" s="3"/>
      <c r="Z351" s="3"/>
      <c r="AA351" s="3"/>
      <c r="AB351" s="3"/>
      <c r="AC351" s="3"/>
      <c r="AD351" s="3"/>
      <c r="AE351" s="3"/>
      <c r="AG351"/>
      <c r="AH351"/>
      <c r="AI351"/>
      <c r="AJ351"/>
      <c r="AK351"/>
      <c r="AL351"/>
      <c r="AM351"/>
      <c r="AN351"/>
    </row>
    <row r="352" spans="1:40" x14ac:dyDescent="0.25">
      <c r="A352" s="6">
        <v>44671</v>
      </c>
      <c r="B352" t="str">
        <f t="shared" si="36"/>
        <v>Abril</v>
      </c>
      <c r="C352" s="1" t="s">
        <v>31</v>
      </c>
      <c r="D352" s="58" t="str">
        <f>VLOOKUP(Datos!$C352,$AQ$2:$AR$41,2,0)</f>
        <v>Centro</v>
      </c>
      <c r="E352" s="1">
        <v>23432</v>
      </c>
      <c r="F352" s="1" t="str">
        <f t="array" ref="F352">_xlfn.IFS(H352=0,"Alta sin facturar",H352&gt;2,"Cliente",H352&gt;0,"Cliente nuevo")</f>
        <v>Cliente</v>
      </c>
      <c r="G352" s="1"/>
      <c r="H352" s="1">
        <f t="shared" si="40"/>
        <v>5</v>
      </c>
      <c r="I352" s="2">
        <v>0</v>
      </c>
      <c r="J352" s="2">
        <v>0</v>
      </c>
      <c r="K352" s="2">
        <v>0</v>
      </c>
      <c r="L352" s="2">
        <v>218.07999999999998</v>
      </c>
      <c r="M352" s="2">
        <v>2532.2799999999997</v>
      </c>
      <c r="N352" s="89">
        <v>1856</v>
      </c>
      <c r="O352" s="89">
        <v>5143.4399999999987</v>
      </c>
      <c r="P352" s="89">
        <v>3053.1199999999994</v>
      </c>
      <c r="Q352" s="54">
        <f t="shared" si="37"/>
        <v>12802.919999999998</v>
      </c>
      <c r="R352" s="89">
        <v>5143.4399999999996</v>
      </c>
      <c r="S352" s="92">
        <f t="shared" si="41"/>
        <v>5</v>
      </c>
      <c r="T352" s="59">
        <f t="shared" si="38"/>
        <v>7659.4799999999987</v>
      </c>
      <c r="U352" s="60">
        <f t="shared" si="39"/>
        <v>0.40173960315303076</v>
      </c>
      <c r="V352" s="59" t="str">
        <f t="array" ref="V352">_xlfn.IFS(S352=0,"Alta sin facturar",S352&gt;2,"Cliente",S352&gt;0,"Cliente nuevo")</f>
        <v>Cliente</v>
      </c>
      <c r="W352" s="59" t="str">
        <f t="shared" si="42"/>
        <v>Ha pagado</v>
      </c>
      <c r="X352" s="3"/>
      <c r="Y352" s="3"/>
      <c r="Z352" s="3"/>
      <c r="AA352" s="3"/>
      <c r="AB352" s="3"/>
      <c r="AC352" s="3"/>
      <c r="AD352" s="3"/>
      <c r="AE352" s="3"/>
      <c r="AG352"/>
      <c r="AH352"/>
      <c r="AI352"/>
      <c r="AJ352"/>
      <c r="AK352"/>
      <c r="AL352"/>
      <c r="AM352"/>
      <c r="AN352"/>
    </row>
    <row r="353" spans="1:40" x14ac:dyDescent="0.25">
      <c r="A353" s="6">
        <v>44671</v>
      </c>
      <c r="B353" t="str">
        <f t="shared" si="36"/>
        <v>Abril</v>
      </c>
      <c r="C353" s="1" t="s">
        <v>31</v>
      </c>
      <c r="D353" s="58" t="str">
        <f>VLOOKUP(Datos!$C353,$AQ$2:$AR$41,2,0)</f>
        <v>Centro</v>
      </c>
      <c r="E353" s="1">
        <v>23433</v>
      </c>
      <c r="F353" s="1" t="str">
        <f t="array" ref="F353">_xlfn.IFS(H353=0,"Alta sin facturar",H353&gt;2,"Cliente",H353&gt;0,"Cliente nuevo")</f>
        <v>Cliente nuevo</v>
      </c>
      <c r="G353" s="1"/>
      <c r="H353" s="1">
        <f t="shared" si="40"/>
        <v>1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89">
        <v>0</v>
      </c>
      <c r="O353" s="89">
        <v>0</v>
      </c>
      <c r="P353" s="89">
        <v>795.76</v>
      </c>
      <c r="Q353" s="54">
        <f t="shared" si="37"/>
        <v>795.76</v>
      </c>
      <c r="R353" s="89">
        <v>6005.32</v>
      </c>
      <c r="S353" s="92">
        <f t="shared" si="41"/>
        <v>1</v>
      </c>
      <c r="T353" s="59">
        <f t="shared" si="38"/>
        <v>-5209.5599999999995</v>
      </c>
      <c r="U353" s="60">
        <f t="shared" si="39"/>
        <v>7.5466472303206995</v>
      </c>
      <c r="V353" s="59" t="str">
        <f t="array" ref="V353">_xlfn.IFS(S353=0,"Alta sin facturar",S353&gt;2,"Cliente",S353&gt;0,"Cliente nuevo")</f>
        <v>Cliente nuevo</v>
      </c>
      <c r="W353" s="59" t="str">
        <f t="shared" si="42"/>
        <v>Sin pago</v>
      </c>
      <c r="X353" s="3"/>
      <c r="Y353" s="3"/>
      <c r="Z353" s="3"/>
      <c r="AA353" s="3"/>
      <c r="AB353" s="3"/>
      <c r="AC353" s="3"/>
      <c r="AD353" s="3"/>
      <c r="AE353" s="3"/>
      <c r="AG353"/>
      <c r="AH353"/>
      <c r="AI353"/>
      <c r="AJ353"/>
      <c r="AK353"/>
      <c r="AL353"/>
      <c r="AM353"/>
      <c r="AN353"/>
    </row>
    <row r="354" spans="1:40" x14ac:dyDescent="0.25">
      <c r="A354" s="6">
        <v>44671</v>
      </c>
      <c r="B354" t="str">
        <f t="shared" si="36"/>
        <v>Abril</v>
      </c>
      <c r="C354" s="1" t="s">
        <v>31</v>
      </c>
      <c r="D354" s="58" t="str">
        <f>VLOOKUP(Datos!$C354,$AQ$2:$AR$41,2,0)</f>
        <v>Centro</v>
      </c>
      <c r="E354" s="1">
        <v>23434</v>
      </c>
      <c r="F354" s="1" t="str">
        <f t="array" ref="F354">_xlfn.IFS(H354=0,"Alta sin facturar",H354&gt;2,"Cliente",H354&gt;0,"Cliente nuevo")</f>
        <v>Cliente</v>
      </c>
      <c r="G354" s="1"/>
      <c r="H354" s="1">
        <f t="shared" si="40"/>
        <v>4</v>
      </c>
      <c r="I354" s="2">
        <v>0</v>
      </c>
      <c r="J354" s="2">
        <v>0</v>
      </c>
      <c r="K354" s="2">
        <v>0</v>
      </c>
      <c r="L354" s="2">
        <v>0</v>
      </c>
      <c r="M354" s="2">
        <v>2309.56</v>
      </c>
      <c r="N354" s="89">
        <v>5753.6</v>
      </c>
      <c r="O354" s="89">
        <v>3192.3199999999997</v>
      </c>
      <c r="P354" s="89">
        <v>4477.5999999999995</v>
      </c>
      <c r="Q354" s="54">
        <f t="shared" si="37"/>
        <v>15733.079999999998</v>
      </c>
      <c r="R354" s="89">
        <v>2252.7199999999998</v>
      </c>
      <c r="S354" s="92">
        <f t="shared" si="41"/>
        <v>4</v>
      </c>
      <c r="T354" s="59">
        <f t="shared" si="38"/>
        <v>13480.359999999999</v>
      </c>
      <c r="U354" s="60">
        <f t="shared" si="39"/>
        <v>0.14318366143183661</v>
      </c>
      <c r="V354" s="59" t="str">
        <f t="array" ref="V354">_xlfn.IFS(S354=0,"Alta sin facturar",S354&gt;2,"Cliente",S354&gt;0,"Cliente nuevo")</f>
        <v>Cliente</v>
      </c>
      <c r="W354" s="59" t="str">
        <f t="shared" si="42"/>
        <v>Ha pagado</v>
      </c>
      <c r="X354" s="3"/>
      <c r="Y354" s="3"/>
      <c r="Z354" s="3"/>
      <c r="AA354" s="3"/>
      <c r="AB354" s="3"/>
      <c r="AC354" s="3"/>
      <c r="AD354" s="3"/>
      <c r="AE354" s="3"/>
      <c r="AG354"/>
      <c r="AH354"/>
      <c r="AI354"/>
      <c r="AJ354"/>
      <c r="AK354"/>
      <c r="AL354"/>
      <c r="AM354"/>
      <c r="AN354"/>
    </row>
    <row r="355" spans="1:40" x14ac:dyDescent="0.25">
      <c r="A355" s="6">
        <v>44671</v>
      </c>
      <c r="B355" t="str">
        <f t="shared" si="36"/>
        <v>Abril</v>
      </c>
      <c r="C355" s="1" t="s">
        <v>31</v>
      </c>
      <c r="D355" s="58" t="str">
        <f>VLOOKUP(Datos!$C355,$AQ$2:$AR$41,2,0)</f>
        <v>Centro</v>
      </c>
      <c r="E355" s="1">
        <v>23435</v>
      </c>
      <c r="F355" s="1" t="str">
        <f t="array" ref="F355">_xlfn.IFS(H355=0,"Alta sin facturar",H355&gt;2,"Cliente",H355&gt;0,"Cliente nuevo")</f>
        <v>Alta sin facturar</v>
      </c>
      <c r="G355" s="1"/>
      <c r="H355" s="1">
        <f t="shared" si="40"/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89">
        <v>0</v>
      </c>
      <c r="O355" s="89">
        <v>0</v>
      </c>
      <c r="P355" s="89">
        <v>0</v>
      </c>
      <c r="Q355" s="54">
        <f t="shared" si="37"/>
        <v>0</v>
      </c>
      <c r="R355" s="89"/>
      <c r="S355" s="92">
        <f t="shared" si="41"/>
        <v>0</v>
      </c>
      <c r="T355" s="59">
        <f t="shared" si="38"/>
        <v>0</v>
      </c>
      <c r="U355" s="60">
        <f t="shared" si="39"/>
        <v>0</v>
      </c>
      <c r="V355" s="59" t="str">
        <f t="array" ref="V355">_xlfn.IFS(S355=0,"Alta sin facturar",S355&gt;2,"Cliente",S355&gt;0,"Cliente nuevo")</f>
        <v>Alta sin facturar</v>
      </c>
      <c r="W355" s="59" t="str">
        <f t="shared" si="42"/>
        <v>Sin pago</v>
      </c>
      <c r="X355" s="3"/>
      <c r="Y355" s="3"/>
      <c r="Z355" s="3"/>
      <c r="AA355" s="3"/>
      <c r="AB355" s="3"/>
      <c r="AC355" s="3"/>
      <c r="AD355" s="3"/>
      <c r="AE355" s="3"/>
      <c r="AG355"/>
      <c r="AH355"/>
      <c r="AI355"/>
      <c r="AJ355"/>
      <c r="AK355"/>
      <c r="AL355"/>
      <c r="AM355"/>
      <c r="AN355"/>
    </row>
    <row r="356" spans="1:40" x14ac:dyDescent="0.25">
      <c r="A356" s="6">
        <v>44671</v>
      </c>
      <c r="B356" t="str">
        <f t="shared" si="36"/>
        <v>Abril</v>
      </c>
      <c r="C356" s="1" t="s">
        <v>61</v>
      </c>
      <c r="D356" s="58" t="str">
        <f>VLOOKUP(Datos!$C356,$AQ$2:$AR$41,2,0)</f>
        <v>Centro</v>
      </c>
      <c r="E356" s="1">
        <v>23436</v>
      </c>
      <c r="F356" s="1" t="str">
        <f t="array" ref="F356">_xlfn.IFS(H356=0,"Alta sin facturar",H356&gt;2,"Cliente",H356&gt;0,"Cliente nuevo")</f>
        <v>Cliente nuevo</v>
      </c>
      <c r="G356" s="1"/>
      <c r="H356" s="1">
        <f t="shared" si="40"/>
        <v>1</v>
      </c>
      <c r="I356" s="2">
        <v>0</v>
      </c>
      <c r="J356" s="2">
        <v>0</v>
      </c>
      <c r="K356" s="2">
        <v>0</v>
      </c>
      <c r="L356" s="2">
        <v>4874.1692000000003</v>
      </c>
      <c r="M356" s="2">
        <v>0</v>
      </c>
      <c r="N356" s="89">
        <v>0</v>
      </c>
      <c r="O356" s="89">
        <v>0</v>
      </c>
      <c r="P356" s="89">
        <v>0</v>
      </c>
      <c r="Q356" s="54">
        <f t="shared" si="37"/>
        <v>4874.1692000000003</v>
      </c>
      <c r="R356" s="89">
        <v>0</v>
      </c>
      <c r="S356" s="92">
        <f t="shared" si="41"/>
        <v>1</v>
      </c>
      <c r="T356" s="59">
        <f t="shared" si="38"/>
        <v>4874.1692000000003</v>
      </c>
      <c r="U356" s="60">
        <f t="shared" si="39"/>
        <v>0</v>
      </c>
      <c r="V356" s="59" t="str">
        <f t="array" ref="V356">_xlfn.IFS(S356=0,"Alta sin facturar",S356&gt;2,"Cliente",S356&gt;0,"Cliente nuevo")</f>
        <v>Cliente nuevo</v>
      </c>
      <c r="W356" s="59" t="str">
        <f t="shared" si="42"/>
        <v>Ha pagado</v>
      </c>
      <c r="X356" s="3"/>
      <c r="Y356" s="3"/>
      <c r="Z356" s="3"/>
      <c r="AA356" s="3"/>
      <c r="AB356" s="3"/>
      <c r="AC356" s="3"/>
      <c r="AD356" s="3"/>
      <c r="AE356" s="3"/>
      <c r="AG356"/>
      <c r="AH356"/>
      <c r="AI356"/>
      <c r="AJ356"/>
      <c r="AK356"/>
      <c r="AL356"/>
      <c r="AM356"/>
      <c r="AN356"/>
    </row>
    <row r="357" spans="1:40" x14ac:dyDescent="0.25">
      <c r="A357" s="6">
        <v>44671</v>
      </c>
      <c r="B357" t="str">
        <f t="shared" si="36"/>
        <v>Abril</v>
      </c>
      <c r="C357" s="1" t="s">
        <v>67</v>
      </c>
      <c r="D357" s="58" t="str">
        <f>VLOOKUP(Datos!$C357,$AQ$2:$AR$41,2,0)</f>
        <v>Norte</v>
      </c>
      <c r="E357" s="1">
        <v>23437</v>
      </c>
      <c r="F357" s="1" t="str">
        <f t="array" ref="F357">_xlfn.IFS(H357=0,"Alta sin facturar",H357&gt;2,"Cliente",H357&gt;0,"Cliente nuevo")</f>
        <v>Cliente</v>
      </c>
      <c r="G357" s="1"/>
      <c r="H357" s="1">
        <f t="shared" si="40"/>
        <v>4</v>
      </c>
      <c r="I357" s="2">
        <v>0</v>
      </c>
      <c r="J357" s="2">
        <v>0</v>
      </c>
      <c r="K357" s="2">
        <v>0</v>
      </c>
      <c r="L357" s="2">
        <v>0</v>
      </c>
      <c r="M357" s="2">
        <v>4028.6799999999994</v>
      </c>
      <c r="N357" s="89">
        <v>1669.2399999999998</v>
      </c>
      <c r="O357" s="89">
        <v>4803.5600000000004</v>
      </c>
      <c r="P357" s="89">
        <v>1581.08</v>
      </c>
      <c r="Q357" s="54">
        <f t="shared" si="37"/>
        <v>12082.56</v>
      </c>
      <c r="R357" s="89">
        <v>702.96</v>
      </c>
      <c r="S357" s="92">
        <f t="shared" si="41"/>
        <v>4</v>
      </c>
      <c r="T357" s="59">
        <f t="shared" si="38"/>
        <v>11379.599999999999</v>
      </c>
      <c r="U357" s="60">
        <f t="shared" si="39"/>
        <v>5.8179723502304152E-2</v>
      </c>
      <c r="V357" s="59" t="str">
        <f t="array" ref="V357">_xlfn.IFS(S357=0,"Alta sin facturar",S357&gt;2,"Cliente",S357&gt;0,"Cliente nuevo")</f>
        <v>Cliente</v>
      </c>
      <c r="W357" s="59" t="str">
        <f t="shared" si="42"/>
        <v>Ha pagado</v>
      </c>
      <c r="X357" s="3"/>
      <c r="Y357" s="3"/>
      <c r="Z357" s="3"/>
      <c r="AA357" s="3"/>
      <c r="AB357" s="3"/>
      <c r="AC357" s="3"/>
      <c r="AD357" s="3"/>
      <c r="AE357" s="3"/>
      <c r="AG357"/>
      <c r="AH357"/>
      <c r="AI357"/>
      <c r="AJ357"/>
      <c r="AK357"/>
      <c r="AL357"/>
      <c r="AM357"/>
      <c r="AN357"/>
    </row>
    <row r="358" spans="1:40" x14ac:dyDescent="0.25">
      <c r="A358" s="6">
        <v>44671</v>
      </c>
      <c r="B358" t="str">
        <f t="shared" si="36"/>
        <v>Abril</v>
      </c>
      <c r="C358" s="1" t="s">
        <v>34</v>
      </c>
      <c r="D358" s="58" t="str">
        <f>VLOOKUP(Datos!$C358,$AQ$2:$AR$41,2,0)</f>
        <v>Norte</v>
      </c>
      <c r="E358" s="1">
        <v>23438</v>
      </c>
      <c r="F358" s="1" t="str">
        <f t="array" ref="F358">_xlfn.IFS(H358=0,"Alta sin facturar",H358&gt;2,"Cliente",H358&gt;0,"Cliente nuevo")</f>
        <v>Cliente nuevo</v>
      </c>
      <c r="G358" s="1"/>
      <c r="H358" s="1">
        <f t="shared" si="40"/>
        <v>1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89">
        <v>0</v>
      </c>
      <c r="O358" s="89">
        <v>131.07999999999998</v>
      </c>
      <c r="P358" s="89">
        <v>0</v>
      </c>
      <c r="Q358" s="54">
        <f t="shared" si="37"/>
        <v>131.07999999999998</v>
      </c>
      <c r="R358" s="89">
        <v>131.08000000000001</v>
      </c>
      <c r="S358" s="92">
        <f t="shared" si="41"/>
        <v>1</v>
      </c>
      <c r="T358" s="59">
        <f t="shared" si="38"/>
        <v>0</v>
      </c>
      <c r="U358" s="60">
        <f t="shared" si="39"/>
        <v>1.0000000000000002</v>
      </c>
      <c r="V358" s="59" t="str">
        <f t="array" ref="V358">_xlfn.IFS(S358=0,"Alta sin facturar",S358&gt;2,"Cliente",S358&gt;0,"Cliente nuevo")</f>
        <v>Cliente nuevo</v>
      </c>
      <c r="W358" s="59" t="str">
        <f t="shared" si="42"/>
        <v>Sin pago</v>
      </c>
      <c r="X358" s="3"/>
      <c r="Y358" s="3"/>
      <c r="Z358" s="3"/>
      <c r="AA358" s="3"/>
      <c r="AB358" s="3"/>
      <c r="AC358" s="3"/>
      <c r="AD358" s="3"/>
      <c r="AE358" s="3"/>
      <c r="AG358"/>
      <c r="AH358"/>
      <c r="AI358"/>
      <c r="AJ358"/>
      <c r="AK358"/>
      <c r="AL358"/>
      <c r="AM358"/>
      <c r="AN358"/>
    </row>
    <row r="359" spans="1:40" x14ac:dyDescent="0.25">
      <c r="A359" s="6">
        <v>44672</v>
      </c>
      <c r="B359" t="str">
        <f t="shared" si="36"/>
        <v>Abril</v>
      </c>
      <c r="C359" s="1" t="s">
        <v>35</v>
      </c>
      <c r="D359" s="58" t="str">
        <f>VLOOKUP(Datos!$C359,$AQ$2:$AR$41,2,0)</f>
        <v>Centro</v>
      </c>
      <c r="E359" s="1">
        <v>23439</v>
      </c>
      <c r="F359" s="1" t="str">
        <f t="array" ref="F359">_xlfn.IFS(H359=0,"Alta sin facturar",H359&gt;2,"Cliente",H359&gt;0,"Cliente nuevo")</f>
        <v>Cliente nuevo</v>
      </c>
      <c r="G359" s="1"/>
      <c r="H359" s="1">
        <f t="shared" si="40"/>
        <v>2</v>
      </c>
      <c r="I359" s="2">
        <v>0</v>
      </c>
      <c r="J359" s="2">
        <v>0</v>
      </c>
      <c r="K359" s="2">
        <v>0</v>
      </c>
      <c r="L359" s="2">
        <v>0</v>
      </c>
      <c r="M359" s="2">
        <v>1789.8799999999999</v>
      </c>
      <c r="N359" s="89">
        <v>1789.88</v>
      </c>
      <c r="O359" s="89">
        <v>0</v>
      </c>
      <c r="P359" s="89">
        <v>0</v>
      </c>
      <c r="Q359" s="54">
        <f t="shared" si="37"/>
        <v>3579.76</v>
      </c>
      <c r="R359" s="89">
        <v>4681.76</v>
      </c>
      <c r="S359" s="92">
        <f t="shared" si="41"/>
        <v>2</v>
      </c>
      <c r="T359" s="59">
        <f t="shared" si="38"/>
        <v>-1102</v>
      </c>
      <c r="U359" s="60">
        <f t="shared" si="39"/>
        <v>1.3078418664938432</v>
      </c>
      <c r="V359" s="59" t="str">
        <f t="array" ref="V359">_xlfn.IFS(S359=0,"Alta sin facturar",S359&gt;2,"Cliente",S359&gt;0,"Cliente nuevo")</f>
        <v>Cliente nuevo</v>
      </c>
      <c r="W359" s="59" t="str">
        <f t="shared" si="42"/>
        <v>Sin pago</v>
      </c>
      <c r="X359" s="3"/>
      <c r="Y359" s="3"/>
      <c r="Z359" s="3"/>
      <c r="AA359" s="3"/>
      <c r="AB359" s="3"/>
      <c r="AC359" s="3"/>
      <c r="AD359" s="3"/>
      <c r="AE359" s="3"/>
      <c r="AG359"/>
      <c r="AH359"/>
      <c r="AI359"/>
      <c r="AJ359"/>
      <c r="AK359"/>
      <c r="AL359"/>
      <c r="AM359"/>
      <c r="AN359"/>
    </row>
    <row r="360" spans="1:40" x14ac:dyDescent="0.25">
      <c r="A360" s="6">
        <v>44672</v>
      </c>
      <c r="B360" t="str">
        <f t="shared" si="36"/>
        <v>Abril</v>
      </c>
      <c r="C360" s="1" t="s">
        <v>35</v>
      </c>
      <c r="D360" s="58" t="str">
        <f>VLOOKUP(Datos!$C360,$AQ$2:$AR$41,2,0)</f>
        <v>Centro</v>
      </c>
      <c r="E360" s="1">
        <v>23440</v>
      </c>
      <c r="F360" s="1" t="str">
        <f t="array" ref="F360">_xlfn.IFS(H360=0,"Alta sin facturar",H360&gt;2,"Cliente",H360&gt;0,"Cliente nuevo")</f>
        <v>Cliente</v>
      </c>
      <c r="G360" s="1"/>
      <c r="H360" s="1">
        <f t="shared" si="40"/>
        <v>3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89">
        <v>108851.5</v>
      </c>
      <c r="O360" s="89">
        <v>12905</v>
      </c>
      <c r="P360" s="89">
        <v>13224</v>
      </c>
      <c r="Q360" s="54">
        <f t="shared" si="37"/>
        <v>134980.5</v>
      </c>
      <c r="R360" s="89">
        <v>219733</v>
      </c>
      <c r="S360" s="92">
        <f t="shared" si="41"/>
        <v>3</v>
      </c>
      <c r="T360" s="59">
        <f t="shared" si="38"/>
        <v>-84752.5</v>
      </c>
      <c r="U360" s="60">
        <f t="shared" si="39"/>
        <v>1.6278869910838973</v>
      </c>
      <c r="V360" s="59" t="str">
        <f t="array" ref="V360">_xlfn.IFS(S360=0,"Alta sin facturar",S360&gt;2,"Cliente",S360&gt;0,"Cliente nuevo")</f>
        <v>Cliente</v>
      </c>
      <c r="W360" s="59" t="str">
        <f t="shared" si="42"/>
        <v>Sin pago</v>
      </c>
      <c r="X360" s="3"/>
      <c r="Y360" s="3"/>
      <c r="Z360" s="3"/>
      <c r="AA360" s="3"/>
      <c r="AB360" s="3"/>
      <c r="AC360" s="3"/>
      <c r="AD360" s="3"/>
      <c r="AE360" s="3"/>
      <c r="AG360"/>
      <c r="AH360"/>
      <c r="AI360"/>
      <c r="AJ360"/>
      <c r="AK360"/>
      <c r="AL360"/>
      <c r="AM360"/>
      <c r="AN360"/>
    </row>
    <row r="361" spans="1:40" x14ac:dyDescent="0.25">
      <c r="A361" s="6">
        <v>44672</v>
      </c>
      <c r="B361" t="str">
        <f t="shared" si="36"/>
        <v>Abril</v>
      </c>
      <c r="C361" s="1" t="s">
        <v>64</v>
      </c>
      <c r="D361" s="58" t="str">
        <f>VLOOKUP(Datos!$C361,$AQ$2:$AR$41,2,0)</f>
        <v>Norte</v>
      </c>
      <c r="E361" s="1">
        <v>23441</v>
      </c>
      <c r="F361" s="1" t="str">
        <f t="array" ref="F361">_xlfn.IFS(H361=0,"Alta sin facturar",H361&gt;2,"Cliente",H361&gt;0,"Cliente nuevo")</f>
        <v>Cliente</v>
      </c>
      <c r="G361" s="1"/>
      <c r="H361" s="1">
        <f t="shared" si="40"/>
        <v>4</v>
      </c>
      <c r="I361" s="2">
        <v>0</v>
      </c>
      <c r="J361" s="2">
        <v>0</v>
      </c>
      <c r="K361" s="2">
        <v>0</v>
      </c>
      <c r="L361" s="2">
        <v>0</v>
      </c>
      <c r="M361" s="2">
        <v>619.43999999999994</v>
      </c>
      <c r="N361" s="89">
        <v>697.16</v>
      </c>
      <c r="O361" s="89">
        <v>927.99999999999989</v>
      </c>
      <c r="P361" s="89">
        <v>95.11999999999999</v>
      </c>
      <c r="Q361" s="54">
        <f t="shared" si="37"/>
        <v>2339.7199999999998</v>
      </c>
      <c r="R361" s="89">
        <v>1547.44</v>
      </c>
      <c r="S361" s="92">
        <f t="shared" si="41"/>
        <v>4</v>
      </c>
      <c r="T361" s="59">
        <f t="shared" si="38"/>
        <v>792.27999999999975</v>
      </c>
      <c r="U361" s="60">
        <f t="shared" si="39"/>
        <v>0.66137828458106107</v>
      </c>
      <c r="V361" s="59" t="str">
        <f t="array" ref="V361">_xlfn.IFS(S361=0,"Alta sin facturar",S361&gt;2,"Cliente",S361&gt;0,"Cliente nuevo")</f>
        <v>Cliente</v>
      </c>
      <c r="W361" s="59" t="str">
        <f t="shared" si="42"/>
        <v>Ha pagado</v>
      </c>
      <c r="X361" s="3"/>
      <c r="Y361" s="3"/>
      <c r="Z361" s="3"/>
      <c r="AA361" s="3"/>
      <c r="AB361" s="3"/>
      <c r="AC361" s="3"/>
      <c r="AD361" s="3"/>
      <c r="AE361" s="3"/>
      <c r="AG361"/>
      <c r="AH361"/>
      <c r="AI361"/>
      <c r="AJ361"/>
      <c r="AK361"/>
      <c r="AL361"/>
      <c r="AM361"/>
      <c r="AN361"/>
    </row>
    <row r="362" spans="1:40" x14ac:dyDescent="0.25">
      <c r="A362" s="6">
        <v>44672</v>
      </c>
      <c r="B362" t="str">
        <f t="shared" si="36"/>
        <v>Abril</v>
      </c>
      <c r="C362" s="1" t="s">
        <v>41</v>
      </c>
      <c r="D362" s="87" t="str">
        <f>VLOOKUP(Datos!$C362,$AQ$2:$AR$41,2,0)</f>
        <v>Centro</v>
      </c>
      <c r="E362" s="1">
        <v>23442</v>
      </c>
      <c r="F362" s="1" t="str">
        <f t="array" ref="F362">_xlfn.IFS(H362=0,"Alta sin facturar",H362&gt;2,"Cliente",H362&gt;0,"Cliente nuevo")</f>
        <v>Cliente nuevo</v>
      </c>
      <c r="G362" s="1"/>
      <c r="H362" s="1">
        <f t="shared" si="40"/>
        <v>2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89">
        <v>165.88</v>
      </c>
      <c r="O362" s="89">
        <v>0</v>
      </c>
      <c r="P362" s="89">
        <v>406</v>
      </c>
      <c r="Q362" s="54">
        <f t="shared" si="37"/>
        <v>571.88</v>
      </c>
      <c r="R362" s="89">
        <v>0</v>
      </c>
      <c r="S362" s="92">
        <f t="shared" si="41"/>
        <v>2</v>
      </c>
      <c r="T362" s="59">
        <f t="shared" si="38"/>
        <v>571.88</v>
      </c>
      <c r="U362" s="60">
        <f t="shared" si="39"/>
        <v>0</v>
      </c>
      <c r="V362" s="59" t="str">
        <f t="array" ref="V362">_xlfn.IFS(S362=0,"Alta sin facturar",S362&gt;2,"Cliente",S362&gt;0,"Cliente nuevo")</f>
        <v>Cliente nuevo</v>
      </c>
      <c r="W362" s="59" t="str">
        <f t="shared" si="42"/>
        <v>Ha pagado</v>
      </c>
      <c r="X362" s="3"/>
      <c r="Y362" s="3"/>
      <c r="Z362" s="3"/>
      <c r="AA362" s="3"/>
      <c r="AB362" s="3"/>
      <c r="AC362" s="3"/>
      <c r="AD362" s="3"/>
      <c r="AE362" s="3"/>
      <c r="AG362"/>
      <c r="AH362"/>
      <c r="AI362"/>
      <c r="AJ362"/>
      <c r="AK362"/>
      <c r="AL362"/>
      <c r="AM362"/>
      <c r="AN362"/>
    </row>
    <row r="363" spans="1:40" x14ac:dyDescent="0.25">
      <c r="A363" s="6">
        <v>44672</v>
      </c>
      <c r="B363" t="str">
        <f t="shared" si="36"/>
        <v>Abril</v>
      </c>
      <c r="C363" s="1" t="s">
        <v>89</v>
      </c>
      <c r="D363" s="87" t="str">
        <f>VLOOKUP(Datos!$C363,$AQ$2:$AR$41,2,0)</f>
        <v>Centro</v>
      </c>
      <c r="E363" s="1">
        <v>23443</v>
      </c>
      <c r="F363" s="1" t="str">
        <f t="array" ref="F363">_xlfn.IFS(H363=0,"Alta sin facturar",H363&gt;2,"Cliente",H363&gt;0,"Cliente nuevo")</f>
        <v>Cliente</v>
      </c>
      <c r="G363" s="1"/>
      <c r="H363" s="1">
        <f t="shared" si="40"/>
        <v>4</v>
      </c>
      <c r="I363" s="2">
        <v>0</v>
      </c>
      <c r="J363" s="2">
        <v>0</v>
      </c>
      <c r="K363" s="2">
        <v>0</v>
      </c>
      <c r="L363" s="2">
        <v>0</v>
      </c>
      <c r="M363" s="2">
        <v>247.07999999999998</v>
      </c>
      <c r="N363" s="89">
        <v>2237.6400000000003</v>
      </c>
      <c r="O363" s="89">
        <v>2963.7999999999997</v>
      </c>
      <c r="P363" s="89">
        <v>967.43999999999994</v>
      </c>
      <c r="Q363" s="54">
        <f t="shared" si="37"/>
        <v>6415.96</v>
      </c>
      <c r="R363" s="89">
        <v>518.52</v>
      </c>
      <c r="S363" s="92">
        <f t="shared" si="41"/>
        <v>4</v>
      </c>
      <c r="T363" s="59">
        <f t="shared" si="38"/>
        <v>5897.4400000000005</v>
      </c>
      <c r="U363" s="60">
        <f t="shared" si="39"/>
        <v>8.0817212077382031E-2</v>
      </c>
      <c r="V363" s="59" t="str">
        <f t="array" ref="V363">_xlfn.IFS(S363=0,"Alta sin facturar",S363&gt;2,"Cliente",S363&gt;0,"Cliente nuevo")</f>
        <v>Cliente</v>
      </c>
      <c r="W363" s="59" t="str">
        <f t="shared" si="42"/>
        <v>Ha pagado</v>
      </c>
      <c r="X363" s="3"/>
      <c r="Y363" s="3"/>
      <c r="Z363" s="3"/>
      <c r="AA363" s="3"/>
      <c r="AB363" s="3"/>
      <c r="AC363" s="3"/>
      <c r="AD363" s="3"/>
      <c r="AE363" s="3"/>
      <c r="AG363"/>
      <c r="AH363"/>
      <c r="AI363"/>
      <c r="AJ363"/>
      <c r="AK363"/>
      <c r="AL363"/>
      <c r="AM363"/>
      <c r="AN363"/>
    </row>
    <row r="364" spans="1:40" x14ac:dyDescent="0.25">
      <c r="A364" s="6">
        <v>44672</v>
      </c>
      <c r="B364" t="str">
        <f t="shared" si="36"/>
        <v>Abril</v>
      </c>
      <c r="C364" s="1" t="s">
        <v>41</v>
      </c>
      <c r="D364" s="58" t="str">
        <f>VLOOKUP(Datos!$C364,$AQ$2:$AR$41,2,0)</f>
        <v>Centro</v>
      </c>
      <c r="E364" s="1">
        <v>23444</v>
      </c>
      <c r="F364" s="1" t="str">
        <f t="array" ref="F364">_xlfn.IFS(H364=0,"Alta sin facturar",H364&gt;2,"Cliente",H364&gt;0,"Cliente nuevo")</f>
        <v>Alta sin facturar</v>
      </c>
      <c r="G364" s="1"/>
      <c r="H364" s="1">
        <f t="shared" si="40"/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89">
        <v>0</v>
      </c>
      <c r="O364" s="89">
        <v>0</v>
      </c>
      <c r="P364" s="89">
        <v>0</v>
      </c>
      <c r="Q364" s="54">
        <f t="shared" si="37"/>
        <v>0</v>
      </c>
      <c r="R364" s="89">
        <v>1740</v>
      </c>
      <c r="S364" s="92">
        <f t="shared" si="41"/>
        <v>0</v>
      </c>
      <c r="T364" s="59">
        <f t="shared" si="38"/>
        <v>-1740</v>
      </c>
      <c r="U364" s="60">
        <f t="shared" si="39"/>
        <v>0</v>
      </c>
      <c r="V364" s="59" t="str">
        <f t="array" ref="V364">_xlfn.IFS(S364=0,"Alta sin facturar",S364&gt;2,"Cliente",S364&gt;0,"Cliente nuevo")</f>
        <v>Alta sin facturar</v>
      </c>
      <c r="W364" s="59" t="str">
        <f t="shared" si="42"/>
        <v>Sin pago</v>
      </c>
      <c r="X364" s="3"/>
      <c r="Y364" s="3"/>
      <c r="Z364" s="3"/>
      <c r="AA364" s="3"/>
      <c r="AB364" s="3"/>
      <c r="AC364" s="3"/>
      <c r="AD364" s="3"/>
      <c r="AE364" s="3"/>
      <c r="AG364"/>
      <c r="AH364"/>
      <c r="AI364"/>
      <c r="AJ364"/>
      <c r="AK364"/>
      <c r="AL364"/>
      <c r="AM364"/>
      <c r="AN364"/>
    </row>
    <row r="365" spans="1:40" x14ac:dyDescent="0.25">
      <c r="A365" s="6">
        <v>44673</v>
      </c>
      <c r="B365" t="str">
        <f t="shared" si="36"/>
        <v>Abril</v>
      </c>
      <c r="C365" s="1" t="s">
        <v>31</v>
      </c>
      <c r="D365" s="58" t="str">
        <f>VLOOKUP(Datos!$C365,$AQ$2:$AR$41,2,0)</f>
        <v>Centro</v>
      </c>
      <c r="E365" s="1">
        <v>23445</v>
      </c>
      <c r="F365" s="1" t="str">
        <f t="array" ref="F365">_xlfn.IFS(H365=0,"Alta sin facturar",H365&gt;2,"Cliente",H365&gt;0,"Cliente nuevo")</f>
        <v>Alta sin facturar</v>
      </c>
      <c r="G365" s="1"/>
      <c r="H365" s="1">
        <f t="shared" si="40"/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89">
        <v>0</v>
      </c>
      <c r="O365" s="89">
        <v>0</v>
      </c>
      <c r="P365" s="89">
        <v>0</v>
      </c>
      <c r="Q365" s="54">
        <f t="shared" si="37"/>
        <v>0</v>
      </c>
      <c r="R365" s="89"/>
      <c r="S365" s="92">
        <f t="shared" si="41"/>
        <v>0</v>
      </c>
      <c r="T365" s="59">
        <f t="shared" si="38"/>
        <v>0</v>
      </c>
      <c r="U365" s="60">
        <f t="shared" si="39"/>
        <v>0</v>
      </c>
      <c r="V365" s="59" t="str">
        <f t="array" ref="V365">_xlfn.IFS(S365=0,"Alta sin facturar",S365&gt;2,"Cliente",S365&gt;0,"Cliente nuevo")</f>
        <v>Alta sin facturar</v>
      </c>
      <c r="W365" s="59" t="str">
        <f t="shared" si="42"/>
        <v>Sin pago</v>
      </c>
      <c r="X365" s="3"/>
      <c r="Y365" s="3"/>
      <c r="Z365" s="3"/>
      <c r="AA365" s="3"/>
      <c r="AB365" s="3"/>
      <c r="AC365" s="3"/>
      <c r="AD365" s="3"/>
      <c r="AE365" s="3"/>
      <c r="AG365"/>
      <c r="AH365"/>
      <c r="AI365"/>
      <c r="AJ365"/>
      <c r="AK365"/>
      <c r="AL365"/>
      <c r="AM365"/>
      <c r="AN365"/>
    </row>
    <row r="366" spans="1:40" x14ac:dyDescent="0.25">
      <c r="A366" s="6">
        <v>44676</v>
      </c>
      <c r="B366" t="str">
        <f t="shared" si="36"/>
        <v>Abril</v>
      </c>
      <c r="C366" s="1" t="s">
        <v>102</v>
      </c>
      <c r="D366" s="58" t="str">
        <f>VLOOKUP(Datos!$C366,$AQ$2:$AR$41,2,0)</f>
        <v>Sur</v>
      </c>
      <c r="E366" s="1">
        <v>23446</v>
      </c>
      <c r="F366" s="1" t="str">
        <f t="array" ref="F366">_xlfn.IFS(H366=0,"Alta sin facturar",H366&gt;2,"Cliente",H366&gt;0,"Cliente nuevo")</f>
        <v>Cliente</v>
      </c>
      <c r="G366" s="1"/>
      <c r="H366" s="1">
        <f t="shared" si="40"/>
        <v>4</v>
      </c>
      <c r="I366" s="2">
        <v>0</v>
      </c>
      <c r="J366" s="2">
        <v>0</v>
      </c>
      <c r="K366" s="2">
        <v>0</v>
      </c>
      <c r="L366" s="2">
        <v>0</v>
      </c>
      <c r="M366" s="2">
        <v>970.91999999999985</v>
      </c>
      <c r="N366" s="89">
        <v>901.32</v>
      </c>
      <c r="O366" s="89">
        <v>2670.3199999999997</v>
      </c>
      <c r="P366" s="89">
        <v>267.95999999999998</v>
      </c>
      <c r="Q366" s="54">
        <f t="shared" si="37"/>
        <v>4810.5199999999995</v>
      </c>
      <c r="R366" s="89">
        <v>403.68</v>
      </c>
      <c r="S366" s="92">
        <f t="shared" si="41"/>
        <v>4</v>
      </c>
      <c r="T366" s="59">
        <f t="shared" si="38"/>
        <v>4406.8399999999992</v>
      </c>
      <c r="U366" s="60">
        <f t="shared" si="39"/>
        <v>8.3916083916083919E-2</v>
      </c>
      <c r="V366" s="59" t="str">
        <f t="array" ref="V366">_xlfn.IFS(S366=0,"Alta sin facturar",S366&gt;2,"Cliente",S366&gt;0,"Cliente nuevo")</f>
        <v>Cliente</v>
      </c>
      <c r="W366" s="59" t="str">
        <f t="shared" si="42"/>
        <v>Ha pagado</v>
      </c>
      <c r="X366" s="3"/>
      <c r="Y366" s="3"/>
      <c r="Z366" s="3"/>
      <c r="AA366" s="3"/>
      <c r="AB366" s="3"/>
      <c r="AC366" s="3"/>
      <c r="AD366" s="3"/>
      <c r="AE366" s="3"/>
      <c r="AG366"/>
      <c r="AH366"/>
      <c r="AI366"/>
      <c r="AJ366"/>
      <c r="AK366"/>
      <c r="AL366"/>
      <c r="AM366"/>
      <c r="AN366"/>
    </row>
    <row r="367" spans="1:40" x14ac:dyDescent="0.25">
      <c r="A367" s="6">
        <v>44676</v>
      </c>
      <c r="B367" t="str">
        <f t="shared" si="36"/>
        <v>Abril</v>
      </c>
      <c r="C367" s="1" t="s">
        <v>31</v>
      </c>
      <c r="D367" s="58" t="str">
        <f>VLOOKUP(Datos!$C367,$AQ$2:$AR$41,2,0)</f>
        <v>Centro</v>
      </c>
      <c r="E367" s="1">
        <v>23447</v>
      </c>
      <c r="F367" s="1" t="str">
        <f t="array" ref="F367">_xlfn.IFS(H367=0,"Alta sin facturar",H367&gt;2,"Cliente",H367&gt;0,"Cliente nuevo")</f>
        <v>Cliente</v>
      </c>
      <c r="G367" s="1"/>
      <c r="H367" s="1">
        <f t="shared" si="40"/>
        <v>4</v>
      </c>
      <c r="I367" s="2">
        <v>0</v>
      </c>
      <c r="J367" s="2">
        <v>0</v>
      </c>
      <c r="K367" s="2">
        <v>0</v>
      </c>
      <c r="L367" s="2">
        <v>0</v>
      </c>
      <c r="M367" s="2">
        <v>4350</v>
      </c>
      <c r="N367" s="89">
        <v>2335.08</v>
      </c>
      <c r="O367" s="89">
        <v>1416.3599999999997</v>
      </c>
      <c r="P367" s="89">
        <v>148.47999999999999</v>
      </c>
      <c r="Q367" s="54">
        <f t="shared" si="37"/>
        <v>8249.92</v>
      </c>
      <c r="R367" s="89">
        <v>1416.36</v>
      </c>
      <c r="S367" s="92">
        <f t="shared" si="41"/>
        <v>4</v>
      </c>
      <c r="T367" s="59">
        <f t="shared" si="38"/>
        <v>6833.56</v>
      </c>
      <c r="U367" s="60">
        <f t="shared" si="39"/>
        <v>0.171681664791901</v>
      </c>
      <c r="V367" s="59" t="str">
        <f t="array" ref="V367">_xlfn.IFS(S367=0,"Alta sin facturar",S367&gt;2,"Cliente",S367&gt;0,"Cliente nuevo")</f>
        <v>Cliente</v>
      </c>
      <c r="W367" s="59" t="str">
        <f t="shared" si="42"/>
        <v>Ha pagado</v>
      </c>
      <c r="X367" s="3"/>
      <c r="Y367" s="3"/>
      <c r="Z367" s="3"/>
      <c r="AA367" s="3"/>
      <c r="AB367" s="3"/>
      <c r="AC367" s="3"/>
      <c r="AD367" s="3"/>
      <c r="AE367" s="3"/>
      <c r="AG367"/>
      <c r="AH367"/>
      <c r="AI367"/>
      <c r="AJ367"/>
      <c r="AK367"/>
      <c r="AL367"/>
      <c r="AM367"/>
      <c r="AN367"/>
    </row>
    <row r="368" spans="1:40" x14ac:dyDescent="0.25">
      <c r="A368" s="6">
        <v>44676</v>
      </c>
      <c r="B368" t="str">
        <f t="shared" si="36"/>
        <v>Abril</v>
      </c>
      <c r="C368" s="1" t="s">
        <v>31</v>
      </c>
      <c r="D368" s="58" t="str">
        <f>VLOOKUP(Datos!$C368,$AQ$2:$AR$41,2,0)</f>
        <v>Centro</v>
      </c>
      <c r="E368" s="1">
        <v>23448</v>
      </c>
      <c r="F368" s="1" t="str">
        <f t="array" ref="F368">_xlfn.IFS(H368=0,"Alta sin facturar",H368&gt;2,"Cliente",H368&gt;0,"Cliente nuevo")</f>
        <v>Alta sin facturar</v>
      </c>
      <c r="G368" s="1"/>
      <c r="H368" s="1">
        <f t="shared" si="40"/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89">
        <v>0</v>
      </c>
      <c r="O368" s="89">
        <v>0</v>
      </c>
      <c r="P368" s="89">
        <v>0</v>
      </c>
      <c r="Q368" s="54">
        <f t="shared" si="37"/>
        <v>0</v>
      </c>
      <c r="R368" s="89"/>
      <c r="S368" s="92">
        <f t="shared" si="41"/>
        <v>0</v>
      </c>
      <c r="T368" s="59">
        <f t="shared" si="38"/>
        <v>0</v>
      </c>
      <c r="U368" s="60">
        <f t="shared" si="39"/>
        <v>0</v>
      </c>
      <c r="V368" s="59" t="str">
        <f t="array" ref="V368">_xlfn.IFS(S368=0,"Alta sin facturar",S368&gt;2,"Cliente",S368&gt;0,"Cliente nuevo")</f>
        <v>Alta sin facturar</v>
      </c>
      <c r="W368" s="59" t="str">
        <f t="shared" si="42"/>
        <v>Sin pago</v>
      </c>
      <c r="X368" s="3"/>
      <c r="Y368" s="3"/>
      <c r="Z368" s="3"/>
      <c r="AA368" s="3"/>
      <c r="AB368" s="3"/>
      <c r="AC368" s="3"/>
      <c r="AD368" s="3"/>
      <c r="AE368" s="3"/>
      <c r="AG368"/>
      <c r="AH368"/>
      <c r="AI368"/>
      <c r="AJ368"/>
      <c r="AK368"/>
      <c r="AL368"/>
      <c r="AM368"/>
      <c r="AN368"/>
    </row>
    <row r="369" spans="1:40" x14ac:dyDescent="0.25">
      <c r="A369" s="6">
        <v>44677</v>
      </c>
      <c r="B369" t="str">
        <f t="shared" si="36"/>
        <v>Abril</v>
      </c>
      <c r="C369" s="1" t="s">
        <v>89</v>
      </c>
      <c r="D369" s="58" t="str">
        <f>VLOOKUP(Datos!$C369,$AQ$2:$AR$41,2,0)</f>
        <v>Centro</v>
      </c>
      <c r="E369" s="1">
        <v>23449</v>
      </c>
      <c r="F369" s="1" t="str">
        <f t="array" ref="F369">_xlfn.IFS(H369=0,"Alta sin facturar",H369&gt;2,"Cliente",H369&gt;0,"Cliente nuevo")</f>
        <v>Cliente</v>
      </c>
      <c r="G369" s="1"/>
      <c r="H369" s="1">
        <f t="shared" si="40"/>
        <v>4</v>
      </c>
      <c r="I369" s="2">
        <v>0</v>
      </c>
      <c r="J369" s="2">
        <v>0</v>
      </c>
      <c r="K369" s="2">
        <v>0</v>
      </c>
      <c r="L369" s="2">
        <v>0</v>
      </c>
      <c r="M369" s="2">
        <v>864.19999999999993</v>
      </c>
      <c r="N369" s="89">
        <v>1789.88</v>
      </c>
      <c r="O369" s="89">
        <v>2165.7199999999998</v>
      </c>
      <c r="P369" s="89">
        <v>2818.7999999999997</v>
      </c>
      <c r="Q369" s="54">
        <f t="shared" si="37"/>
        <v>7638.5999999999985</v>
      </c>
      <c r="R369" s="89">
        <v>146.16</v>
      </c>
      <c r="S369" s="92">
        <f t="shared" si="41"/>
        <v>4</v>
      </c>
      <c r="T369" s="59">
        <f t="shared" si="38"/>
        <v>7492.4399999999987</v>
      </c>
      <c r="U369" s="60">
        <f t="shared" si="39"/>
        <v>1.9134396355353078E-2</v>
      </c>
      <c r="V369" s="59" t="str">
        <f t="array" ref="V369">_xlfn.IFS(S369=0,"Alta sin facturar",S369&gt;2,"Cliente",S369&gt;0,"Cliente nuevo")</f>
        <v>Cliente</v>
      </c>
      <c r="W369" s="59" t="str">
        <f t="shared" si="42"/>
        <v>Ha pagado</v>
      </c>
      <c r="X369" s="3"/>
      <c r="Y369" s="3"/>
      <c r="Z369" s="3"/>
      <c r="AA369" s="3"/>
      <c r="AB369" s="3"/>
      <c r="AC369" s="3"/>
      <c r="AD369" s="3"/>
      <c r="AE369" s="3"/>
      <c r="AG369"/>
      <c r="AH369"/>
      <c r="AI369"/>
      <c r="AJ369"/>
      <c r="AK369"/>
      <c r="AL369"/>
      <c r="AM369"/>
      <c r="AN369"/>
    </row>
    <row r="370" spans="1:40" x14ac:dyDescent="0.25">
      <c r="A370" s="6">
        <v>44677</v>
      </c>
      <c r="B370" t="str">
        <f t="shared" si="36"/>
        <v>Abril</v>
      </c>
      <c r="C370" s="1" t="s">
        <v>60</v>
      </c>
      <c r="D370" s="58" t="str">
        <f>VLOOKUP(Datos!$C370,$AQ$2:$AR$41,2,0)</f>
        <v>Norte</v>
      </c>
      <c r="E370" s="1">
        <v>23450</v>
      </c>
      <c r="F370" s="1" t="str">
        <f t="array" ref="F370">_xlfn.IFS(H370=0,"Alta sin facturar",H370&gt;2,"Cliente",H370&gt;0,"Cliente nuevo")</f>
        <v>Cliente</v>
      </c>
      <c r="G370" s="1"/>
      <c r="H370" s="1">
        <f t="shared" si="40"/>
        <v>3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89">
        <v>2802.5600000000004</v>
      </c>
      <c r="O370" s="89">
        <v>3108.8</v>
      </c>
      <c r="P370" s="89">
        <v>6509.9199999999983</v>
      </c>
      <c r="Q370" s="54">
        <f t="shared" si="37"/>
        <v>12421.279999999999</v>
      </c>
      <c r="R370" s="89">
        <v>1700.56</v>
      </c>
      <c r="S370" s="92">
        <f t="shared" si="41"/>
        <v>3</v>
      </c>
      <c r="T370" s="59">
        <f t="shared" si="38"/>
        <v>10720.72</v>
      </c>
      <c r="U370" s="60">
        <f t="shared" si="39"/>
        <v>0.13690698543145313</v>
      </c>
      <c r="V370" s="59" t="str">
        <f t="array" ref="V370">_xlfn.IFS(S370=0,"Alta sin facturar",S370&gt;2,"Cliente",S370&gt;0,"Cliente nuevo")</f>
        <v>Cliente</v>
      </c>
      <c r="W370" s="59" t="str">
        <f t="shared" si="42"/>
        <v>Ha pagado</v>
      </c>
      <c r="X370" s="3"/>
      <c r="Y370" s="3"/>
      <c r="Z370" s="3"/>
      <c r="AA370" s="3"/>
      <c r="AB370" s="3"/>
      <c r="AC370" s="3"/>
      <c r="AD370" s="3"/>
      <c r="AE370" s="3"/>
      <c r="AG370"/>
      <c r="AH370"/>
      <c r="AI370"/>
      <c r="AJ370"/>
      <c r="AK370"/>
      <c r="AL370"/>
      <c r="AM370"/>
      <c r="AN370"/>
    </row>
    <row r="371" spans="1:40" x14ac:dyDescent="0.25">
      <c r="A371" s="6">
        <v>44677</v>
      </c>
      <c r="B371" t="str">
        <f t="shared" si="36"/>
        <v>Abril</v>
      </c>
      <c r="C371" s="1" t="s">
        <v>39</v>
      </c>
      <c r="D371" s="58" t="str">
        <f>VLOOKUP(Datos!$C371,$AQ$2:$AR$41,2,0)</f>
        <v>Sur</v>
      </c>
      <c r="E371" s="1">
        <v>23451</v>
      </c>
      <c r="F371" s="1" t="str">
        <f t="array" ref="F371">_xlfn.IFS(H371=0,"Alta sin facturar",H371&gt;2,"Cliente",H371&gt;0,"Cliente nuevo")</f>
        <v>Cliente</v>
      </c>
      <c r="G371" s="1"/>
      <c r="H371" s="1">
        <f t="shared" si="40"/>
        <v>4</v>
      </c>
      <c r="I371" s="2">
        <v>0</v>
      </c>
      <c r="J371" s="2">
        <v>0</v>
      </c>
      <c r="K371" s="2">
        <v>0</v>
      </c>
      <c r="L371" s="2">
        <v>627.55999999999995</v>
      </c>
      <c r="M371" s="2">
        <v>0</v>
      </c>
      <c r="N371" s="89">
        <v>1629.8</v>
      </c>
      <c r="O371" s="89">
        <v>615.95999999999992</v>
      </c>
      <c r="P371" s="89">
        <v>582.31999999999994</v>
      </c>
      <c r="Q371" s="54">
        <f t="shared" si="37"/>
        <v>3455.6399999999994</v>
      </c>
      <c r="R371" s="89">
        <v>615.96</v>
      </c>
      <c r="S371" s="92">
        <f t="shared" si="41"/>
        <v>4</v>
      </c>
      <c r="T371" s="59">
        <f t="shared" si="38"/>
        <v>2839.6799999999994</v>
      </c>
      <c r="U371" s="60">
        <f t="shared" si="39"/>
        <v>0.17824773413897285</v>
      </c>
      <c r="V371" s="59" t="str">
        <f t="array" ref="V371">_xlfn.IFS(S371=0,"Alta sin facturar",S371&gt;2,"Cliente",S371&gt;0,"Cliente nuevo")</f>
        <v>Cliente</v>
      </c>
      <c r="W371" s="59" t="str">
        <f t="shared" si="42"/>
        <v>Ha pagado</v>
      </c>
      <c r="X371" s="3"/>
      <c r="Y371" s="3"/>
      <c r="Z371" s="3"/>
      <c r="AA371" s="3"/>
      <c r="AB371" s="3"/>
      <c r="AC371" s="3"/>
      <c r="AD371" s="3"/>
      <c r="AE371" s="3"/>
      <c r="AG371"/>
      <c r="AH371"/>
      <c r="AI371"/>
      <c r="AJ371"/>
      <c r="AK371"/>
      <c r="AL371"/>
      <c r="AM371"/>
      <c r="AN371"/>
    </row>
    <row r="372" spans="1:40" x14ac:dyDescent="0.25">
      <c r="A372" s="6">
        <v>44677</v>
      </c>
      <c r="B372" t="str">
        <f t="shared" si="36"/>
        <v>Abril</v>
      </c>
      <c r="C372" s="1" t="s">
        <v>40</v>
      </c>
      <c r="D372" s="58" t="str">
        <f>VLOOKUP(Datos!$C372,$AQ$2:$AR$41,2,0)</f>
        <v>Centro</v>
      </c>
      <c r="E372" s="1">
        <v>23452</v>
      </c>
      <c r="F372" s="1" t="str">
        <f t="array" ref="F372">_xlfn.IFS(H372=0,"Alta sin facturar",H372&gt;2,"Cliente",H372&gt;0,"Cliente nuevo")</f>
        <v>Alta sin facturar</v>
      </c>
      <c r="G372" s="1"/>
      <c r="H372" s="1">
        <f t="shared" si="40"/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89">
        <v>0</v>
      </c>
      <c r="O372" s="89">
        <v>0</v>
      </c>
      <c r="P372" s="89">
        <v>0</v>
      </c>
      <c r="Q372" s="54">
        <f t="shared" si="37"/>
        <v>0</v>
      </c>
      <c r="R372" s="89"/>
      <c r="S372" s="92">
        <f t="shared" si="41"/>
        <v>0</v>
      </c>
      <c r="T372" s="59">
        <f t="shared" si="38"/>
        <v>0</v>
      </c>
      <c r="U372" s="60">
        <f t="shared" si="39"/>
        <v>0</v>
      </c>
      <c r="V372" s="59" t="str">
        <f t="array" ref="V372">_xlfn.IFS(S372=0,"Alta sin facturar",S372&gt;2,"Cliente",S372&gt;0,"Cliente nuevo")</f>
        <v>Alta sin facturar</v>
      </c>
      <c r="W372" s="59" t="str">
        <f t="shared" si="42"/>
        <v>Sin pago</v>
      </c>
      <c r="X372" s="3"/>
      <c r="Y372" s="3"/>
      <c r="Z372" s="3"/>
      <c r="AA372" s="3"/>
      <c r="AB372" s="3"/>
      <c r="AC372" s="3"/>
      <c r="AD372" s="3"/>
      <c r="AE372" s="3"/>
      <c r="AG372"/>
      <c r="AH372"/>
      <c r="AI372"/>
      <c r="AJ372"/>
      <c r="AK372"/>
      <c r="AL372"/>
      <c r="AM372"/>
      <c r="AN372"/>
    </row>
    <row r="373" spans="1:40" x14ac:dyDescent="0.25">
      <c r="A373" s="6">
        <v>44678</v>
      </c>
      <c r="B373" t="str">
        <f t="shared" si="36"/>
        <v>Abril</v>
      </c>
      <c r="C373" s="1" t="s">
        <v>42</v>
      </c>
      <c r="D373" s="58" t="str">
        <f>VLOOKUP(Datos!$C373,$AQ$2:$AR$41,2,0)</f>
        <v>Norte</v>
      </c>
      <c r="E373" s="1">
        <v>23453</v>
      </c>
      <c r="F373" s="1" t="str">
        <f t="array" ref="F373">_xlfn.IFS(H373=0,"Alta sin facturar",H373&gt;2,"Cliente",H373&gt;0,"Cliente nuevo")</f>
        <v>Cliente</v>
      </c>
      <c r="G373" s="1"/>
      <c r="H373" s="1">
        <f t="shared" si="40"/>
        <v>4</v>
      </c>
      <c r="I373" s="2">
        <v>0</v>
      </c>
      <c r="J373" s="2">
        <v>0</v>
      </c>
      <c r="K373" s="2">
        <v>0</v>
      </c>
      <c r="L373" s="2">
        <v>0</v>
      </c>
      <c r="M373" s="2">
        <v>7388.0399999999963</v>
      </c>
      <c r="N373" s="89">
        <v>22158.32</v>
      </c>
      <c r="O373" s="89">
        <v>19305.879999999986</v>
      </c>
      <c r="P373" s="89">
        <v>24871.56000000007</v>
      </c>
      <c r="Q373" s="54">
        <f t="shared" si="37"/>
        <v>73723.800000000047</v>
      </c>
      <c r="R373" s="89">
        <v>5664.28</v>
      </c>
      <c r="S373" s="92">
        <f t="shared" si="41"/>
        <v>4</v>
      </c>
      <c r="T373" s="59">
        <f t="shared" si="38"/>
        <v>68059.520000000048</v>
      </c>
      <c r="U373" s="60">
        <f t="shared" si="39"/>
        <v>7.6831091180866909E-2</v>
      </c>
      <c r="V373" s="59" t="str">
        <f t="array" ref="V373">_xlfn.IFS(S373=0,"Alta sin facturar",S373&gt;2,"Cliente",S373&gt;0,"Cliente nuevo")</f>
        <v>Cliente</v>
      </c>
      <c r="W373" s="59" t="str">
        <f t="shared" si="42"/>
        <v>Ha pagado</v>
      </c>
      <c r="X373" s="3"/>
      <c r="Y373" s="3"/>
      <c r="Z373" s="3"/>
      <c r="AA373" s="3"/>
      <c r="AB373" s="3"/>
      <c r="AC373" s="3"/>
      <c r="AD373" s="3"/>
      <c r="AE373" s="3"/>
      <c r="AG373"/>
      <c r="AH373"/>
      <c r="AI373"/>
      <c r="AJ373"/>
      <c r="AK373"/>
      <c r="AL373"/>
      <c r="AM373"/>
      <c r="AN373"/>
    </row>
    <row r="374" spans="1:40" x14ac:dyDescent="0.25">
      <c r="A374" s="6">
        <v>44679</v>
      </c>
      <c r="B374" t="str">
        <f t="shared" si="36"/>
        <v>Abril</v>
      </c>
      <c r="C374" s="1" t="s">
        <v>39</v>
      </c>
      <c r="D374" s="58" t="str">
        <f>VLOOKUP(Datos!$C374,$AQ$2:$AR$41,2,0)</f>
        <v>Sur</v>
      </c>
      <c r="E374" s="1">
        <v>23454</v>
      </c>
      <c r="F374" s="1" t="str">
        <f t="array" ref="F374">_xlfn.IFS(H374=0,"Alta sin facturar",H374&gt;2,"Cliente",H374&gt;0,"Cliente nuevo")</f>
        <v>Alta sin facturar</v>
      </c>
      <c r="G374" s="1"/>
      <c r="H374" s="1">
        <f t="shared" si="40"/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89">
        <v>0</v>
      </c>
      <c r="O374" s="89">
        <v>0</v>
      </c>
      <c r="P374" s="89">
        <v>0</v>
      </c>
      <c r="Q374" s="54">
        <f t="shared" si="37"/>
        <v>0</v>
      </c>
      <c r="R374" s="89"/>
      <c r="S374" s="92">
        <f t="shared" si="41"/>
        <v>0</v>
      </c>
      <c r="T374" s="59">
        <f t="shared" si="38"/>
        <v>0</v>
      </c>
      <c r="U374" s="60">
        <f t="shared" si="39"/>
        <v>0</v>
      </c>
      <c r="V374" s="59" t="str">
        <f t="array" ref="V374">_xlfn.IFS(S374=0,"Alta sin facturar",S374&gt;2,"Cliente",S374&gt;0,"Cliente nuevo")</f>
        <v>Alta sin facturar</v>
      </c>
      <c r="W374" s="59" t="str">
        <f t="shared" si="42"/>
        <v>Sin pago</v>
      </c>
      <c r="X374" s="3"/>
      <c r="Y374" s="3"/>
      <c r="Z374" s="3"/>
      <c r="AA374" s="3"/>
      <c r="AB374" s="3"/>
      <c r="AC374" s="3"/>
      <c r="AD374" s="3"/>
      <c r="AE374" s="3"/>
      <c r="AG374"/>
      <c r="AH374"/>
      <c r="AI374"/>
      <c r="AJ374"/>
      <c r="AK374"/>
      <c r="AL374"/>
      <c r="AM374"/>
      <c r="AN374"/>
    </row>
    <row r="375" spans="1:40" x14ac:dyDescent="0.25">
      <c r="A375" s="6">
        <v>44679</v>
      </c>
      <c r="B375" t="str">
        <f t="shared" si="36"/>
        <v>Abril</v>
      </c>
      <c r="C375" s="1" t="s">
        <v>38</v>
      </c>
      <c r="D375" s="58" t="str">
        <f>VLOOKUP(Datos!$C375,$AQ$2:$AR$41,2,0)</f>
        <v>Centro</v>
      </c>
      <c r="E375" s="1">
        <v>23455</v>
      </c>
      <c r="F375" s="1" t="str">
        <f t="array" ref="F375">_xlfn.IFS(H375=0,"Alta sin facturar",H375&gt;2,"Cliente",H375&gt;0,"Cliente nuevo")</f>
        <v>Alta sin facturar</v>
      </c>
      <c r="G375" s="1"/>
      <c r="H375" s="1">
        <f t="shared" si="40"/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89">
        <v>0</v>
      </c>
      <c r="O375" s="89">
        <v>0</v>
      </c>
      <c r="P375" s="89">
        <v>0</v>
      </c>
      <c r="Q375" s="54">
        <f t="shared" si="37"/>
        <v>0</v>
      </c>
      <c r="R375" s="89"/>
      <c r="S375" s="92">
        <f t="shared" si="41"/>
        <v>0</v>
      </c>
      <c r="T375" s="59">
        <f t="shared" si="38"/>
        <v>0</v>
      </c>
      <c r="U375" s="60">
        <f t="shared" si="39"/>
        <v>0</v>
      </c>
      <c r="V375" s="59" t="str">
        <f t="array" ref="V375">_xlfn.IFS(S375=0,"Alta sin facturar",S375&gt;2,"Cliente",S375&gt;0,"Cliente nuevo")</f>
        <v>Alta sin facturar</v>
      </c>
      <c r="W375" s="59" t="str">
        <f t="shared" si="42"/>
        <v>Sin pago</v>
      </c>
      <c r="X375" s="3"/>
      <c r="Y375" s="3"/>
      <c r="Z375" s="3"/>
      <c r="AA375" s="3"/>
      <c r="AB375" s="3"/>
      <c r="AC375" s="3"/>
      <c r="AD375" s="3"/>
      <c r="AE375" s="3"/>
      <c r="AG375"/>
      <c r="AH375"/>
      <c r="AI375"/>
      <c r="AJ375"/>
      <c r="AK375"/>
      <c r="AL375"/>
      <c r="AM375"/>
      <c r="AN375"/>
    </row>
    <row r="376" spans="1:40" x14ac:dyDescent="0.25">
      <c r="A376" s="6">
        <v>44679</v>
      </c>
      <c r="B376" t="str">
        <f t="shared" si="36"/>
        <v>Abril</v>
      </c>
      <c r="C376" s="1" t="s">
        <v>34</v>
      </c>
      <c r="D376" s="58" t="str">
        <f>VLOOKUP(Datos!$C376,$AQ$2:$AR$41,2,0)</f>
        <v>Norte</v>
      </c>
      <c r="E376" s="1">
        <v>23456</v>
      </c>
      <c r="F376" s="1" t="str">
        <f t="array" ref="F376">_xlfn.IFS(H376=0,"Alta sin facturar",H376&gt;2,"Cliente",H376&gt;0,"Cliente nuevo")</f>
        <v>Cliente</v>
      </c>
      <c r="G376" s="1"/>
      <c r="H376" s="1">
        <f t="shared" si="40"/>
        <v>4</v>
      </c>
      <c r="I376" s="2">
        <v>0</v>
      </c>
      <c r="J376" s="2">
        <v>0</v>
      </c>
      <c r="K376" s="2">
        <v>0</v>
      </c>
      <c r="L376" s="2">
        <v>0</v>
      </c>
      <c r="M376" s="2">
        <v>2126.2799999999997</v>
      </c>
      <c r="N376" s="89">
        <v>1476.68</v>
      </c>
      <c r="O376" s="89">
        <v>2388.4399999999996</v>
      </c>
      <c r="P376" s="89">
        <v>1765.52</v>
      </c>
      <c r="Q376" s="54">
        <f t="shared" si="37"/>
        <v>7756.92</v>
      </c>
      <c r="R376" s="89">
        <v>1099.68</v>
      </c>
      <c r="S376" s="92">
        <f t="shared" si="41"/>
        <v>4</v>
      </c>
      <c r="T376" s="59">
        <f t="shared" si="38"/>
        <v>6657.24</v>
      </c>
      <c r="U376" s="60">
        <f t="shared" si="39"/>
        <v>0.14176760879318082</v>
      </c>
      <c r="V376" s="59" t="str">
        <f t="array" ref="V376">_xlfn.IFS(S376=0,"Alta sin facturar",S376&gt;2,"Cliente",S376&gt;0,"Cliente nuevo")</f>
        <v>Cliente</v>
      </c>
      <c r="W376" s="59" t="str">
        <f t="shared" si="42"/>
        <v>Ha pagado</v>
      </c>
      <c r="X376" s="3"/>
      <c r="Y376" s="3"/>
      <c r="Z376" s="3"/>
      <c r="AA376" s="3"/>
      <c r="AB376" s="3"/>
      <c r="AC376" s="3"/>
      <c r="AD376" s="3"/>
      <c r="AE376" s="3"/>
      <c r="AG376"/>
      <c r="AH376"/>
      <c r="AI376"/>
      <c r="AJ376"/>
      <c r="AK376"/>
      <c r="AL376"/>
      <c r="AM376"/>
      <c r="AN376"/>
    </row>
    <row r="377" spans="1:40" x14ac:dyDescent="0.25">
      <c r="A377" s="6">
        <v>44680</v>
      </c>
      <c r="B377" t="str">
        <f t="shared" si="36"/>
        <v>Abril</v>
      </c>
      <c r="C377" s="1" t="s">
        <v>67</v>
      </c>
      <c r="D377" s="58" t="str">
        <f>VLOOKUP(Datos!$C377,$AQ$2:$AR$41,2,0)</f>
        <v>Norte</v>
      </c>
      <c r="E377" s="1">
        <v>23457</v>
      </c>
      <c r="F377" s="1" t="str">
        <f t="array" ref="F377">_xlfn.IFS(H377=0,"Alta sin facturar",H377&gt;2,"Cliente",H377&gt;0,"Cliente nuevo")</f>
        <v>Cliente</v>
      </c>
      <c r="G377" s="1"/>
      <c r="H377" s="1">
        <f t="shared" si="40"/>
        <v>3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89">
        <v>1105.48</v>
      </c>
      <c r="O377" s="89">
        <v>3925.4399999999987</v>
      </c>
      <c r="P377" s="89">
        <v>1245.8399999999999</v>
      </c>
      <c r="Q377" s="54">
        <f t="shared" si="37"/>
        <v>6276.7599999999984</v>
      </c>
      <c r="R377" s="89">
        <v>2387.2799999999997</v>
      </c>
      <c r="S377" s="92">
        <f t="shared" si="41"/>
        <v>3</v>
      </c>
      <c r="T377" s="59">
        <f t="shared" si="38"/>
        <v>3889.4799999999987</v>
      </c>
      <c r="U377" s="60">
        <f t="shared" si="39"/>
        <v>0.38033635187580861</v>
      </c>
      <c r="V377" s="59" t="str">
        <f t="array" ref="V377">_xlfn.IFS(S377=0,"Alta sin facturar",S377&gt;2,"Cliente",S377&gt;0,"Cliente nuevo")</f>
        <v>Cliente</v>
      </c>
      <c r="W377" s="59" t="str">
        <f t="shared" si="42"/>
        <v>Ha pagado</v>
      </c>
      <c r="X377" s="3"/>
      <c r="Y377" s="3"/>
      <c r="Z377" s="3"/>
      <c r="AA377" s="3"/>
      <c r="AB377" s="3"/>
      <c r="AC377" s="3"/>
      <c r="AD377" s="3"/>
      <c r="AE377" s="3"/>
      <c r="AG377"/>
      <c r="AH377"/>
      <c r="AI377"/>
      <c r="AJ377"/>
      <c r="AK377"/>
      <c r="AL377"/>
      <c r="AM377"/>
      <c r="AN377"/>
    </row>
    <row r="378" spans="1:40" x14ac:dyDescent="0.25">
      <c r="A378" s="6">
        <v>44680</v>
      </c>
      <c r="B378" t="str">
        <f t="shared" si="36"/>
        <v>Abril</v>
      </c>
      <c r="C378" s="1" t="s">
        <v>67</v>
      </c>
      <c r="D378" s="58" t="str">
        <f>VLOOKUP(Datos!$C378,$AQ$2:$AR$41,2,0)</f>
        <v>Norte</v>
      </c>
      <c r="E378" s="1">
        <v>23458</v>
      </c>
      <c r="F378" s="1" t="str">
        <f t="array" ref="F378">_xlfn.IFS(H378=0,"Alta sin facturar",H378&gt;2,"Cliente",H378&gt;0,"Cliente nuevo")</f>
        <v>Cliente</v>
      </c>
      <c r="G378" s="1"/>
      <c r="H378" s="1">
        <f t="shared" si="40"/>
        <v>3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89">
        <v>812</v>
      </c>
      <c r="O378" s="89">
        <v>580</v>
      </c>
      <c r="P378" s="89">
        <v>1160</v>
      </c>
      <c r="Q378" s="54">
        <f t="shared" si="37"/>
        <v>2552</v>
      </c>
      <c r="R378" s="89">
        <v>812</v>
      </c>
      <c r="S378" s="92">
        <f t="shared" si="41"/>
        <v>3</v>
      </c>
      <c r="T378" s="59">
        <f t="shared" si="38"/>
        <v>1740</v>
      </c>
      <c r="U378" s="60">
        <f t="shared" si="39"/>
        <v>0.31818181818181818</v>
      </c>
      <c r="V378" s="59" t="str">
        <f t="array" ref="V378">_xlfn.IFS(S378=0,"Alta sin facturar",S378&gt;2,"Cliente",S378&gt;0,"Cliente nuevo")</f>
        <v>Cliente</v>
      </c>
      <c r="W378" s="59" t="str">
        <f t="shared" si="42"/>
        <v>Ha pagado</v>
      </c>
      <c r="X378" s="3"/>
      <c r="Y378" s="3"/>
      <c r="Z378" s="3"/>
      <c r="AA378" s="3"/>
      <c r="AB378" s="3"/>
      <c r="AC378" s="3"/>
      <c r="AD378" s="3"/>
      <c r="AE378" s="3"/>
      <c r="AG378"/>
      <c r="AH378"/>
      <c r="AI378"/>
      <c r="AJ378"/>
      <c r="AK378"/>
      <c r="AL378"/>
      <c r="AM378"/>
      <c r="AN378"/>
    </row>
    <row r="379" spans="1:40" x14ac:dyDescent="0.25">
      <c r="A379" s="6">
        <v>44680</v>
      </c>
      <c r="B379" t="str">
        <f t="shared" si="36"/>
        <v>Abril</v>
      </c>
      <c r="C379" s="1" t="s">
        <v>60</v>
      </c>
      <c r="D379" s="58" t="str">
        <f>VLOOKUP(Datos!$C379,$AQ$2:$AR$41,2,0)</f>
        <v>Norte</v>
      </c>
      <c r="E379" s="1">
        <v>23459</v>
      </c>
      <c r="F379" s="1" t="str">
        <f t="array" ref="F379">_xlfn.IFS(H379=0,"Alta sin facturar",H379&gt;2,"Cliente",H379&gt;0,"Cliente nuevo")</f>
        <v>Cliente</v>
      </c>
      <c r="G379" s="1"/>
      <c r="H379" s="1">
        <f t="shared" si="40"/>
        <v>4</v>
      </c>
      <c r="I379" s="2">
        <v>0</v>
      </c>
      <c r="J379" s="2">
        <v>0</v>
      </c>
      <c r="K379" s="2">
        <v>0</v>
      </c>
      <c r="L379" s="2">
        <v>0</v>
      </c>
      <c r="M379" s="2">
        <v>7783.5999999999995</v>
      </c>
      <c r="N379" s="89">
        <v>8307.92</v>
      </c>
      <c r="O379" s="89">
        <v>5145.7600000000011</v>
      </c>
      <c r="P379" s="89">
        <v>6955.36</v>
      </c>
      <c r="Q379" s="54">
        <f t="shared" si="37"/>
        <v>28192.640000000003</v>
      </c>
      <c r="R379" s="89">
        <v>0</v>
      </c>
      <c r="S379" s="92">
        <f t="shared" si="41"/>
        <v>4</v>
      </c>
      <c r="T379" s="59">
        <f t="shared" si="38"/>
        <v>28192.640000000003</v>
      </c>
      <c r="U379" s="60">
        <f t="shared" si="39"/>
        <v>0</v>
      </c>
      <c r="V379" s="59" t="str">
        <f t="array" ref="V379">_xlfn.IFS(S379=0,"Alta sin facturar",S379&gt;2,"Cliente",S379&gt;0,"Cliente nuevo")</f>
        <v>Cliente</v>
      </c>
      <c r="W379" s="59" t="str">
        <f t="shared" si="42"/>
        <v>Ha pagado</v>
      </c>
      <c r="X379" s="3"/>
      <c r="Y379" s="3"/>
      <c r="Z379" s="3"/>
      <c r="AA379" s="3"/>
      <c r="AB379" s="3"/>
      <c r="AC379" s="3"/>
      <c r="AD379" s="3"/>
      <c r="AE379" s="3"/>
      <c r="AG379"/>
      <c r="AH379"/>
      <c r="AI379"/>
      <c r="AJ379"/>
      <c r="AK379"/>
      <c r="AL379"/>
      <c r="AM379"/>
      <c r="AN379"/>
    </row>
    <row r="380" spans="1:40" x14ac:dyDescent="0.25">
      <c r="A380" s="6">
        <v>44680</v>
      </c>
      <c r="B380" t="str">
        <f t="shared" si="36"/>
        <v>Abril</v>
      </c>
      <c r="C380" s="1" t="s">
        <v>60</v>
      </c>
      <c r="D380" s="58" t="str">
        <f>VLOOKUP(Datos!$C380,$AQ$2:$AR$41,2,0)</f>
        <v>Norte</v>
      </c>
      <c r="E380" s="1">
        <v>23460</v>
      </c>
      <c r="F380" s="1" t="str">
        <f t="array" ref="F380">_xlfn.IFS(H380=0,"Alta sin facturar",H380&gt;2,"Cliente",H380&gt;0,"Cliente nuevo")</f>
        <v>Cliente nuevo</v>
      </c>
      <c r="G380" s="1"/>
      <c r="H380" s="1">
        <f t="shared" si="40"/>
        <v>2</v>
      </c>
      <c r="I380" s="2">
        <v>0</v>
      </c>
      <c r="J380" s="2">
        <v>0</v>
      </c>
      <c r="K380" s="2">
        <v>0</v>
      </c>
      <c r="L380" s="2">
        <v>0</v>
      </c>
      <c r="M380" s="2">
        <v>2187.7599999999998</v>
      </c>
      <c r="N380" s="89">
        <v>0</v>
      </c>
      <c r="O380" s="89">
        <v>0</v>
      </c>
      <c r="P380" s="89">
        <v>136.88</v>
      </c>
      <c r="Q380" s="54">
        <f t="shared" si="37"/>
        <v>2324.64</v>
      </c>
      <c r="R380" s="89">
        <v>1809.6</v>
      </c>
      <c r="S380" s="92">
        <f t="shared" si="41"/>
        <v>2</v>
      </c>
      <c r="T380" s="59">
        <f t="shared" si="38"/>
        <v>515.04</v>
      </c>
      <c r="U380" s="60">
        <f t="shared" si="39"/>
        <v>0.77844311377245512</v>
      </c>
      <c r="V380" s="59" t="str">
        <f t="array" ref="V380">_xlfn.IFS(S380=0,"Alta sin facturar",S380&gt;2,"Cliente",S380&gt;0,"Cliente nuevo")</f>
        <v>Cliente nuevo</v>
      </c>
      <c r="W380" s="59" t="str">
        <f t="shared" si="42"/>
        <v>Ha pagado</v>
      </c>
      <c r="X380" s="3"/>
      <c r="Y380" s="3"/>
      <c r="Z380" s="3"/>
      <c r="AA380" s="3"/>
      <c r="AB380" s="3"/>
      <c r="AC380" s="3"/>
      <c r="AD380" s="3"/>
      <c r="AE380" s="3"/>
      <c r="AG380"/>
      <c r="AH380"/>
      <c r="AI380"/>
      <c r="AJ380"/>
      <c r="AK380"/>
      <c r="AL380"/>
      <c r="AM380"/>
      <c r="AN380"/>
    </row>
    <row r="381" spans="1:40" x14ac:dyDescent="0.25">
      <c r="A381" s="6">
        <v>44681</v>
      </c>
      <c r="B381" t="str">
        <f t="shared" si="36"/>
        <v>Abril</v>
      </c>
      <c r="C381" s="1" t="s">
        <v>64</v>
      </c>
      <c r="D381" s="58" t="str">
        <f>VLOOKUP(Datos!$C381,$AQ$2:$AR$41,2,0)</f>
        <v>Norte</v>
      </c>
      <c r="E381" s="1">
        <v>23461</v>
      </c>
      <c r="F381" s="1" t="str">
        <f t="array" ref="F381">_xlfn.IFS(H381=0,"Alta sin facturar",H381&gt;2,"Cliente",H381&gt;0,"Cliente nuevo")</f>
        <v>Cliente</v>
      </c>
      <c r="G381" s="1"/>
      <c r="H381" s="1">
        <f t="shared" si="40"/>
        <v>4</v>
      </c>
      <c r="I381" s="2">
        <v>0</v>
      </c>
      <c r="J381" s="2">
        <v>0</v>
      </c>
      <c r="K381" s="2">
        <v>0</v>
      </c>
      <c r="L381" s="2">
        <v>0</v>
      </c>
      <c r="M381" s="2">
        <v>155.44</v>
      </c>
      <c r="N381" s="89">
        <v>4039.1200000000003</v>
      </c>
      <c r="O381" s="89">
        <v>3235.2400000000002</v>
      </c>
      <c r="P381" s="89">
        <v>5753.6000000000013</v>
      </c>
      <c r="Q381" s="54">
        <f t="shared" si="37"/>
        <v>13183.400000000001</v>
      </c>
      <c r="R381" s="89">
        <v>1095.04</v>
      </c>
      <c r="S381" s="92">
        <f t="shared" si="41"/>
        <v>4</v>
      </c>
      <c r="T381" s="59">
        <f t="shared" si="38"/>
        <v>12088.36</v>
      </c>
      <c r="U381" s="60">
        <f t="shared" si="39"/>
        <v>8.3062032556093263E-2</v>
      </c>
      <c r="V381" s="59" t="str">
        <f t="array" ref="V381">_xlfn.IFS(S381=0,"Alta sin facturar",S381&gt;2,"Cliente",S381&gt;0,"Cliente nuevo")</f>
        <v>Cliente</v>
      </c>
      <c r="W381" s="59" t="str">
        <f t="shared" si="42"/>
        <v>Ha pagado</v>
      </c>
      <c r="X381" s="3"/>
      <c r="Y381" s="3"/>
      <c r="Z381" s="3"/>
      <c r="AA381" s="3"/>
      <c r="AB381" s="3"/>
      <c r="AC381" s="3"/>
      <c r="AD381" s="3"/>
      <c r="AE381" s="3"/>
      <c r="AG381"/>
      <c r="AH381"/>
      <c r="AI381"/>
      <c r="AJ381"/>
      <c r="AK381"/>
      <c r="AL381"/>
      <c r="AM381"/>
      <c r="AN381"/>
    </row>
    <row r="382" spans="1:40" x14ac:dyDescent="0.25">
      <c r="A382" s="6">
        <v>44681</v>
      </c>
      <c r="B382" t="str">
        <f t="shared" si="36"/>
        <v>Abril</v>
      </c>
      <c r="C382" s="1" t="s">
        <v>89</v>
      </c>
      <c r="D382" s="58" t="str">
        <f>VLOOKUP(Datos!$C382,$AQ$2:$AR$41,2,0)</f>
        <v>Centro</v>
      </c>
      <c r="E382" s="1">
        <v>23462</v>
      </c>
      <c r="F382" s="1" t="str">
        <f t="array" ref="F382">_xlfn.IFS(H382=0,"Alta sin facturar",H382&gt;2,"Cliente",H382&gt;0,"Cliente nuevo")</f>
        <v>Cliente</v>
      </c>
      <c r="G382" s="1"/>
      <c r="H382" s="1">
        <f t="shared" si="40"/>
        <v>4</v>
      </c>
      <c r="I382" s="2">
        <v>0</v>
      </c>
      <c r="J382" s="2">
        <v>0</v>
      </c>
      <c r="K382" s="2">
        <v>0</v>
      </c>
      <c r="L382" s="2">
        <v>0</v>
      </c>
      <c r="M382" s="2">
        <v>437.31999999999994</v>
      </c>
      <c r="N382" s="89">
        <v>2735.2799999999997</v>
      </c>
      <c r="O382" s="89">
        <v>4904.4799999999987</v>
      </c>
      <c r="P382" s="89">
        <v>3231.7599999999993</v>
      </c>
      <c r="Q382" s="54">
        <f t="shared" si="37"/>
        <v>11308.839999999997</v>
      </c>
      <c r="R382" s="89">
        <v>0</v>
      </c>
      <c r="S382" s="92">
        <f t="shared" si="41"/>
        <v>4</v>
      </c>
      <c r="T382" s="59">
        <f t="shared" si="38"/>
        <v>11308.839999999997</v>
      </c>
      <c r="U382" s="60">
        <f t="shared" si="39"/>
        <v>0</v>
      </c>
      <c r="V382" s="59" t="str">
        <f t="array" ref="V382">_xlfn.IFS(S382=0,"Alta sin facturar",S382&gt;2,"Cliente",S382&gt;0,"Cliente nuevo")</f>
        <v>Cliente</v>
      </c>
      <c r="W382" s="59" t="str">
        <f t="shared" si="42"/>
        <v>Ha pagado</v>
      </c>
      <c r="X382" s="3"/>
      <c r="Y382" s="3"/>
      <c r="Z382" s="3"/>
      <c r="AA382" s="3"/>
      <c r="AB382" s="3"/>
      <c r="AC382" s="3"/>
      <c r="AD382" s="3"/>
      <c r="AE382" s="3"/>
      <c r="AG382"/>
      <c r="AH382"/>
      <c r="AI382"/>
      <c r="AJ382"/>
      <c r="AK382"/>
      <c r="AL382"/>
      <c r="AM382"/>
      <c r="AN382"/>
    </row>
    <row r="383" spans="1:40" x14ac:dyDescent="0.25">
      <c r="A383" s="6">
        <v>44683</v>
      </c>
      <c r="B383" t="str">
        <f t="shared" si="36"/>
        <v>Mayo</v>
      </c>
      <c r="C383" s="1" t="s">
        <v>59</v>
      </c>
      <c r="D383" s="58" t="str">
        <f>VLOOKUP(Datos!$C383,$AQ$2:$AR$41,2,0)</f>
        <v>Magallanes</v>
      </c>
      <c r="E383" s="1">
        <v>23463</v>
      </c>
      <c r="F383" s="1" t="str">
        <f t="array" ref="F383">_xlfn.IFS(H383=0,"Alta sin facturar",H383&gt;2,"Cliente",H383&gt;0,"Cliente nuevo")</f>
        <v>Cliente</v>
      </c>
      <c r="G383" s="1"/>
      <c r="H383" s="1">
        <f t="shared" si="40"/>
        <v>4</v>
      </c>
      <c r="I383" s="2">
        <v>0</v>
      </c>
      <c r="J383" s="2">
        <v>0</v>
      </c>
      <c r="K383" s="2">
        <v>0</v>
      </c>
      <c r="L383" s="2">
        <v>0</v>
      </c>
      <c r="M383" s="2">
        <v>447.76</v>
      </c>
      <c r="N383" s="89">
        <v>1191.32</v>
      </c>
      <c r="O383" s="89">
        <v>480.23999999999995</v>
      </c>
      <c r="P383" s="89">
        <v>3870.9199999999992</v>
      </c>
      <c r="Q383" s="54">
        <f t="shared" si="37"/>
        <v>5990.2399999999989</v>
      </c>
      <c r="R383" s="89">
        <v>243.6</v>
      </c>
      <c r="S383" s="92">
        <f t="shared" si="41"/>
        <v>4</v>
      </c>
      <c r="T383" s="59">
        <f t="shared" si="38"/>
        <v>5746.6399999999985</v>
      </c>
      <c r="U383" s="60">
        <f t="shared" si="39"/>
        <v>4.0666150271107676E-2</v>
      </c>
      <c r="V383" s="59" t="str">
        <f t="array" ref="V383">_xlfn.IFS(S383=0,"Alta sin facturar",S383&gt;2,"Cliente",S383&gt;0,"Cliente nuevo")</f>
        <v>Cliente</v>
      </c>
      <c r="W383" s="59" t="str">
        <f t="shared" si="42"/>
        <v>Ha pagado</v>
      </c>
      <c r="X383" s="3"/>
      <c r="Y383" s="3"/>
      <c r="Z383" s="3"/>
      <c r="AA383" s="3"/>
      <c r="AB383" s="3"/>
      <c r="AC383" s="3"/>
      <c r="AD383" s="3"/>
      <c r="AE383" s="3"/>
      <c r="AG383"/>
      <c r="AH383"/>
      <c r="AI383"/>
      <c r="AJ383"/>
      <c r="AK383"/>
      <c r="AL383"/>
      <c r="AM383"/>
      <c r="AN383"/>
    </row>
    <row r="384" spans="1:40" x14ac:dyDescent="0.25">
      <c r="A384" s="6">
        <v>44684</v>
      </c>
      <c r="B384" t="str">
        <f t="shared" si="36"/>
        <v>Mayo</v>
      </c>
      <c r="C384" s="1" t="s">
        <v>97</v>
      </c>
      <c r="D384" s="58" t="str">
        <f>VLOOKUP(Datos!$C384,$AQ$2:$AR$41,2,0)</f>
        <v>Centro</v>
      </c>
      <c r="E384" s="1">
        <v>23464</v>
      </c>
      <c r="F384" s="1" t="str">
        <f t="array" ref="F384">_xlfn.IFS(H384=0,"Alta sin facturar",H384&gt;2,"Cliente",H384&gt;0,"Cliente nuevo")</f>
        <v>Cliente nuevo</v>
      </c>
      <c r="G384" s="1"/>
      <c r="H384" s="1">
        <f t="shared" si="40"/>
        <v>2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89">
        <v>5088.92</v>
      </c>
      <c r="O384" s="89">
        <v>0</v>
      </c>
      <c r="P384" s="89">
        <v>5991.3999999999987</v>
      </c>
      <c r="Q384" s="54">
        <f t="shared" si="37"/>
        <v>11080.32</v>
      </c>
      <c r="R384" s="89">
        <v>14981.4</v>
      </c>
      <c r="S384" s="92">
        <f t="shared" si="41"/>
        <v>2</v>
      </c>
      <c r="T384" s="59">
        <f t="shared" si="38"/>
        <v>-3901.08</v>
      </c>
      <c r="U384" s="60">
        <f t="shared" si="39"/>
        <v>1.352072864321608</v>
      </c>
      <c r="V384" s="59" t="str">
        <f t="array" ref="V384">_xlfn.IFS(S384=0,"Alta sin facturar",S384&gt;2,"Cliente",S384&gt;0,"Cliente nuevo")</f>
        <v>Cliente nuevo</v>
      </c>
      <c r="W384" s="59" t="str">
        <f t="shared" si="42"/>
        <v>Sin pago</v>
      </c>
      <c r="X384" s="3"/>
      <c r="Y384" s="3"/>
      <c r="Z384" s="3"/>
      <c r="AA384" s="3"/>
      <c r="AB384" s="3"/>
      <c r="AC384" s="3"/>
      <c r="AD384" s="3"/>
      <c r="AE384" s="3"/>
      <c r="AG384"/>
      <c r="AH384"/>
      <c r="AI384"/>
      <c r="AJ384"/>
      <c r="AK384"/>
      <c r="AL384"/>
      <c r="AM384"/>
      <c r="AN384"/>
    </row>
    <row r="385" spans="1:40" x14ac:dyDescent="0.25">
      <c r="A385" s="6">
        <v>44684</v>
      </c>
      <c r="B385" t="str">
        <f t="shared" si="36"/>
        <v>Mayo</v>
      </c>
      <c r="C385" s="1" t="s">
        <v>75</v>
      </c>
      <c r="D385" s="58" t="str">
        <f>VLOOKUP(Datos!$C385,$AQ$2:$AR$41,2,0)</f>
        <v>Centro</v>
      </c>
      <c r="E385" s="1">
        <v>23465</v>
      </c>
      <c r="F385" s="1" t="str">
        <f t="array" ref="F385">_xlfn.IFS(H385=0,"Alta sin facturar",H385&gt;2,"Cliente",H385&gt;0,"Cliente nuevo")</f>
        <v>Alta sin facturar</v>
      </c>
      <c r="G385" s="1"/>
      <c r="H385" s="1">
        <f t="shared" si="40"/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89">
        <v>0</v>
      </c>
      <c r="O385" s="89">
        <v>0</v>
      </c>
      <c r="P385" s="89">
        <v>0</v>
      </c>
      <c r="Q385" s="54">
        <f t="shared" si="37"/>
        <v>0</v>
      </c>
      <c r="R385" s="89">
        <v>0</v>
      </c>
      <c r="S385" s="92">
        <f t="shared" si="41"/>
        <v>0</v>
      </c>
      <c r="T385" s="59">
        <f t="shared" si="38"/>
        <v>0</v>
      </c>
      <c r="U385" s="60">
        <f t="shared" si="39"/>
        <v>0</v>
      </c>
      <c r="V385" s="59" t="str">
        <f t="array" ref="V385">_xlfn.IFS(S385=0,"Alta sin facturar",S385&gt;2,"Cliente",S385&gt;0,"Cliente nuevo")</f>
        <v>Alta sin facturar</v>
      </c>
      <c r="W385" s="59" t="str">
        <f t="shared" si="42"/>
        <v>Sin pago</v>
      </c>
      <c r="X385" s="3"/>
      <c r="Y385" s="3"/>
      <c r="Z385" s="3"/>
      <c r="AA385" s="3"/>
      <c r="AB385" s="3"/>
      <c r="AC385" s="3"/>
      <c r="AD385" s="3"/>
      <c r="AE385" s="3"/>
      <c r="AG385"/>
      <c r="AH385"/>
      <c r="AI385"/>
      <c r="AJ385"/>
      <c r="AK385"/>
      <c r="AL385"/>
      <c r="AM385"/>
      <c r="AN385"/>
    </row>
    <row r="386" spans="1:40" x14ac:dyDescent="0.25">
      <c r="A386" s="6">
        <v>44685</v>
      </c>
      <c r="B386" t="str">
        <f t="shared" ref="B386:B449" si="43">PROPER(TEXT(A386,"mmmm"))</f>
        <v>Mayo</v>
      </c>
      <c r="C386" s="1" t="s">
        <v>66</v>
      </c>
      <c r="D386" s="58" t="str">
        <f>VLOOKUP(Datos!$C386,$AQ$2:$AR$41,2,0)</f>
        <v>Sur</v>
      </c>
      <c r="E386" s="1">
        <v>23466</v>
      </c>
      <c r="F386" s="1" t="str">
        <f t="array" ref="F386">_xlfn.IFS(H386=0,"Alta sin facturar",H386&gt;2,"Cliente",H386&gt;0,"Cliente nuevo")</f>
        <v>Cliente nuevo</v>
      </c>
      <c r="G386" s="1"/>
      <c r="H386" s="1">
        <f t="shared" si="40"/>
        <v>2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89">
        <v>18271.16</v>
      </c>
      <c r="O386" s="89">
        <v>0</v>
      </c>
      <c r="P386" s="89">
        <v>13758.760000000004</v>
      </c>
      <c r="Q386" s="54">
        <f t="shared" ref="Q386:Q449" si="44">SUBTOTAL(109,I386:P386)</f>
        <v>32029.920000000006</v>
      </c>
      <c r="R386" s="89">
        <v>5514.64</v>
      </c>
      <c r="S386" s="92">
        <f t="shared" si="41"/>
        <v>2</v>
      </c>
      <c r="T386" s="59">
        <f t="shared" ref="T386:T449" si="45">Q386-R386</f>
        <v>26515.280000000006</v>
      </c>
      <c r="U386" s="60">
        <f t="shared" ref="U386:U449" si="46">IF(Q386=0,0,R386/Q386)</f>
        <v>0.17217151962914673</v>
      </c>
      <c r="V386" s="59" t="str">
        <f t="array" ref="V386">_xlfn.IFS(S386=0,"Alta sin facturar",S386&gt;2,"Cliente",S386&gt;0,"Cliente nuevo")</f>
        <v>Cliente nuevo</v>
      </c>
      <c r="W386" s="59" t="str">
        <f t="shared" si="42"/>
        <v>Ha pagado</v>
      </c>
      <c r="X386" s="3"/>
      <c r="Y386" s="3"/>
      <c r="Z386" s="3"/>
      <c r="AA386" s="3"/>
      <c r="AB386" s="3"/>
      <c r="AC386" s="3"/>
      <c r="AD386" s="3"/>
      <c r="AE386" s="3"/>
      <c r="AG386"/>
      <c r="AH386"/>
      <c r="AI386"/>
      <c r="AJ386"/>
      <c r="AK386"/>
      <c r="AL386"/>
      <c r="AM386"/>
      <c r="AN386"/>
    </row>
    <row r="387" spans="1:40" x14ac:dyDescent="0.25">
      <c r="A387" s="6">
        <v>44685</v>
      </c>
      <c r="B387" t="str">
        <f t="shared" si="43"/>
        <v>Mayo</v>
      </c>
      <c r="C387" s="1" t="s">
        <v>36</v>
      </c>
      <c r="D387" s="58" t="str">
        <f>VLOOKUP(Datos!$C387,$AQ$2:$AR$41,2,0)</f>
        <v>Magallanes</v>
      </c>
      <c r="E387" s="1">
        <v>23467</v>
      </c>
      <c r="F387" s="1" t="str">
        <f t="array" ref="F387">_xlfn.IFS(H387=0,"Alta sin facturar",H387&gt;2,"Cliente",H387&gt;0,"Cliente nuevo")</f>
        <v>Cliente nuevo</v>
      </c>
      <c r="G387" s="1"/>
      <c r="H387" s="1">
        <f t="shared" ref="H387:H450" si="47">COUNTIF(I387:P387,"&gt;0")</f>
        <v>2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89">
        <v>1289.92</v>
      </c>
      <c r="O387" s="89">
        <v>0</v>
      </c>
      <c r="P387" s="89">
        <v>2784</v>
      </c>
      <c r="Q387" s="54">
        <f t="shared" si="44"/>
        <v>4073.92</v>
      </c>
      <c r="R387" s="89">
        <v>0</v>
      </c>
      <c r="S387" s="92">
        <f t="shared" ref="S387:S450" si="48">COUNTIF(I387:P387,"&gt;0")</f>
        <v>2</v>
      </c>
      <c r="T387" s="59">
        <f t="shared" si="45"/>
        <v>4073.92</v>
      </c>
      <c r="U387" s="60">
        <f t="shared" si="46"/>
        <v>0</v>
      </c>
      <c r="V387" s="59" t="str">
        <f t="array" ref="V387">_xlfn.IFS(S387=0,"Alta sin facturar",S387&gt;2,"Cliente",S387&gt;0,"Cliente nuevo")</f>
        <v>Cliente nuevo</v>
      </c>
      <c r="W387" s="59" t="str">
        <f t="shared" ref="W387:W450" si="49">IF(T387&lt;1,"Sin pago","Ha pagado")</f>
        <v>Ha pagado</v>
      </c>
      <c r="X387" s="3"/>
      <c r="Y387" s="3"/>
      <c r="Z387" s="3"/>
      <c r="AA387" s="3"/>
      <c r="AB387" s="3"/>
      <c r="AC387" s="3"/>
      <c r="AD387" s="3"/>
      <c r="AE387" s="3"/>
      <c r="AG387"/>
      <c r="AH387"/>
      <c r="AI387"/>
      <c r="AJ387"/>
      <c r="AK387"/>
      <c r="AL387"/>
      <c r="AM387"/>
      <c r="AN387"/>
    </row>
    <row r="388" spans="1:40" x14ac:dyDescent="0.25">
      <c r="A388" s="6">
        <v>44685</v>
      </c>
      <c r="B388" t="str">
        <f t="shared" si="43"/>
        <v>Mayo</v>
      </c>
      <c r="C388" s="1" t="s">
        <v>59</v>
      </c>
      <c r="D388" s="58" t="str">
        <f>VLOOKUP(Datos!$C388,$AQ$2:$AR$41,2,0)</f>
        <v>Magallanes</v>
      </c>
      <c r="E388" s="1">
        <v>23468</v>
      </c>
      <c r="F388" s="1" t="str">
        <f t="array" ref="F388">_xlfn.IFS(H388=0,"Alta sin facturar",H388&gt;2,"Cliente",H388&gt;0,"Cliente nuevo")</f>
        <v>Cliente</v>
      </c>
      <c r="G388" s="1"/>
      <c r="H388" s="1">
        <f t="shared" si="47"/>
        <v>4</v>
      </c>
      <c r="I388" s="2">
        <v>0</v>
      </c>
      <c r="J388" s="2">
        <v>0</v>
      </c>
      <c r="K388" s="2">
        <v>0</v>
      </c>
      <c r="L388" s="2">
        <v>0</v>
      </c>
      <c r="M388" s="2">
        <v>7797.5200000000059</v>
      </c>
      <c r="N388" s="89">
        <v>13749.480000000001</v>
      </c>
      <c r="O388" s="89">
        <v>12624.280000000006</v>
      </c>
      <c r="P388" s="89">
        <v>11699.760000000009</v>
      </c>
      <c r="Q388" s="54">
        <f t="shared" si="44"/>
        <v>45871.040000000023</v>
      </c>
      <c r="R388" s="89">
        <v>9510.84</v>
      </c>
      <c r="S388" s="92">
        <f t="shared" si="48"/>
        <v>4</v>
      </c>
      <c r="T388" s="59">
        <f t="shared" si="45"/>
        <v>36360.200000000026</v>
      </c>
      <c r="U388" s="60">
        <f t="shared" si="46"/>
        <v>0.20733866073234869</v>
      </c>
      <c r="V388" s="59" t="str">
        <f t="array" ref="V388">_xlfn.IFS(S388=0,"Alta sin facturar",S388&gt;2,"Cliente",S388&gt;0,"Cliente nuevo")</f>
        <v>Cliente</v>
      </c>
      <c r="W388" s="59" t="str">
        <f t="shared" si="49"/>
        <v>Ha pagado</v>
      </c>
      <c r="X388" s="3"/>
      <c r="Y388" s="3"/>
      <c r="Z388" s="3"/>
      <c r="AA388" s="3"/>
      <c r="AB388" s="3"/>
      <c r="AC388" s="3"/>
      <c r="AD388" s="3"/>
      <c r="AE388" s="3"/>
      <c r="AG388"/>
      <c r="AH388"/>
      <c r="AI388"/>
      <c r="AJ388"/>
      <c r="AK388"/>
      <c r="AL388"/>
      <c r="AM388"/>
      <c r="AN388"/>
    </row>
    <row r="389" spans="1:40" x14ac:dyDescent="0.25">
      <c r="A389" s="6">
        <v>44685</v>
      </c>
      <c r="B389" t="str">
        <f t="shared" si="43"/>
        <v>Mayo</v>
      </c>
      <c r="C389" s="1" t="s">
        <v>60</v>
      </c>
      <c r="D389" s="58" t="str">
        <f>VLOOKUP(Datos!$C389,$AQ$2:$AR$41,2,0)</f>
        <v>Norte</v>
      </c>
      <c r="E389" s="1">
        <v>23469</v>
      </c>
      <c r="F389" s="1" t="str">
        <f t="array" ref="F389">_xlfn.IFS(H389=0,"Alta sin facturar",H389&gt;2,"Cliente",H389&gt;0,"Cliente nuevo")</f>
        <v>Alta sin facturar</v>
      </c>
      <c r="G389" s="1"/>
      <c r="H389" s="1">
        <f t="shared" si="47"/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89">
        <v>0</v>
      </c>
      <c r="O389" s="89">
        <v>0</v>
      </c>
      <c r="P389" s="89">
        <v>0</v>
      </c>
      <c r="Q389" s="54">
        <f t="shared" si="44"/>
        <v>0</v>
      </c>
      <c r="R389" s="89"/>
      <c r="S389" s="92">
        <f t="shared" si="48"/>
        <v>0</v>
      </c>
      <c r="T389" s="59">
        <f t="shared" si="45"/>
        <v>0</v>
      </c>
      <c r="U389" s="60">
        <f t="shared" si="46"/>
        <v>0</v>
      </c>
      <c r="V389" s="59" t="str">
        <f t="array" ref="V389">_xlfn.IFS(S389=0,"Alta sin facturar",S389&gt;2,"Cliente",S389&gt;0,"Cliente nuevo")</f>
        <v>Alta sin facturar</v>
      </c>
      <c r="W389" s="59" t="str">
        <f t="shared" si="49"/>
        <v>Sin pago</v>
      </c>
      <c r="X389" s="3"/>
      <c r="Y389" s="3"/>
      <c r="Z389" s="3"/>
      <c r="AA389" s="3"/>
      <c r="AB389" s="3"/>
      <c r="AC389" s="3"/>
      <c r="AD389" s="3"/>
      <c r="AE389" s="3"/>
      <c r="AG389"/>
      <c r="AH389"/>
      <c r="AI389"/>
      <c r="AJ389"/>
      <c r="AK389"/>
      <c r="AL389"/>
      <c r="AM389"/>
      <c r="AN389"/>
    </row>
    <row r="390" spans="1:40" x14ac:dyDescent="0.25">
      <c r="A390" s="6">
        <v>44685</v>
      </c>
      <c r="B390" t="str">
        <f t="shared" si="43"/>
        <v>Mayo</v>
      </c>
      <c r="C390" s="1" t="s">
        <v>67</v>
      </c>
      <c r="D390" s="58" t="str">
        <f>VLOOKUP(Datos!$C390,$AQ$2:$AR$41,2,0)</f>
        <v>Norte</v>
      </c>
      <c r="E390" s="1">
        <v>23470</v>
      </c>
      <c r="F390" s="1" t="str">
        <f t="array" ref="F390">_xlfn.IFS(H390=0,"Alta sin facturar",H390&gt;2,"Cliente",H390&gt;0,"Cliente nuevo")</f>
        <v>Alta sin facturar</v>
      </c>
      <c r="G390" s="1"/>
      <c r="H390" s="1">
        <f t="shared" si="47"/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89">
        <v>0</v>
      </c>
      <c r="O390" s="89">
        <v>0</v>
      </c>
      <c r="P390" s="89">
        <v>0</v>
      </c>
      <c r="Q390" s="54">
        <f t="shared" si="44"/>
        <v>0</v>
      </c>
      <c r="R390" s="89"/>
      <c r="S390" s="92">
        <f t="shared" si="48"/>
        <v>0</v>
      </c>
      <c r="T390" s="59">
        <f t="shared" si="45"/>
        <v>0</v>
      </c>
      <c r="U390" s="60">
        <f t="shared" si="46"/>
        <v>0</v>
      </c>
      <c r="V390" s="59" t="str">
        <f t="array" ref="V390">_xlfn.IFS(S390=0,"Alta sin facturar",S390&gt;2,"Cliente",S390&gt;0,"Cliente nuevo")</f>
        <v>Alta sin facturar</v>
      </c>
      <c r="W390" s="59" t="str">
        <f t="shared" si="49"/>
        <v>Sin pago</v>
      </c>
      <c r="X390" s="3"/>
      <c r="Y390" s="3"/>
      <c r="Z390" s="3"/>
      <c r="AA390" s="3"/>
      <c r="AB390" s="3"/>
      <c r="AC390" s="3"/>
      <c r="AD390" s="3"/>
      <c r="AE390" s="3"/>
      <c r="AG390"/>
      <c r="AH390"/>
      <c r="AI390"/>
      <c r="AJ390"/>
      <c r="AK390"/>
      <c r="AL390"/>
      <c r="AM390"/>
      <c r="AN390"/>
    </row>
    <row r="391" spans="1:40" x14ac:dyDescent="0.25">
      <c r="A391" s="6">
        <v>44685</v>
      </c>
      <c r="B391" t="str">
        <f t="shared" si="43"/>
        <v>Mayo</v>
      </c>
      <c r="C391" s="1" t="s">
        <v>34</v>
      </c>
      <c r="D391" s="58" t="str">
        <f>VLOOKUP(Datos!$C391,$AQ$2:$AR$41,2,0)</f>
        <v>Norte</v>
      </c>
      <c r="E391" s="1">
        <v>23471</v>
      </c>
      <c r="F391" s="1" t="str">
        <f t="array" ref="F391">_xlfn.IFS(H391=0,"Alta sin facturar",H391&gt;2,"Cliente",H391&gt;0,"Cliente nuevo")</f>
        <v>Cliente</v>
      </c>
      <c r="G391" s="1"/>
      <c r="H391" s="1">
        <f t="shared" si="47"/>
        <v>4</v>
      </c>
      <c r="I391" s="2">
        <v>0</v>
      </c>
      <c r="J391" s="2">
        <v>0</v>
      </c>
      <c r="K391" s="2">
        <v>0</v>
      </c>
      <c r="L391" s="2">
        <v>0</v>
      </c>
      <c r="M391" s="2">
        <v>5970.5199999999995</v>
      </c>
      <c r="N391" s="89">
        <v>10188.280000000001</v>
      </c>
      <c r="O391" s="89">
        <v>12947.92</v>
      </c>
      <c r="P391" s="89">
        <v>9682.52</v>
      </c>
      <c r="Q391" s="54">
        <f t="shared" si="44"/>
        <v>38789.240000000005</v>
      </c>
      <c r="R391" s="89">
        <v>0</v>
      </c>
      <c r="S391" s="92">
        <f t="shared" si="48"/>
        <v>4</v>
      </c>
      <c r="T391" s="59">
        <f t="shared" si="45"/>
        <v>38789.240000000005</v>
      </c>
      <c r="U391" s="60">
        <f t="shared" si="46"/>
        <v>0</v>
      </c>
      <c r="V391" s="59" t="str">
        <f t="array" ref="V391">_xlfn.IFS(S391=0,"Alta sin facturar",S391&gt;2,"Cliente",S391&gt;0,"Cliente nuevo")</f>
        <v>Cliente</v>
      </c>
      <c r="W391" s="59" t="str">
        <f t="shared" si="49"/>
        <v>Ha pagado</v>
      </c>
      <c r="X391" s="3"/>
      <c r="Y391" s="3"/>
      <c r="Z391" s="3"/>
      <c r="AA391" s="3"/>
      <c r="AB391" s="3"/>
      <c r="AC391" s="3"/>
      <c r="AD391" s="3"/>
      <c r="AE391" s="3"/>
      <c r="AG391"/>
      <c r="AH391"/>
      <c r="AI391"/>
      <c r="AJ391"/>
      <c r="AK391"/>
      <c r="AL391"/>
      <c r="AM391"/>
      <c r="AN391"/>
    </row>
    <row r="392" spans="1:40" x14ac:dyDescent="0.25">
      <c r="A392" s="6">
        <v>44686</v>
      </c>
      <c r="B392" t="str">
        <f t="shared" si="43"/>
        <v>Mayo</v>
      </c>
      <c r="C392" s="1" t="s">
        <v>59</v>
      </c>
      <c r="D392" s="58" t="str">
        <f>VLOOKUP(Datos!$C392,$AQ$2:$AR$41,2,0)</f>
        <v>Magallanes</v>
      </c>
      <c r="E392" s="1">
        <v>23472</v>
      </c>
      <c r="F392" s="1" t="str">
        <f t="array" ref="F392">_xlfn.IFS(H392=0,"Alta sin facturar",H392&gt;2,"Cliente",H392&gt;0,"Cliente nuevo")</f>
        <v>Cliente</v>
      </c>
      <c r="G392" s="1"/>
      <c r="H392" s="1">
        <f t="shared" si="47"/>
        <v>4</v>
      </c>
      <c r="I392" s="2">
        <v>0</v>
      </c>
      <c r="J392" s="2">
        <v>0</v>
      </c>
      <c r="K392" s="2">
        <v>0</v>
      </c>
      <c r="L392" s="2">
        <v>0</v>
      </c>
      <c r="M392" s="2">
        <v>174</v>
      </c>
      <c r="N392" s="89">
        <v>3022.96</v>
      </c>
      <c r="O392" s="89">
        <v>5682.8399999999983</v>
      </c>
      <c r="P392" s="89">
        <v>1133.32</v>
      </c>
      <c r="Q392" s="54">
        <f t="shared" si="44"/>
        <v>10013.119999999999</v>
      </c>
      <c r="R392" s="89">
        <v>1419.84</v>
      </c>
      <c r="S392" s="92">
        <f t="shared" si="48"/>
        <v>4</v>
      </c>
      <c r="T392" s="59">
        <f t="shared" si="45"/>
        <v>8593.2799999999988</v>
      </c>
      <c r="U392" s="60">
        <f t="shared" si="46"/>
        <v>0.14179796107506951</v>
      </c>
      <c r="V392" s="59" t="str">
        <f t="array" ref="V392">_xlfn.IFS(S392=0,"Alta sin facturar",S392&gt;2,"Cliente",S392&gt;0,"Cliente nuevo")</f>
        <v>Cliente</v>
      </c>
      <c r="W392" s="59" t="str">
        <f t="shared" si="49"/>
        <v>Ha pagado</v>
      </c>
      <c r="X392" s="3"/>
      <c r="Y392" s="3"/>
      <c r="Z392" s="3"/>
      <c r="AA392" s="3"/>
      <c r="AB392" s="3"/>
      <c r="AC392" s="3"/>
      <c r="AD392" s="3"/>
      <c r="AE392" s="3"/>
      <c r="AG392"/>
      <c r="AH392"/>
      <c r="AI392"/>
      <c r="AJ392"/>
      <c r="AK392"/>
      <c r="AL392"/>
      <c r="AM392"/>
      <c r="AN392"/>
    </row>
    <row r="393" spans="1:40" x14ac:dyDescent="0.25">
      <c r="A393" s="6">
        <v>44686</v>
      </c>
      <c r="B393" t="str">
        <f t="shared" si="43"/>
        <v>Mayo</v>
      </c>
      <c r="C393" s="1" t="s">
        <v>42</v>
      </c>
      <c r="D393" s="58" t="str">
        <f>VLOOKUP(Datos!$C393,$AQ$2:$AR$41,2,0)</f>
        <v>Norte</v>
      </c>
      <c r="E393" s="1">
        <v>23473</v>
      </c>
      <c r="F393" s="1" t="str">
        <f t="array" ref="F393">_xlfn.IFS(H393=0,"Alta sin facturar",H393&gt;2,"Cliente",H393&gt;0,"Cliente nuevo")</f>
        <v>Cliente</v>
      </c>
      <c r="G393" s="1"/>
      <c r="H393" s="1">
        <f t="shared" si="47"/>
        <v>4</v>
      </c>
      <c r="I393" s="2">
        <v>0</v>
      </c>
      <c r="J393" s="2">
        <v>0</v>
      </c>
      <c r="K393" s="2">
        <v>0</v>
      </c>
      <c r="L393" s="2">
        <v>0</v>
      </c>
      <c r="M393" s="2">
        <v>1364.1600000000003</v>
      </c>
      <c r="N393" s="89">
        <v>5943.84</v>
      </c>
      <c r="O393" s="89">
        <v>7502.8799999999883</v>
      </c>
      <c r="P393" s="89">
        <v>2241.1200000000008</v>
      </c>
      <c r="Q393" s="54">
        <f t="shared" si="44"/>
        <v>17051.999999999989</v>
      </c>
      <c r="R393" s="89">
        <v>2533.44</v>
      </c>
      <c r="S393" s="92">
        <f t="shared" si="48"/>
        <v>4</v>
      </c>
      <c r="T393" s="59">
        <f t="shared" si="45"/>
        <v>14518.559999999989</v>
      </c>
      <c r="U393" s="60">
        <f t="shared" si="46"/>
        <v>0.14857142857142866</v>
      </c>
      <c r="V393" s="59" t="str">
        <f t="array" ref="V393">_xlfn.IFS(S393=0,"Alta sin facturar",S393&gt;2,"Cliente",S393&gt;0,"Cliente nuevo")</f>
        <v>Cliente</v>
      </c>
      <c r="W393" s="59" t="str">
        <f t="shared" si="49"/>
        <v>Ha pagado</v>
      </c>
      <c r="X393" s="3"/>
      <c r="Y393" s="3"/>
      <c r="Z393" s="3"/>
      <c r="AA393" s="3"/>
      <c r="AB393" s="3"/>
      <c r="AC393" s="3"/>
      <c r="AD393" s="3"/>
      <c r="AE393" s="3"/>
      <c r="AG393"/>
      <c r="AH393"/>
      <c r="AI393"/>
      <c r="AJ393"/>
      <c r="AK393"/>
      <c r="AL393"/>
      <c r="AM393"/>
      <c r="AN393"/>
    </row>
    <row r="394" spans="1:40" x14ac:dyDescent="0.25">
      <c r="A394" s="6">
        <v>44686</v>
      </c>
      <c r="B394" t="str">
        <f t="shared" si="43"/>
        <v>Mayo</v>
      </c>
      <c r="C394" s="1" t="s">
        <v>34</v>
      </c>
      <c r="D394" s="58" t="str">
        <f>VLOOKUP(Datos!$C394,$AQ$2:$AR$41,2,0)</f>
        <v>Norte</v>
      </c>
      <c r="E394" s="1">
        <v>23474</v>
      </c>
      <c r="F394" s="1" t="str">
        <f t="array" ref="F394">_xlfn.IFS(H394=0,"Alta sin facturar",H394&gt;2,"Cliente",H394&gt;0,"Cliente nuevo")</f>
        <v>Alta sin facturar</v>
      </c>
      <c r="G394" s="1"/>
      <c r="H394" s="1">
        <f t="shared" si="47"/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89">
        <v>0</v>
      </c>
      <c r="O394" s="89">
        <v>0</v>
      </c>
      <c r="P394" s="89">
        <v>0</v>
      </c>
      <c r="Q394" s="54">
        <f t="shared" si="44"/>
        <v>0</v>
      </c>
      <c r="R394" s="89">
        <v>12992</v>
      </c>
      <c r="S394" s="92">
        <f t="shared" si="48"/>
        <v>0</v>
      </c>
      <c r="T394" s="59">
        <f t="shared" si="45"/>
        <v>-12992</v>
      </c>
      <c r="U394" s="60">
        <f t="shared" si="46"/>
        <v>0</v>
      </c>
      <c r="V394" s="59" t="str">
        <f t="array" ref="V394">_xlfn.IFS(S394=0,"Alta sin facturar",S394&gt;2,"Cliente",S394&gt;0,"Cliente nuevo")</f>
        <v>Alta sin facturar</v>
      </c>
      <c r="W394" s="59" t="str">
        <f t="shared" si="49"/>
        <v>Sin pago</v>
      </c>
      <c r="X394" s="3"/>
      <c r="Y394" s="3"/>
      <c r="Z394" s="3"/>
      <c r="AA394" s="3"/>
      <c r="AB394" s="3"/>
      <c r="AC394" s="3"/>
      <c r="AD394" s="3"/>
      <c r="AE394" s="3"/>
      <c r="AG394"/>
      <c r="AH394"/>
      <c r="AI394"/>
      <c r="AJ394"/>
      <c r="AK394"/>
      <c r="AL394"/>
      <c r="AM394"/>
      <c r="AN394"/>
    </row>
    <row r="395" spans="1:40" x14ac:dyDescent="0.25">
      <c r="A395" s="6">
        <v>44686</v>
      </c>
      <c r="B395" t="str">
        <f t="shared" si="43"/>
        <v>Mayo</v>
      </c>
      <c r="C395" s="1" t="s">
        <v>34</v>
      </c>
      <c r="D395" s="58" t="str">
        <f>VLOOKUP(Datos!$C395,$AQ$2:$AR$41,2,0)</f>
        <v>Norte</v>
      </c>
      <c r="E395" s="1">
        <v>23475</v>
      </c>
      <c r="F395" s="1" t="str">
        <f t="array" ref="F395">_xlfn.IFS(H395=0,"Alta sin facturar",H395&gt;2,"Cliente",H395&gt;0,"Cliente nuevo")</f>
        <v>Alta sin facturar</v>
      </c>
      <c r="G395" s="1"/>
      <c r="H395" s="1">
        <f t="shared" si="47"/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89">
        <v>0</v>
      </c>
      <c r="O395" s="89">
        <v>0</v>
      </c>
      <c r="P395" s="89">
        <v>0</v>
      </c>
      <c r="Q395" s="54">
        <f t="shared" si="44"/>
        <v>0</v>
      </c>
      <c r="R395" s="89"/>
      <c r="S395" s="92">
        <f t="shared" si="48"/>
        <v>0</v>
      </c>
      <c r="T395" s="59">
        <f t="shared" si="45"/>
        <v>0</v>
      </c>
      <c r="U395" s="60">
        <f t="shared" si="46"/>
        <v>0</v>
      </c>
      <c r="V395" s="59" t="str">
        <f t="array" ref="V395">_xlfn.IFS(S395=0,"Alta sin facturar",S395&gt;2,"Cliente",S395&gt;0,"Cliente nuevo")</f>
        <v>Alta sin facturar</v>
      </c>
      <c r="W395" s="59" t="str">
        <f t="shared" si="49"/>
        <v>Sin pago</v>
      </c>
      <c r="X395" s="3"/>
      <c r="Y395" s="3"/>
      <c r="Z395" s="3"/>
      <c r="AA395" s="3"/>
      <c r="AB395" s="3"/>
      <c r="AC395" s="3"/>
      <c r="AD395" s="3"/>
      <c r="AE395" s="3"/>
      <c r="AG395"/>
      <c r="AH395"/>
      <c r="AI395"/>
      <c r="AJ395"/>
      <c r="AK395"/>
      <c r="AL395"/>
      <c r="AM395"/>
      <c r="AN395"/>
    </row>
    <row r="396" spans="1:40" x14ac:dyDescent="0.25">
      <c r="A396" s="6">
        <v>44687</v>
      </c>
      <c r="B396" t="str">
        <f t="shared" si="43"/>
        <v>Mayo</v>
      </c>
      <c r="C396" s="1" t="s">
        <v>75</v>
      </c>
      <c r="D396" s="58" t="str">
        <f>VLOOKUP(Datos!$C396,$AQ$2:$AR$41,2,0)</f>
        <v>Centro</v>
      </c>
      <c r="E396" s="1">
        <v>23476</v>
      </c>
      <c r="F396" s="1" t="str">
        <f t="array" ref="F396">_xlfn.IFS(H396=0,"Alta sin facturar",H396&gt;2,"Cliente",H396&gt;0,"Cliente nuevo")</f>
        <v>Alta sin facturar</v>
      </c>
      <c r="G396" s="1"/>
      <c r="H396" s="1">
        <f t="shared" si="47"/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89">
        <v>0</v>
      </c>
      <c r="O396" s="89">
        <v>0</v>
      </c>
      <c r="P396" s="89">
        <v>0</v>
      </c>
      <c r="Q396" s="54">
        <f t="shared" si="44"/>
        <v>0</v>
      </c>
      <c r="R396" s="89"/>
      <c r="S396" s="92">
        <f t="shared" si="48"/>
        <v>0</v>
      </c>
      <c r="T396" s="59">
        <f t="shared" si="45"/>
        <v>0</v>
      </c>
      <c r="U396" s="60">
        <f t="shared" si="46"/>
        <v>0</v>
      </c>
      <c r="V396" s="59" t="str">
        <f t="array" ref="V396">_xlfn.IFS(S396=0,"Alta sin facturar",S396&gt;2,"Cliente",S396&gt;0,"Cliente nuevo")</f>
        <v>Alta sin facturar</v>
      </c>
      <c r="W396" s="59" t="str">
        <f t="shared" si="49"/>
        <v>Sin pago</v>
      </c>
      <c r="X396" s="3"/>
      <c r="Y396" s="3"/>
      <c r="Z396" s="3"/>
      <c r="AA396" s="3"/>
      <c r="AB396" s="3"/>
      <c r="AC396" s="3"/>
      <c r="AD396" s="3"/>
      <c r="AE396" s="3"/>
      <c r="AG396"/>
      <c r="AH396"/>
      <c r="AI396"/>
      <c r="AJ396"/>
      <c r="AK396"/>
      <c r="AL396"/>
      <c r="AM396"/>
      <c r="AN396"/>
    </row>
    <row r="397" spans="1:40" x14ac:dyDescent="0.25">
      <c r="A397" s="6">
        <v>44687</v>
      </c>
      <c r="B397" t="str">
        <f t="shared" si="43"/>
        <v>Mayo</v>
      </c>
      <c r="C397" s="1" t="s">
        <v>43</v>
      </c>
      <c r="D397" s="58" t="str">
        <f>VLOOKUP(Datos!$C397,$AQ$2:$AR$41,2,0)</f>
        <v>Centro</v>
      </c>
      <c r="E397" s="1">
        <v>23477</v>
      </c>
      <c r="F397" s="1" t="str">
        <f t="array" ref="F397">_xlfn.IFS(H397=0,"Alta sin facturar",H397&gt;2,"Cliente",H397&gt;0,"Cliente nuevo")</f>
        <v>Cliente nuevo</v>
      </c>
      <c r="G397" s="1"/>
      <c r="H397" s="1">
        <f t="shared" si="47"/>
        <v>2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89">
        <v>65828.84</v>
      </c>
      <c r="O397" s="89">
        <v>0</v>
      </c>
      <c r="P397" s="89">
        <v>24132.639999999978</v>
      </c>
      <c r="Q397" s="54">
        <f t="shared" si="44"/>
        <v>89961.479999999981</v>
      </c>
      <c r="R397" s="89">
        <v>24133.8</v>
      </c>
      <c r="S397" s="92">
        <f t="shared" si="48"/>
        <v>2</v>
      </c>
      <c r="T397" s="59">
        <f t="shared" si="45"/>
        <v>65827.679999999978</v>
      </c>
      <c r="U397" s="60">
        <f t="shared" si="46"/>
        <v>0.26826815210243321</v>
      </c>
      <c r="V397" s="59" t="str">
        <f t="array" ref="V397">_xlfn.IFS(S397=0,"Alta sin facturar",S397&gt;2,"Cliente",S397&gt;0,"Cliente nuevo")</f>
        <v>Cliente nuevo</v>
      </c>
      <c r="W397" s="59" t="str">
        <f t="shared" si="49"/>
        <v>Ha pagado</v>
      </c>
      <c r="X397" s="3"/>
      <c r="Y397" s="3"/>
      <c r="Z397" s="3"/>
      <c r="AA397" s="3"/>
      <c r="AB397" s="3"/>
      <c r="AC397" s="3"/>
      <c r="AD397" s="3"/>
      <c r="AE397" s="3"/>
      <c r="AG397"/>
      <c r="AH397"/>
      <c r="AI397"/>
      <c r="AJ397"/>
      <c r="AK397"/>
      <c r="AL397"/>
      <c r="AM397"/>
      <c r="AN397"/>
    </row>
    <row r="398" spans="1:40" x14ac:dyDescent="0.25">
      <c r="A398" s="6">
        <v>44688</v>
      </c>
      <c r="B398" t="str">
        <f t="shared" si="43"/>
        <v>Mayo</v>
      </c>
      <c r="C398" s="1" t="s">
        <v>35</v>
      </c>
      <c r="D398" s="58" t="str">
        <f>VLOOKUP(Datos!$C398,$AQ$2:$AR$41,2,0)</f>
        <v>Centro</v>
      </c>
      <c r="E398" s="1">
        <v>23478</v>
      </c>
      <c r="F398" s="1" t="str">
        <f t="array" ref="F398">_xlfn.IFS(H398=0,"Alta sin facturar",H398&gt;2,"Cliente",H398&gt;0,"Cliente nuevo")</f>
        <v>Cliente</v>
      </c>
      <c r="G398" s="1"/>
      <c r="H398" s="1">
        <f t="shared" si="47"/>
        <v>4</v>
      </c>
      <c r="I398" s="2">
        <v>0</v>
      </c>
      <c r="J398" s="2">
        <v>0</v>
      </c>
      <c r="K398" s="2">
        <v>0</v>
      </c>
      <c r="L398" s="2">
        <v>0</v>
      </c>
      <c r="M398" s="2">
        <v>194.88</v>
      </c>
      <c r="N398" s="89">
        <v>1141.4399999999998</v>
      </c>
      <c r="O398" s="89">
        <v>488.3599999999999</v>
      </c>
      <c r="P398" s="89">
        <v>1831.6400000000003</v>
      </c>
      <c r="Q398" s="54">
        <f t="shared" si="44"/>
        <v>3656.3199999999997</v>
      </c>
      <c r="R398" s="89">
        <v>100.92</v>
      </c>
      <c r="S398" s="92">
        <f t="shared" si="48"/>
        <v>4</v>
      </c>
      <c r="T398" s="59">
        <f t="shared" si="45"/>
        <v>3555.3999999999996</v>
      </c>
      <c r="U398" s="60">
        <f t="shared" si="46"/>
        <v>2.7601522842639597E-2</v>
      </c>
      <c r="V398" s="59" t="str">
        <f t="array" ref="V398">_xlfn.IFS(S398=0,"Alta sin facturar",S398&gt;2,"Cliente",S398&gt;0,"Cliente nuevo")</f>
        <v>Cliente</v>
      </c>
      <c r="W398" s="59" t="str">
        <f t="shared" si="49"/>
        <v>Ha pagado</v>
      </c>
      <c r="X398" s="3"/>
      <c r="Y398" s="3"/>
      <c r="Z398" s="3"/>
      <c r="AA398" s="3"/>
      <c r="AB398" s="3"/>
      <c r="AC398" s="3"/>
      <c r="AD398" s="3"/>
      <c r="AE398" s="3"/>
      <c r="AG398"/>
      <c r="AH398"/>
      <c r="AI398"/>
      <c r="AJ398"/>
      <c r="AK398"/>
      <c r="AL398"/>
      <c r="AM398"/>
      <c r="AN398"/>
    </row>
    <row r="399" spans="1:40" x14ac:dyDescent="0.25">
      <c r="A399" s="6">
        <v>44690</v>
      </c>
      <c r="B399" t="str">
        <f t="shared" si="43"/>
        <v>Mayo</v>
      </c>
      <c r="C399" s="1" t="s">
        <v>60</v>
      </c>
      <c r="D399" s="58" t="str">
        <f>VLOOKUP(Datos!$C399,$AQ$2:$AR$41,2,0)</f>
        <v>Norte</v>
      </c>
      <c r="E399" s="1">
        <v>23479</v>
      </c>
      <c r="F399" s="1" t="str">
        <f t="array" ref="F399">_xlfn.IFS(H399=0,"Alta sin facturar",H399&gt;2,"Cliente",H399&gt;0,"Cliente nuevo")</f>
        <v>Cliente</v>
      </c>
      <c r="G399" s="1"/>
      <c r="H399" s="1">
        <f t="shared" si="47"/>
        <v>4</v>
      </c>
      <c r="I399" s="2">
        <v>0</v>
      </c>
      <c r="J399" s="2">
        <v>0</v>
      </c>
      <c r="K399" s="2">
        <v>0</v>
      </c>
      <c r="L399" s="2">
        <v>0</v>
      </c>
      <c r="M399" s="2">
        <v>1707.52</v>
      </c>
      <c r="N399" s="89">
        <v>9268.4</v>
      </c>
      <c r="O399" s="89">
        <v>10187.120000000003</v>
      </c>
      <c r="P399" s="89">
        <v>6878.7999999999993</v>
      </c>
      <c r="Q399" s="54">
        <f t="shared" si="44"/>
        <v>28041.84</v>
      </c>
      <c r="R399" s="89">
        <v>6247.76</v>
      </c>
      <c r="S399" s="92">
        <f t="shared" si="48"/>
        <v>4</v>
      </c>
      <c r="T399" s="59">
        <f t="shared" si="45"/>
        <v>21794.080000000002</v>
      </c>
      <c r="U399" s="60">
        <f t="shared" si="46"/>
        <v>0.22280135682965169</v>
      </c>
      <c r="V399" s="59" t="str">
        <f t="array" ref="V399">_xlfn.IFS(S399=0,"Alta sin facturar",S399&gt;2,"Cliente",S399&gt;0,"Cliente nuevo")</f>
        <v>Cliente</v>
      </c>
      <c r="W399" s="59" t="str">
        <f t="shared" si="49"/>
        <v>Ha pagado</v>
      </c>
      <c r="X399" s="3"/>
      <c r="Y399" s="3"/>
      <c r="Z399" s="3"/>
      <c r="AA399" s="3"/>
      <c r="AB399" s="3"/>
      <c r="AC399" s="3"/>
      <c r="AD399" s="3"/>
      <c r="AE399" s="3"/>
      <c r="AG399"/>
      <c r="AH399"/>
      <c r="AI399"/>
      <c r="AJ399"/>
      <c r="AK399"/>
      <c r="AL399"/>
      <c r="AM399"/>
      <c r="AN399"/>
    </row>
    <row r="400" spans="1:40" x14ac:dyDescent="0.25">
      <c r="A400" s="6">
        <v>44690</v>
      </c>
      <c r="B400" t="str">
        <f t="shared" si="43"/>
        <v>Mayo</v>
      </c>
      <c r="C400" s="1" t="s">
        <v>63</v>
      </c>
      <c r="D400" s="58" t="str">
        <f>VLOOKUP(Datos!$C400,$AQ$2:$AR$41,2,0)</f>
        <v>Centro</v>
      </c>
      <c r="E400" s="1">
        <v>23480</v>
      </c>
      <c r="F400" s="1" t="str">
        <f t="array" ref="F400">_xlfn.IFS(H400=0,"Alta sin facturar",H400&gt;2,"Cliente",H400&gt;0,"Cliente nuevo")</f>
        <v>Cliente</v>
      </c>
      <c r="G400" s="1"/>
      <c r="H400" s="1">
        <f t="shared" si="47"/>
        <v>4</v>
      </c>
      <c r="I400" s="2">
        <v>0</v>
      </c>
      <c r="J400" s="2">
        <v>0</v>
      </c>
      <c r="K400" s="2">
        <v>0</v>
      </c>
      <c r="L400" s="2">
        <v>0</v>
      </c>
      <c r="M400" s="2">
        <v>9741.6799999999985</v>
      </c>
      <c r="N400" s="89">
        <v>37159.440000000002</v>
      </c>
      <c r="O400" s="89">
        <v>45071.800000000039</v>
      </c>
      <c r="P400" s="89">
        <v>48365.040000000161</v>
      </c>
      <c r="Q400" s="54">
        <f t="shared" si="44"/>
        <v>140337.9600000002</v>
      </c>
      <c r="R400" s="89">
        <v>17623.88</v>
      </c>
      <c r="S400" s="92">
        <f t="shared" si="48"/>
        <v>4</v>
      </c>
      <c r="T400" s="59">
        <f t="shared" si="45"/>
        <v>122714.08000000019</v>
      </c>
      <c r="U400" s="60">
        <f t="shared" si="46"/>
        <v>0.12558170291202733</v>
      </c>
      <c r="V400" s="59" t="str">
        <f t="array" ref="V400">_xlfn.IFS(S400=0,"Alta sin facturar",S400&gt;2,"Cliente",S400&gt;0,"Cliente nuevo")</f>
        <v>Cliente</v>
      </c>
      <c r="W400" s="59" t="str">
        <f t="shared" si="49"/>
        <v>Ha pagado</v>
      </c>
      <c r="X400" s="3"/>
      <c r="Y400" s="3"/>
      <c r="Z400" s="3"/>
      <c r="AA400" s="3"/>
      <c r="AB400" s="3"/>
      <c r="AC400" s="3"/>
      <c r="AD400" s="3"/>
      <c r="AE400" s="3"/>
      <c r="AG400"/>
      <c r="AH400"/>
      <c r="AI400"/>
      <c r="AJ400"/>
      <c r="AK400"/>
      <c r="AL400"/>
      <c r="AM400"/>
      <c r="AN400"/>
    </row>
    <row r="401" spans="1:40" x14ac:dyDescent="0.25">
      <c r="A401" s="6">
        <v>44692</v>
      </c>
      <c r="B401" t="str">
        <f t="shared" si="43"/>
        <v>Mayo</v>
      </c>
      <c r="C401" s="1" t="s">
        <v>59</v>
      </c>
      <c r="D401" s="58" t="str">
        <f>VLOOKUP(Datos!$C401,$AQ$2:$AR$41,2,0)</f>
        <v>Magallanes</v>
      </c>
      <c r="E401" s="1">
        <v>23481</v>
      </c>
      <c r="F401" s="1" t="str">
        <f t="array" ref="F401">_xlfn.IFS(H401=0,"Alta sin facturar",H401&gt;2,"Cliente",H401&gt;0,"Cliente nuevo")</f>
        <v>Cliente</v>
      </c>
      <c r="G401" s="1"/>
      <c r="H401" s="1">
        <f t="shared" si="47"/>
        <v>4</v>
      </c>
      <c r="I401" s="2">
        <v>0</v>
      </c>
      <c r="J401" s="2">
        <v>0</v>
      </c>
      <c r="K401" s="2">
        <v>0</v>
      </c>
      <c r="L401" s="2">
        <v>0</v>
      </c>
      <c r="M401" s="2">
        <v>2460.3599999999997</v>
      </c>
      <c r="N401" s="89">
        <v>17517.16</v>
      </c>
      <c r="O401" s="89">
        <v>6427.5599999999986</v>
      </c>
      <c r="P401" s="89">
        <v>16681.959999999995</v>
      </c>
      <c r="Q401" s="54">
        <f t="shared" si="44"/>
        <v>43087.039999999994</v>
      </c>
      <c r="R401" s="89">
        <v>8887.92</v>
      </c>
      <c r="S401" s="92">
        <f t="shared" si="48"/>
        <v>4</v>
      </c>
      <c r="T401" s="59">
        <f t="shared" si="45"/>
        <v>34199.119999999995</v>
      </c>
      <c r="U401" s="60">
        <f t="shared" si="46"/>
        <v>0.20627826836097354</v>
      </c>
      <c r="V401" s="59" t="str">
        <f t="array" ref="V401">_xlfn.IFS(S401=0,"Alta sin facturar",S401&gt;2,"Cliente",S401&gt;0,"Cliente nuevo")</f>
        <v>Cliente</v>
      </c>
      <c r="W401" s="59" t="str">
        <f t="shared" si="49"/>
        <v>Ha pagado</v>
      </c>
      <c r="X401" s="3"/>
      <c r="Y401" s="3"/>
      <c r="Z401" s="3"/>
      <c r="AA401" s="3"/>
      <c r="AB401" s="3"/>
      <c r="AC401" s="3"/>
      <c r="AD401" s="3"/>
      <c r="AE401" s="3"/>
      <c r="AG401"/>
      <c r="AH401"/>
      <c r="AI401"/>
      <c r="AJ401"/>
      <c r="AK401"/>
      <c r="AL401"/>
      <c r="AM401"/>
      <c r="AN401"/>
    </row>
    <row r="402" spans="1:40" x14ac:dyDescent="0.25">
      <c r="A402" s="6">
        <v>44692</v>
      </c>
      <c r="B402" t="str">
        <f t="shared" si="43"/>
        <v>Mayo</v>
      </c>
      <c r="C402" s="1" t="s">
        <v>63</v>
      </c>
      <c r="D402" s="58" t="str">
        <f>VLOOKUP(Datos!$C402,$AQ$2:$AR$41,2,0)</f>
        <v>Centro</v>
      </c>
      <c r="E402" s="1">
        <v>23482</v>
      </c>
      <c r="F402" s="1" t="str">
        <f t="array" ref="F402">_xlfn.IFS(H402=0,"Alta sin facturar",H402&gt;2,"Cliente",H402&gt;0,"Cliente nuevo")</f>
        <v>Cliente</v>
      </c>
      <c r="G402" s="1"/>
      <c r="H402" s="1">
        <f t="shared" si="47"/>
        <v>4</v>
      </c>
      <c r="I402" s="2">
        <v>0</v>
      </c>
      <c r="J402" s="2">
        <v>0</v>
      </c>
      <c r="K402" s="2">
        <v>0</v>
      </c>
      <c r="L402" s="2">
        <v>0</v>
      </c>
      <c r="M402" s="2">
        <v>4974.0799999999981</v>
      </c>
      <c r="N402" s="89">
        <v>7876.4</v>
      </c>
      <c r="O402" s="89">
        <v>5257.119999999999</v>
      </c>
      <c r="P402" s="89">
        <v>7676.8799999999992</v>
      </c>
      <c r="Q402" s="54">
        <f t="shared" si="44"/>
        <v>25784.479999999996</v>
      </c>
      <c r="R402" s="89">
        <v>4350</v>
      </c>
      <c r="S402" s="92">
        <f t="shared" si="48"/>
        <v>4</v>
      </c>
      <c r="T402" s="59">
        <f t="shared" si="45"/>
        <v>21434.479999999996</v>
      </c>
      <c r="U402" s="60">
        <f t="shared" si="46"/>
        <v>0.16870613640453486</v>
      </c>
      <c r="V402" s="59" t="str">
        <f t="array" ref="V402">_xlfn.IFS(S402=0,"Alta sin facturar",S402&gt;2,"Cliente",S402&gt;0,"Cliente nuevo")</f>
        <v>Cliente</v>
      </c>
      <c r="W402" s="59" t="str">
        <f t="shared" si="49"/>
        <v>Ha pagado</v>
      </c>
      <c r="X402" s="3"/>
      <c r="Y402" s="3"/>
      <c r="Z402" s="3"/>
      <c r="AA402" s="3"/>
      <c r="AB402" s="3"/>
      <c r="AC402" s="3"/>
      <c r="AD402" s="3"/>
      <c r="AE402" s="3"/>
      <c r="AG402"/>
      <c r="AH402"/>
      <c r="AI402"/>
      <c r="AJ402"/>
      <c r="AK402"/>
      <c r="AL402"/>
      <c r="AM402"/>
      <c r="AN402"/>
    </row>
    <row r="403" spans="1:40" x14ac:dyDescent="0.25">
      <c r="A403" s="6">
        <v>44692</v>
      </c>
      <c r="B403" t="str">
        <f t="shared" si="43"/>
        <v>Mayo</v>
      </c>
      <c r="C403" s="1" t="s">
        <v>39</v>
      </c>
      <c r="D403" s="58" t="str">
        <f>VLOOKUP(Datos!$C403,$AQ$2:$AR$41,2,0)</f>
        <v>Sur</v>
      </c>
      <c r="E403" s="1">
        <v>23483</v>
      </c>
      <c r="F403" s="1" t="str">
        <f t="array" ref="F403">_xlfn.IFS(H403=0,"Alta sin facturar",H403&gt;2,"Cliente",H403&gt;0,"Cliente nuevo")</f>
        <v>Cliente</v>
      </c>
      <c r="G403" s="1"/>
      <c r="H403" s="1">
        <f t="shared" si="47"/>
        <v>3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89">
        <v>1294.56</v>
      </c>
      <c r="O403" s="89">
        <v>5856.84</v>
      </c>
      <c r="P403" s="89">
        <v>8213.9600000000028</v>
      </c>
      <c r="Q403" s="54">
        <f t="shared" si="44"/>
        <v>15365.360000000002</v>
      </c>
      <c r="R403" s="89">
        <v>2615.8000000000002</v>
      </c>
      <c r="S403" s="92">
        <f t="shared" si="48"/>
        <v>3</v>
      </c>
      <c r="T403" s="59">
        <f t="shared" si="45"/>
        <v>12749.560000000001</v>
      </c>
      <c r="U403" s="60">
        <f t="shared" si="46"/>
        <v>0.17024007247470932</v>
      </c>
      <c r="V403" s="59" t="str">
        <f t="array" ref="V403">_xlfn.IFS(S403=0,"Alta sin facturar",S403&gt;2,"Cliente",S403&gt;0,"Cliente nuevo")</f>
        <v>Cliente</v>
      </c>
      <c r="W403" s="59" t="str">
        <f t="shared" si="49"/>
        <v>Ha pagado</v>
      </c>
      <c r="X403" s="3"/>
      <c r="Y403" s="3"/>
      <c r="Z403" s="3"/>
      <c r="AA403" s="3"/>
      <c r="AB403" s="3"/>
      <c r="AC403" s="3"/>
      <c r="AD403" s="3"/>
      <c r="AE403" s="3"/>
      <c r="AG403"/>
      <c r="AH403"/>
      <c r="AI403"/>
      <c r="AJ403"/>
      <c r="AK403"/>
      <c r="AL403"/>
      <c r="AM403"/>
      <c r="AN403"/>
    </row>
    <row r="404" spans="1:40" x14ac:dyDescent="0.25">
      <c r="A404" s="6">
        <v>44692</v>
      </c>
      <c r="B404" t="str">
        <f t="shared" si="43"/>
        <v>Mayo</v>
      </c>
      <c r="C404" s="1" t="s">
        <v>38</v>
      </c>
      <c r="D404" s="58" t="str">
        <f>VLOOKUP(Datos!$C404,$AQ$2:$AR$41,2,0)</f>
        <v>Centro</v>
      </c>
      <c r="E404" s="1">
        <v>23484</v>
      </c>
      <c r="F404" s="1" t="str">
        <f t="array" ref="F404">_xlfn.IFS(H404=0,"Alta sin facturar",H404&gt;2,"Cliente",H404&gt;0,"Cliente nuevo")</f>
        <v>Alta sin facturar</v>
      </c>
      <c r="G404" s="1"/>
      <c r="H404" s="1">
        <f t="shared" si="47"/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89">
        <v>0</v>
      </c>
      <c r="O404" s="89">
        <v>0</v>
      </c>
      <c r="P404" s="89">
        <v>0</v>
      </c>
      <c r="Q404" s="54">
        <f t="shared" si="44"/>
        <v>0</v>
      </c>
      <c r="R404" s="89"/>
      <c r="S404" s="92">
        <f t="shared" si="48"/>
        <v>0</v>
      </c>
      <c r="T404" s="59">
        <f t="shared" si="45"/>
        <v>0</v>
      </c>
      <c r="U404" s="60">
        <f t="shared" si="46"/>
        <v>0</v>
      </c>
      <c r="V404" s="59" t="str">
        <f t="array" ref="V404">_xlfn.IFS(S404=0,"Alta sin facturar",S404&gt;2,"Cliente",S404&gt;0,"Cliente nuevo")</f>
        <v>Alta sin facturar</v>
      </c>
      <c r="W404" s="59" t="str">
        <f t="shared" si="49"/>
        <v>Sin pago</v>
      </c>
      <c r="X404" s="3"/>
      <c r="Y404" s="3"/>
      <c r="Z404" s="3"/>
      <c r="AA404" s="3"/>
      <c r="AB404" s="3"/>
      <c r="AC404" s="3"/>
      <c r="AD404" s="3"/>
      <c r="AE404" s="3"/>
      <c r="AG404"/>
      <c r="AH404"/>
      <c r="AI404"/>
      <c r="AJ404"/>
      <c r="AK404"/>
      <c r="AL404"/>
      <c r="AM404"/>
      <c r="AN404"/>
    </row>
    <row r="405" spans="1:40" x14ac:dyDescent="0.25">
      <c r="A405" s="6">
        <v>44692</v>
      </c>
      <c r="B405" t="str">
        <f t="shared" si="43"/>
        <v>Mayo</v>
      </c>
      <c r="C405" s="1" t="s">
        <v>38</v>
      </c>
      <c r="D405" s="58" t="str">
        <f>VLOOKUP(Datos!$C405,$AQ$2:$AR$41,2,0)</f>
        <v>Centro</v>
      </c>
      <c r="E405" s="1">
        <v>23485</v>
      </c>
      <c r="F405" s="1" t="str">
        <f t="array" ref="F405">_xlfn.IFS(H405=0,"Alta sin facturar",H405&gt;2,"Cliente",H405&gt;0,"Cliente nuevo")</f>
        <v>Alta sin facturar</v>
      </c>
      <c r="G405" s="1"/>
      <c r="H405" s="1">
        <f t="shared" si="47"/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89">
        <v>0</v>
      </c>
      <c r="O405" s="89">
        <v>0</v>
      </c>
      <c r="P405" s="89">
        <v>0</v>
      </c>
      <c r="Q405" s="54">
        <f t="shared" si="44"/>
        <v>0</v>
      </c>
      <c r="R405" s="89"/>
      <c r="S405" s="92">
        <f t="shared" si="48"/>
        <v>0</v>
      </c>
      <c r="T405" s="59">
        <f t="shared" si="45"/>
        <v>0</v>
      </c>
      <c r="U405" s="60">
        <f t="shared" si="46"/>
        <v>0</v>
      </c>
      <c r="V405" s="59" t="str">
        <f t="array" ref="V405">_xlfn.IFS(S405=0,"Alta sin facturar",S405&gt;2,"Cliente",S405&gt;0,"Cliente nuevo")</f>
        <v>Alta sin facturar</v>
      </c>
      <c r="W405" s="59" t="str">
        <f t="shared" si="49"/>
        <v>Sin pago</v>
      </c>
      <c r="X405" s="3"/>
      <c r="Y405" s="3"/>
      <c r="Z405" s="3"/>
      <c r="AA405" s="3"/>
      <c r="AB405" s="3"/>
      <c r="AC405" s="3"/>
      <c r="AD405" s="3"/>
      <c r="AE405" s="3"/>
      <c r="AG405"/>
      <c r="AH405"/>
      <c r="AI405"/>
      <c r="AJ405"/>
      <c r="AK405"/>
      <c r="AL405"/>
      <c r="AM405"/>
      <c r="AN405"/>
    </row>
    <row r="406" spans="1:40" x14ac:dyDescent="0.25">
      <c r="A406" s="6">
        <v>44692</v>
      </c>
      <c r="B406" t="str">
        <f t="shared" si="43"/>
        <v>Mayo</v>
      </c>
      <c r="C406" s="1" t="s">
        <v>39</v>
      </c>
      <c r="D406" s="58" t="str">
        <f>VLOOKUP(Datos!$C406,$AQ$2:$AR$41,2,0)</f>
        <v>Sur</v>
      </c>
      <c r="E406" s="1">
        <v>23486</v>
      </c>
      <c r="F406" s="1" t="str">
        <f t="array" ref="F406">_xlfn.IFS(H406=0,"Alta sin facturar",H406&gt;2,"Cliente",H406&gt;0,"Cliente nuevo")</f>
        <v>Alta sin facturar</v>
      </c>
      <c r="G406" s="1"/>
      <c r="H406" s="1">
        <f t="shared" si="47"/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89">
        <v>0</v>
      </c>
      <c r="O406" s="89">
        <v>0</v>
      </c>
      <c r="P406" s="89">
        <v>0</v>
      </c>
      <c r="Q406" s="54">
        <f t="shared" si="44"/>
        <v>0</v>
      </c>
      <c r="R406" s="89"/>
      <c r="S406" s="92">
        <f t="shared" si="48"/>
        <v>0</v>
      </c>
      <c r="T406" s="59">
        <f t="shared" si="45"/>
        <v>0</v>
      </c>
      <c r="U406" s="60">
        <f t="shared" si="46"/>
        <v>0</v>
      </c>
      <c r="V406" s="59" t="str">
        <f t="array" ref="V406">_xlfn.IFS(S406=0,"Alta sin facturar",S406&gt;2,"Cliente",S406&gt;0,"Cliente nuevo")</f>
        <v>Alta sin facturar</v>
      </c>
      <c r="W406" s="59" t="str">
        <f t="shared" si="49"/>
        <v>Sin pago</v>
      </c>
      <c r="X406" s="3"/>
      <c r="Y406" s="3"/>
      <c r="Z406" s="3"/>
      <c r="AA406" s="3"/>
      <c r="AB406" s="3"/>
      <c r="AC406" s="3"/>
      <c r="AD406" s="3"/>
      <c r="AE406" s="3"/>
      <c r="AG406"/>
      <c r="AH406"/>
      <c r="AI406"/>
      <c r="AJ406"/>
      <c r="AK406"/>
      <c r="AL406"/>
      <c r="AM406"/>
      <c r="AN406"/>
    </row>
    <row r="407" spans="1:40" x14ac:dyDescent="0.25">
      <c r="A407" s="6">
        <v>44694</v>
      </c>
      <c r="B407" t="str">
        <f t="shared" si="43"/>
        <v>Mayo</v>
      </c>
      <c r="C407" s="1" t="s">
        <v>62</v>
      </c>
      <c r="D407" s="58" t="str">
        <f>VLOOKUP(Datos!$C407,$AQ$2:$AR$41,2,0)</f>
        <v>Norte</v>
      </c>
      <c r="E407" s="1">
        <v>23487</v>
      </c>
      <c r="F407" s="1" t="str">
        <f t="array" ref="F407">_xlfn.IFS(H407=0,"Alta sin facturar",H407&gt;2,"Cliente",H407&gt;0,"Cliente nuevo")</f>
        <v>Cliente</v>
      </c>
      <c r="G407" s="1"/>
      <c r="H407" s="1">
        <f t="shared" si="47"/>
        <v>4</v>
      </c>
      <c r="I407" s="2">
        <v>0</v>
      </c>
      <c r="J407" s="2">
        <v>0</v>
      </c>
      <c r="K407" s="2">
        <v>0</v>
      </c>
      <c r="L407" s="2">
        <v>0</v>
      </c>
      <c r="M407" s="2">
        <v>1975.48</v>
      </c>
      <c r="N407" s="89">
        <v>738.92</v>
      </c>
      <c r="O407" s="89">
        <v>4781.5200000000004</v>
      </c>
      <c r="P407" s="89">
        <v>843.31999999999994</v>
      </c>
      <c r="Q407" s="54">
        <f t="shared" si="44"/>
        <v>8339.24</v>
      </c>
      <c r="R407" s="89">
        <v>2101.92</v>
      </c>
      <c r="S407" s="92">
        <f t="shared" si="48"/>
        <v>4</v>
      </c>
      <c r="T407" s="59">
        <f t="shared" si="45"/>
        <v>6237.32</v>
      </c>
      <c r="U407" s="60">
        <f t="shared" si="46"/>
        <v>0.25205174572263184</v>
      </c>
      <c r="V407" s="59" t="str">
        <f t="array" ref="V407">_xlfn.IFS(S407=0,"Alta sin facturar",S407&gt;2,"Cliente",S407&gt;0,"Cliente nuevo")</f>
        <v>Cliente</v>
      </c>
      <c r="W407" s="59" t="str">
        <f t="shared" si="49"/>
        <v>Ha pagado</v>
      </c>
      <c r="X407" s="3"/>
      <c r="Y407" s="3"/>
      <c r="Z407" s="3"/>
      <c r="AA407" s="3"/>
      <c r="AB407" s="3"/>
      <c r="AC407" s="3"/>
      <c r="AD407" s="3"/>
      <c r="AE407" s="3"/>
      <c r="AG407"/>
      <c r="AH407"/>
      <c r="AI407"/>
      <c r="AJ407"/>
      <c r="AK407"/>
      <c r="AL407"/>
      <c r="AM407"/>
      <c r="AN407"/>
    </row>
    <row r="408" spans="1:40" x14ac:dyDescent="0.25">
      <c r="A408" s="6">
        <v>44695</v>
      </c>
      <c r="B408" t="str">
        <f t="shared" si="43"/>
        <v>Mayo</v>
      </c>
      <c r="C408" s="1" t="s">
        <v>36</v>
      </c>
      <c r="D408" s="58" t="str">
        <f>VLOOKUP(Datos!$C408,$AQ$2:$AR$41,2,0)</f>
        <v>Magallanes</v>
      </c>
      <c r="E408" s="1">
        <v>23488</v>
      </c>
      <c r="F408" s="1" t="str">
        <f t="array" ref="F408">_xlfn.IFS(H408=0,"Alta sin facturar",H408&gt;2,"Cliente",H408&gt;0,"Cliente nuevo")</f>
        <v>Cliente nuevo</v>
      </c>
      <c r="G408" s="1"/>
      <c r="H408" s="1">
        <f t="shared" si="47"/>
        <v>2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89">
        <v>6639.84</v>
      </c>
      <c r="O408" s="89">
        <v>0</v>
      </c>
      <c r="P408" s="89">
        <v>1266.7199999999998</v>
      </c>
      <c r="Q408" s="54">
        <f t="shared" si="44"/>
        <v>7906.5599999999995</v>
      </c>
      <c r="R408" s="89">
        <v>5724.6</v>
      </c>
      <c r="S408" s="92">
        <f t="shared" si="48"/>
        <v>2</v>
      </c>
      <c r="T408" s="59">
        <f t="shared" si="45"/>
        <v>2181.9599999999991</v>
      </c>
      <c r="U408" s="60">
        <f t="shared" si="46"/>
        <v>0.72403169014084512</v>
      </c>
      <c r="V408" s="59" t="str">
        <f t="array" ref="V408">_xlfn.IFS(S408=0,"Alta sin facturar",S408&gt;2,"Cliente",S408&gt;0,"Cliente nuevo")</f>
        <v>Cliente nuevo</v>
      </c>
      <c r="W408" s="59" t="str">
        <f t="shared" si="49"/>
        <v>Ha pagado</v>
      </c>
      <c r="X408" s="3"/>
      <c r="Y408" s="3"/>
      <c r="Z408" s="3"/>
      <c r="AA408" s="3"/>
      <c r="AB408" s="3"/>
      <c r="AC408" s="3"/>
      <c r="AD408" s="3"/>
      <c r="AE408" s="3"/>
      <c r="AG408"/>
      <c r="AH408"/>
      <c r="AI408"/>
      <c r="AJ408"/>
      <c r="AK408"/>
      <c r="AL408"/>
      <c r="AM408"/>
      <c r="AN408"/>
    </row>
    <row r="409" spans="1:40" x14ac:dyDescent="0.25">
      <c r="A409" s="6">
        <v>44697</v>
      </c>
      <c r="B409" t="str">
        <f t="shared" si="43"/>
        <v>Mayo</v>
      </c>
      <c r="C409" s="1" t="s">
        <v>75</v>
      </c>
      <c r="D409" s="58" t="str">
        <f>VLOOKUP(Datos!$C409,$AQ$2:$AR$41,2,0)</f>
        <v>Centro</v>
      </c>
      <c r="E409" s="1">
        <v>23489</v>
      </c>
      <c r="F409" s="1" t="str">
        <f t="array" ref="F409">_xlfn.IFS(H409=0,"Alta sin facturar",H409&gt;2,"Cliente",H409&gt;0,"Cliente nuevo")</f>
        <v>Cliente nuevo</v>
      </c>
      <c r="G409" s="1"/>
      <c r="H409" s="1">
        <f t="shared" si="47"/>
        <v>2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89">
        <v>6499.48</v>
      </c>
      <c r="O409" s="89">
        <v>0</v>
      </c>
      <c r="P409" s="89">
        <v>568.4</v>
      </c>
      <c r="Q409" s="54">
        <f t="shared" si="44"/>
        <v>7067.8799999999992</v>
      </c>
      <c r="R409" s="89">
        <v>0</v>
      </c>
      <c r="S409" s="92">
        <f t="shared" si="48"/>
        <v>2</v>
      </c>
      <c r="T409" s="59">
        <f t="shared" si="45"/>
        <v>7067.8799999999992</v>
      </c>
      <c r="U409" s="60">
        <f t="shared" si="46"/>
        <v>0</v>
      </c>
      <c r="V409" s="59" t="str">
        <f t="array" ref="V409">_xlfn.IFS(S409=0,"Alta sin facturar",S409&gt;2,"Cliente",S409&gt;0,"Cliente nuevo")</f>
        <v>Cliente nuevo</v>
      </c>
      <c r="W409" s="59" t="str">
        <f t="shared" si="49"/>
        <v>Ha pagado</v>
      </c>
      <c r="X409" s="3"/>
      <c r="Y409" s="3"/>
      <c r="Z409" s="3"/>
      <c r="AA409" s="3"/>
      <c r="AB409" s="3"/>
      <c r="AC409" s="3"/>
      <c r="AD409" s="3"/>
      <c r="AE409" s="3"/>
      <c r="AG409"/>
      <c r="AH409"/>
      <c r="AI409"/>
      <c r="AJ409"/>
      <c r="AK409"/>
      <c r="AL409"/>
      <c r="AM409"/>
      <c r="AN409"/>
    </row>
    <row r="410" spans="1:40" x14ac:dyDescent="0.25">
      <c r="A410" s="6">
        <v>44697</v>
      </c>
      <c r="B410" t="str">
        <f t="shared" si="43"/>
        <v>Mayo</v>
      </c>
      <c r="C410" s="1" t="s">
        <v>33</v>
      </c>
      <c r="D410" s="58" t="str">
        <f>VLOOKUP(Datos!$C410,$AQ$2:$AR$41,2,0)</f>
        <v>Magallanes</v>
      </c>
      <c r="E410" s="1">
        <v>23490</v>
      </c>
      <c r="F410" s="1" t="str">
        <f t="array" ref="F410">_xlfn.IFS(H410=0,"Alta sin facturar",H410&gt;2,"Cliente",H410&gt;0,"Cliente nuevo")</f>
        <v>Cliente nuevo</v>
      </c>
      <c r="G410" s="1"/>
      <c r="H410" s="1">
        <f t="shared" si="47"/>
        <v>2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89">
        <v>8841.52</v>
      </c>
      <c r="O410" s="89">
        <v>0</v>
      </c>
      <c r="P410" s="89">
        <v>2299.12</v>
      </c>
      <c r="Q410" s="54">
        <f t="shared" si="44"/>
        <v>11140.64</v>
      </c>
      <c r="R410" s="89">
        <v>5150.4000000000005</v>
      </c>
      <c r="S410" s="92">
        <f t="shared" si="48"/>
        <v>2</v>
      </c>
      <c r="T410" s="59">
        <f t="shared" si="45"/>
        <v>5990.2399999999989</v>
      </c>
      <c r="U410" s="60">
        <f t="shared" si="46"/>
        <v>0.46230737192836324</v>
      </c>
      <c r="V410" s="59" t="str">
        <f t="array" ref="V410">_xlfn.IFS(S410=0,"Alta sin facturar",S410&gt;2,"Cliente",S410&gt;0,"Cliente nuevo")</f>
        <v>Cliente nuevo</v>
      </c>
      <c r="W410" s="59" t="str">
        <f t="shared" si="49"/>
        <v>Ha pagado</v>
      </c>
      <c r="X410" s="3"/>
      <c r="Y410" s="3"/>
      <c r="Z410" s="3"/>
      <c r="AA410" s="3"/>
      <c r="AB410" s="3"/>
      <c r="AC410" s="3"/>
      <c r="AD410" s="3"/>
      <c r="AE410" s="3"/>
      <c r="AG410"/>
      <c r="AH410"/>
      <c r="AI410"/>
      <c r="AJ410"/>
      <c r="AK410"/>
      <c r="AL410"/>
      <c r="AM410"/>
      <c r="AN410"/>
    </row>
    <row r="411" spans="1:40" x14ac:dyDescent="0.25">
      <c r="A411" s="6">
        <v>44697</v>
      </c>
      <c r="B411" t="str">
        <f t="shared" si="43"/>
        <v>Mayo</v>
      </c>
      <c r="C411" s="1" t="s">
        <v>66</v>
      </c>
      <c r="D411" s="58" t="str">
        <f>VLOOKUP(Datos!$C411,$AQ$2:$AR$41,2,0)</f>
        <v>Sur</v>
      </c>
      <c r="E411" s="1">
        <v>23491</v>
      </c>
      <c r="F411" s="1" t="str">
        <f t="array" ref="F411">_xlfn.IFS(H411=0,"Alta sin facturar",H411&gt;2,"Cliente",H411&gt;0,"Cliente nuevo")</f>
        <v>Cliente nuevo</v>
      </c>
      <c r="G411" s="1"/>
      <c r="H411" s="1">
        <f t="shared" si="47"/>
        <v>2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89">
        <v>3765.3599999999997</v>
      </c>
      <c r="O411" s="89">
        <v>0</v>
      </c>
      <c r="P411" s="89">
        <v>3408.08</v>
      </c>
      <c r="Q411" s="54">
        <f t="shared" si="44"/>
        <v>7173.44</v>
      </c>
      <c r="R411" s="89">
        <v>0</v>
      </c>
      <c r="S411" s="92">
        <f t="shared" si="48"/>
        <v>2</v>
      </c>
      <c r="T411" s="59">
        <f t="shared" si="45"/>
        <v>7173.44</v>
      </c>
      <c r="U411" s="60">
        <f t="shared" si="46"/>
        <v>0</v>
      </c>
      <c r="V411" s="59" t="str">
        <f t="array" ref="V411">_xlfn.IFS(S411=0,"Alta sin facturar",S411&gt;2,"Cliente",S411&gt;0,"Cliente nuevo")</f>
        <v>Cliente nuevo</v>
      </c>
      <c r="W411" s="59" t="str">
        <f t="shared" si="49"/>
        <v>Ha pagado</v>
      </c>
      <c r="X411" s="3"/>
      <c r="Y411" s="3"/>
      <c r="Z411" s="3"/>
      <c r="AA411" s="3"/>
      <c r="AB411" s="3"/>
      <c r="AC411" s="3"/>
      <c r="AD411" s="3"/>
      <c r="AE411" s="3"/>
      <c r="AG411"/>
      <c r="AH411"/>
      <c r="AI411"/>
      <c r="AJ411"/>
      <c r="AK411"/>
      <c r="AL411"/>
      <c r="AM411"/>
      <c r="AN411"/>
    </row>
    <row r="412" spans="1:40" x14ac:dyDescent="0.25">
      <c r="A412" s="6">
        <v>44697</v>
      </c>
      <c r="B412" t="str">
        <f t="shared" si="43"/>
        <v>Mayo</v>
      </c>
      <c r="C412" s="1" t="s">
        <v>89</v>
      </c>
      <c r="D412" s="58" t="str">
        <f>VLOOKUP(Datos!$C412,$AQ$2:$AR$41,2,0)</f>
        <v>Centro</v>
      </c>
      <c r="E412" s="1">
        <v>23492</v>
      </c>
      <c r="F412" s="1" t="str">
        <f t="array" ref="F412">_xlfn.IFS(H412=0,"Alta sin facturar",H412&gt;2,"Cliente",H412&gt;0,"Cliente nuevo")</f>
        <v>Alta sin facturar</v>
      </c>
      <c r="G412" s="1"/>
      <c r="H412" s="1">
        <f t="shared" si="47"/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89">
        <v>0</v>
      </c>
      <c r="O412" s="89">
        <v>0</v>
      </c>
      <c r="P412" s="89">
        <v>0</v>
      </c>
      <c r="Q412" s="54">
        <f t="shared" si="44"/>
        <v>0</v>
      </c>
      <c r="R412" s="89"/>
      <c r="S412" s="92">
        <f t="shared" si="48"/>
        <v>0</v>
      </c>
      <c r="T412" s="59">
        <f t="shared" si="45"/>
        <v>0</v>
      </c>
      <c r="U412" s="60">
        <f t="shared" si="46"/>
        <v>0</v>
      </c>
      <c r="V412" s="59" t="str">
        <f t="array" ref="V412">_xlfn.IFS(S412=0,"Alta sin facturar",S412&gt;2,"Cliente",S412&gt;0,"Cliente nuevo")</f>
        <v>Alta sin facturar</v>
      </c>
      <c r="W412" s="59" t="str">
        <f t="shared" si="49"/>
        <v>Sin pago</v>
      </c>
      <c r="X412" s="3"/>
      <c r="Y412" s="3"/>
      <c r="Z412" s="3"/>
      <c r="AA412" s="3"/>
      <c r="AB412" s="3"/>
      <c r="AC412" s="3"/>
      <c r="AD412" s="3"/>
      <c r="AE412" s="3"/>
      <c r="AG412"/>
      <c r="AH412"/>
      <c r="AI412"/>
      <c r="AJ412"/>
      <c r="AK412"/>
      <c r="AL412"/>
      <c r="AM412"/>
      <c r="AN412"/>
    </row>
    <row r="413" spans="1:40" x14ac:dyDescent="0.25">
      <c r="A413" s="6">
        <v>44697</v>
      </c>
      <c r="B413" t="str">
        <f t="shared" si="43"/>
        <v>Mayo</v>
      </c>
      <c r="C413" s="1" t="s">
        <v>63</v>
      </c>
      <c r="D413" s="58" t="str">
        <f>VLOOKUP(Datos!$C413,$AQ$2:$AR$41,2,0)</f>
        <v>Centro</v>
      </c>
      <c r="E413" s="1">
        <v>23493</v>
      </c>
      <c r="F413" s="1" t="str">
        <f t="array" ref="F413">_xlfn.IFS(H413=0,"Alta sin facturar",H413&gt;2,"Cliente",H413&gt;0,"Cliente nuevo")</f>
        <v>Cliente</v>
      </c>
      <c r="G413" s="1"/>
      <c r="H413" s="1">
        <f t="shared" si="47"/>
        <v>3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89">
        <v>8816</v>
      </c>
      <c r="O413" s="89">
        <v>892.04</v>
      </c>
      <c r="P413" s="89">
        <v>3207.3999999999996</v>
      </c>
      <c r="Q413" s="54">
        <f t="shared" si="44"/>
        <v>12915.44</v>
      </c>
      <c r="R413" s="89">
        <v>0</v>
      </c>
      <c r="S413" s="92">
        <f t="shared" si="48"/>
        <v>3</v>
      </c>
      <c r="T413" s="59">
        <f t="shared" si="45"/>
        <v>12915.44</v>
      </c>
      <c r="U413" s="60">
        <f t="shared" si="46"/>
        <v>0</v>
      </c>
      <c r="V413" s="59" t="str">
        <f t="array" ref="V413">_xlfn.IFS(S413=0,"Alta sin facturar",S413&gt;2,"Cliente",S413&gt;0,"Cliente nuevo")</f>
        <v>Cliente</v>
      </c>
      <c r="W413" s="59" t="str">
        <f t="shared" si="49"/>
        <v>Ha pagado</v>
      </c>
      <c r="X413" s="3"/>
      <c r="Y413" s="3"/>
      <c r="Z413" s="3"/>
      <c r="AA413" s="3"/>
      <c r="AB413" s="3"/>
      <c r="AC413" s="3"/>
      <c r="AD413" s="3"/>
      <c r="AE413" s="3"/>
      <c r="AG413"/>
      <c r="AH413"/>
      <c r="AI413"/>
      <c r="AJ413"/>
      <c r="AK413"/>
      <c r="AL413"/>
      <c r="AM413"/>
      <c r="AN413"/>
    </row>
    <row r="414" spans="1:40" x14ac:dyDescent="0.25">
      <c r="A414" s="6">
        <v>44698</v>
      </c>
      <c r="B414" t="str">
        <f t="shared" si="43"/>
        <v>Mayo</v>
      </c>
      <c r="C414" s="1" t="s">
        <v>34</v>
      </c>
      <c r="D414" s="58" t="str">
        <f>VLOOKUP(Datos!$C414,$AQ$2:$AR$41,2,0)</f>
        <v>Norte</v>
      </c>
      <c r="E414" s="1">
        <v>23494</v>
      </c>
      <c r="F414" s="1" t="str">
        <f t="array" ref="F414">_xlfn.IFS(H414=0,"Alta sin facturar",H414&gt;2,"Cliente",H414&gt;0,"Cliente nuevo")</f>
        <v>Cliente nuevo</v>
      </c>
      <c r="G414" s="1"/>
      <c r="H414" s="1">
        <f t="shared" si="47"/>
        <v>2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89">
        <v>0</v>
      </c>
      <c r="O414" s="89">
        <v>16148.359999999997</v>
      </c>
      <c r="P414" s="89">
        <v>1180.8799999999999</v>
      </c>
      <c r="Q414" s="54">
        <f t="shared" si="44"/>
        <v>17329.239999999998</v>
      </c>
      <c r="R414" s="89">
        <v>2491.6799999999998</v>
      </c>
      <c r="S414" s="92">
        <f t="shared" si="48"/>
        <v>2</v>
      </c>
      <c r="T414" s="59">
        <f t="shared" si="45"/>
        <v>14837.559999999998</v>
      </c>
      <c r="U414" s="60">
        <f t="shared" si="46"/>
        <v>0.14378472454648905</v>
      </c>
      <c r="V414" s="59" t="str">
        <f t="array" ref="V414">_xlfn.IFS(S414=0,"Alta sin facturar",S414&gt;2,"Cliente",S414&gt;0,"Cliente nuevo")</f>
        <v>Cliente nuevo</v>
      </c>
      <c r="W414" s="59" t="str">
        <f t="shared" si="49"/>
        <v>Ha pagado</v>
      </c>
      <c r="X414" s="3"/>
      <c r="Y414" s="3"/>
      <c r="Z414" s="3"/>
      <c r="AA414" s="3"/>
      <c r="AB414" s="3"/>
      <c r="AC414" s="3"/>
      <c r="AD414" s="3"/>
      <c r="AE414" s="3"/>
      <c r="AG414"/>
      <c r="AH414"/>
      <c r="AI414"/>
      <c r="AJ414"/>
      <c r="AK414"/>
      <c r="AL414"/>
      <c r="AM414"/>
      <c r="AN414"/>
    </row>
    <row r="415" spans="1:40" x14ac:dyDescent="0.25">
      <c r="A415" s="6">
        <v>44698</v>
      </c>
      <c r="B415" t="str">
        <f t="shared" si="43"/>
        <v>Mayo</v>
      </c>
      <c r="C415" s="1" t="s">
        <v>102</v>
      </c>
      <c r="D415" s="58" t="str">
        <f>VLOOKUP(Datos!$C415,$AQ$2:$AR$41,2,0)</f>
        <v>Sur</v>
      </c>
      <c r="E415" s="1">
        <v>23495</v>
      </c>
      <c r="F415" s="1" t="str">
        <f t="array" ref="F415">_xlfn.IFS(H415=0,"Alta sin facturar",H415&gt;2,"Cliente",H415&gt;0,"Cliente nuevo")</f>
        <v>Cliente</v>
      </c>
      <c r="G415" s="1"/>
      <c r="H415" s="1">
        <f t="shared" si="47"/>
        <v>4</v>
      </c>
      <c r="I415" s="2">
        <v>0</v>
      </c>
      <c r="J415" s="2">
        <v>0</v>
      </c>
      <c r="K415" s="2">
        <v>0</v>
      </c>
      <c r="L415" s="2">
        <v>0</v>
      </c>
      <c r="M415" s="2">
        <v>1784.08</v>
      </c>
      <c r="N415" s="89">
        <v>3177.24</v>
      </c>
      <c r="O415" s="89">
        <v>3424.32</v>
      </c>
      <c r="P415" s="89">
        <v>4194.5599999999995</v>
      </c>
      <c r="Q415" s="54">
        <f t="shared" si="44"/>
        <v>12580.199999999999</v>
      </c>
      <c r="R415" s="89">
        <v>1989.4</v>
      </c>
      <c r="S415" s="92">
        <f t="shared" si="48"/>
        <v>4</v>
      </c>
      <c r="T415" s="59">
        <f t="shared" si="45"/>
        <v>10590.8</v>
      </c>
      <c r="U415" s="60">
        <f t="shared" si="46"/>
        <v>0.15813739050253575</v>
      </c>
      <c r="V415" s="59" t="str">
        <f t="array" ref="V415">_xlfn.IFS(S415=0,"Alta sin facturar",S415&gt;2,"Cliente",S415&gt;0,"Cliente nuevo")</f>
        <v>Cliente</v>
      </c>
      <c r="W415" s="59" t="str">
        <f t="shared" si="49"/>
        <v>Ha pagado</v>
      </c>
      <c r="X415" s="3"/>
      <c r="Y415" s="3"/>
      <c r="Z415" s="3"/>
      <c r="AA415" s="3"/>
      <c r="AB415" s="3"/>
      <c r="AC415" s="3"/>
      <c r="AD415" s="3"/>
      <c r="AE415" s="3"/>
      <c r="AG415"/>
      <c r="AH415"/>
      <c r="AI415"/>
      <c r="AJ415"/>
      <c r="AK415"/>
      <c r="AL415"/>
      <c r="AM415"/>
      <c r="AN415"/>
    </row>
    <row r="416" spans="1:40" x14ac:dyDescent="0.25">
      <c r="A416" s="6">
        <v>44698</v>
      </c>
      <c r="B416" t="str">
        <f t="shared" si="43"/>
        <v>Mayo</v>
      </c>
      <c r="C416" s="1" t="s">
        <v>66</v>
      </c>
      <c r="D416" s="58" t="str">
        <f>VLOOKUP(Datos!$C416,$AQ$2:$AR$41,2,0)</f>
        <v>Sur</v>
      </c>
      <c r="E416" s="1">
        <v>23496</v>
      </c>
      <c r="F416" s="1" t="str">
        <f t="array" ref="F416">_xlfn.IFS(H416=0,"Alta sin facturar",H416&gt;2,"Cliente",H416&gt;0,"Cliente nuevo")</f>
        <v>Cliente nuevo</v>
      </c>
      <c r="G416" s="1"/>
      <c r="H416" s="1">
        <f t="shared" si="47"/>
        <v>2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89">
        <v>1351.4</v>
      </c>
      <c r="O416" s="89">
        <v>0</v>
      </c>
      <c r="P416" s="89">
        <v>4275.7599999999993</v>
      </c>
      <c r="Q416" s="54">
        <f t="shared" si="44"/>
        <v>5627.16</v>
      </c>
      <c r="R416" s="89">
        <v>0</v>
      </c>
      <c r="S416" s="92">
        <f t="shared" si="48"/>
        <v>2</v>
      </c>
      <c r="T416" s="59">
        <f t="shared" si="45"/>
        <v>5627.16</v>
      </c>
      <c r="U416" s="60">
        <f t="shared" si="46"/>
        <v>0</v>
      </c>
      <c r="V416" s="59" t="str">
        <f t="array" ref="V416">_xlfn.IFS(S416=0,"Alta sin facturar",S416&gt;2,"Cliente",S416&gt;0,"Cliente nuevo")</f>
        <v>Cliente nuevo</v>
      </c>
      <c r="W416" s="59" t="str">
        <f t="shared" si="49"/>
        <v>Ha pagado</v>
      </c>
      <c r="X416" s="3"/>
      <c r="Y416" s="3"/>
      <c r="Z416" s="3"/>
      <c r="AA416" s="3"/>
      <c r="AB416" s="3"/>
      <c r="AC416" s="3"/>
      <c r="AD416" s="3"/>
      <c r="AE416" s="3"/>
      <c r="AG416"/>
      <c r="AH416"/>
      <c r="AI416"/>
      <c r="AJ416"/>
      <c r="AK416"/>
      <c r="AL416"/>
      <c r="AM416"/>
      <c r="AN416"/>
    </row>
    <row r="417" spans="1:40" x14ac:dyDescent="0.25">
      <c r="A417" s="6">
        <v>44698</v>
      </c>
      <c r="B417" t="str">
        <f t="shared" si="43"/>
        <v>Mayo</v>
      </c>
      <c r="C417" s="1" t="s">
        <v>97</v>
      </c>
      <c r="D417" s="58" t="str">
        <f>VLOOKUP(Datos!$C417,$AQ$2:$AR$41,2,0)</f>
        <v>Centro</v>
      </c>
      <c r="E417" s="1">
        <v>23497</v>
      </c>
      <c r="F417" s="1" t="str">
        <f t="array" ref="F417">_xlfn.IFS(H417=0,"Alta sin facturar",H417&gt;2,"Cliente",H417&gt;0,"Cliente nuevo")</f>
        <v>Alta sin facturar</v>
      </c>
      <c r="G417" s="1"/>
      <c r="H417" s="1">
        <f t="shared" si="47"/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89">
        <v>0</v>
      </c>
      <c r="O417" s="89">
        <v>0</v>
      </c>
      <c r="P417" s="89">
        <v>0</v>
      </c>
      <c r="Q417" s="54">
        <f t="shared" si="44"/>
        <v>0</v>
      </c>
      <c r="R417" s="89"/>
      <c r="S417" s="92">
        <f t="shared" si="48"/>
        <v>0</v>
      </c>
      <c r="T417" s="59">
        <f t="shared" si="45"/>
        <v>0</v>
      </c>
      <c r="U417" s="60">
        <f t="shared" si="46"/>
        <v>0</v>
      </c>
      <c r="V417" s="59" t="str">
        <f t="array" ref="V417">_xlfn.IFS(S417=0,"Alta sin facturar",S417&gt;2,"Cliente",S417&gt;0,"Cliente nuevo")</f>
        <v>Alta sin facturar</v>
      </c>
      <c r="W417" s="59" t="str">
        <f t="shared" si="49"/>
        <v>Sin pago</v>
      </c>
      <c r="X417" s="3"/>
      <c r="Y417" s="3"/>
      <c r="Z417" s="3"/>
      <c r="AA417" s="3"/>
      <c r="AB417" s="3"/>
      <c r="AC417" s="3"/>
      <c r="AD417" s="3"/>
      <c r="AE417" s="3"/>
      <c r="AG417"/>
      <c r="AH417"/>
      <c r="AI417"/>
      <c r="AJ417"/>
      <c r="AK417"/>
      <c r="AL417"/>
      <c r="AM417"/>
      <c r="AN417"/>
    </row>
    <row r="418" spans="1:40" x14ac:dyDescent="0.25">
      <c r="A418" s="6">
        <v>44698</v>
      </c>
      <c r="B418" t="str">
        <f t="shared" si="43"/>
        <v>Mayo</v>
      </c>
      <c r="C418" s="1" t="s">
        <v>97</v>
      </c>
      <c r="D418" s="58" t="str">
        <f>VLOOKUP(Datos!$C418,$AQ$2:$AR$41,2,0)</f>
        <v>Centro</v>
      </c>
      <c r="E418" s="1">
        <v>23498</v>
      </c>
      <c r="F418" s="1" t="str">
        <f t="array" ref="F418">_xlfn.IFS(H418=0,"Alta sin facturar",H418&gt;2,"Cliente",H418&gt;0,"Cliente nuevo")</f>
        <v>Alta sin facturar</v>
      </c>
      <c r="G418" s="1"/>
      <c r="H418" s="1">
        <f t="shared" si="47"/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89">
        <v>0</v>
      </c>
      <c r="O418" s="89">
        <v>0</v>
      </c>
      <c r="P418" s="89">
        <v>0</v>
      </c>
      <c r="Q418" s="54">
        <f t="shared" si="44"/>
        <v>0</v>
      </c>
      <c r="R418" s="89"/>
      <c r="S418" s="92">
        <f t="shared" si="48"/>
        <v>0</v>
      </c>
      <c r="T418" s="59">
        <f t="shared" si="45"/>
        <v>0</v>
      </c>
      <c r="U418" s="60">
        <f t="shared" si="46"/>
        <v>0</v>
      </c>
      <c r="V418" s="59" t="str">
        <f t="array" ref="V418">_xlfn.IFS(S418=0,"Alta sin facturar",S418&gt;2,"Cliente",S418&gt;0,"Cliente nuevo")</f>
        <v>Alta sin facturar</v>
      </c>
      <c r="W418" s="59" t="str">
        <f t="shared" si="49"/>
        <v>Sin pago</v>
      </c>
      <c r="X418" s="3"/>
      <c r="Y418" s="3"/>
      <c r="Z418" s="3"/>
      <c r="AA418" s="3"/>
      <c r="AB418" s="3"/>
      <c r="AC418" s="3"/>
      <c r="AD418" s="3"/>
      <c r="AE418" s="3"/>
      <c r="AG418"/>
      <c r="AH418"/>
      <c r="AI418"/>
      <c r="AJ418"/>
      <c r="AK418"/>
      <c r="AL418"/>
      <c r="AM418"/>
      <c r="AN418"/>
    </row>
    <row r="419" spans="1:40" x14ac:dyDescent="0.25">
      <c r="A419" s="6">
        <v>44698</v>
      </c>
      <c r="B419" t="str">
        <f t="shared" si="43"/>
        <v>Mayo</v>
      </c>
      <c r="C419" s="1" t="s">
        <v>60</v>
      </c>
      <c r="D419" s="58" t="str">
        <f>VLOOKUP(Datos!$C419,$AQ$2:$AR$41,2,0)</f>
        <v>Norte</v>
      </c>
      <c r="E419" s="1">
        <v>23499</v>
      </c>
      <c r="F419" s="1" t="str">
        <f t="array" ref="F419">_xlfn.IFS(H419=0,"Alta sin facturar",H419&gt;2,"Cliente",H419&gt;0,"Cliente nuevo")</f>
        <v>Cliente nuevo</v>
      </c>
      <c r="G419" s="1"/>
      <c r="H419" s="1">
        <f t="shared" si="47"/>
        <v>2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89">
        <v>1046.32</v>
      </c>
      <c r="O419" s="89">
        <v>0</v>
      </c>
      <c r="P419" s="89">
        <v>95.11999999999999</v>
      </c>
      <c r="Q419" s="54">
        <f t="shared" si="44"/>
        <v>1141.4399999999998</v>
      </c>
      <c r="R419" s="89">
        <v>0</v>
      </c>
      <c r="S419" s="92">
        <f t="shared" si="48"/>
        <v>2</v>
      </c>
      <c r="T419" s="59">
        <f t="shared" si="45"/>
        <v>1141.4399999999998</v>
      </c>
      <c r="U419" s="60">
        <f t="shared" si="46"/>
        <v>0</v>
      </c>
      <c r="V419" s="59" t="str">
        <f t="array" ref="V419">_xlfn.IFS(S419=0,"Alta sin facturar",S419&gt;2,"Cliente",S419&gt;0,"Cliente nuevo")</f>
        <v>Cliente nuevo</v>
      </c>
      <c r="W419" s="59" t="str">
        <f t="shared" si="49"/>
        <v>Ha pagado</v>
      </c>
      <c r="X419" s="3"/>
      <c r="Y419" s="3"/>
      <c r="Z419" s="3"/>
      <c r="AA419" s="3"/>
      <c r="AB419" s="3"/>
      <c r="AC419" s="3"/>
      <c r="AD419" s="3"/>
      <c r="AE419" s="3"/>
      <c r="AG419"/>
      <c r="AH419"/>
      <c r="AI419"/>
      <c r="AJ419"/>
      <c r="AK419"/>
      <c r="AL419"/>
      <c r="AM419"/>
      <c r="AN419"/>
    </row>
    <row r="420" spans="1:40" x14ac:dyDescent="0.25">
      <c r="A420" s="6">
        <v>44700</v>
      </c>
      <c r="B420" t="str">
        <f t="shared" si="43"/>
        <v>Mayo</v>
      </c>
      <c r="C420" s="1" t="s">
        <v>60</v>
      </c>
      <c r="D420" s="58" t="str">
        <f>VLOOKUP(Datos!$C420,$AQ$2:$AR$41,2,0)</f>
        <v>Norte</v>
      </c>
      <c r="E420" s="1">
        <v>23500</v>
      </c>
      <c r="F420" s="1" t="str">
        <f t="array" ref="F420">_xlfn.IFS(H420=0,"Alta sin facturar",H420&gt;2,"Cliente",H420&gt;0,"Cliente nuevo")</f>
        <v>Cliente</v>
      </c>
      <c r="G420" s="1"/>
      <c r="H420" s="1">
        <f t="shared" si="47"/>
        <v>3</v>
      </c>
      <c r="I420" s="2">
        <v>0</v>
      </c>
      <c r="J420" s="2">
        <v>0</v>
      </c>
      <c r="K420" s="2">
        <v>0</v>
      </c>
      <c r="L420" s="2">
        <v>0</v>
      </c>
      <c r="M420" s="2">
        <v>519.67999999999995</v>
      </c>
      <c r="N420" s="89">
        <v>1659.96</v>
      </c>
      <c r="O420" s="89">
        <v>219.23999999999995</v>
      </c>
      <c r="P420" s="89">
        <v>0</v>
      </c>
      <c r="Q420" s="54">
        <f t="shared" si="44"/>
        <v>2398.8799999999997</v>
      </c>
      <c r="R420" s="89">
        <v>316.68</v>
      </c>
      <c r="S420" s="92">
        <f t="shared" si="48"/>
        <v>3</v>
      </c>
      <c r="T420" s="59">
        <f t="shared" si="45"/>
        <v>2082.1999999999998</v>
      </c>
      <c r="U420" s="60">
        <f t="shared" si="46"/>
        <v>0.13201160541586077</v>
      </c>
      <c r="V420" s="59" t="str">
        <f t="array" ref="V420">_xlfn.IFS(S420=0,"Alta sin facturar",S420&gt;2,"Cliente",S420&gt;0,"Cliente nuevo")</f>
        <v>Cliente</v>
      </c>
      <c r="W420" s="59" t="str">
        <f t="shared" si="49"/>
        <v>Ha pagado</v>
      </c>
      <c r="X420" s="3"/>
      <c r="Y420" s="3"/>
      <c r="Z420" s="3"/>
      <c r="AA420" s="3"/>
      <c r="AB420" s="3"/>
      <c r="AC420" s="3"/>
      <c r="AD420" s="3"/>
      <c r="AE420" s="3"/>
      <c r="AG420"/>
      <c r="AH420"/>
      <c r="AI420"/>
      <c r="AJ420"/>
      <c r="AK420"/>
      <c r="AL420"/>
      <c r="AM420"/>
      <c r="AN420"/>
    </row>
    <row r="421" spans="1:40" x14ac:dyDescent="0.25">
      <c r="A421" s="6">
        <v>44700</v>
      </c>
      <c r="B421" t="str">
        <f t="shared" si="43"/>
        <v>Mayo</v>
      </c>
      <c r="C421" s="1" t="s">
        <v>32</v>
      </c>
      <c r="D421" s="58" t="str">
        <f>VLOOKUP(Datos!$C421,$AQ$2:$AR$41,2,0)</f>
        <v>Norte</v>
      </c>
      <c r="E421" s="1">
        <v>23501</v>
      </c>
      <c r="F421" s="1" t="str">
        <f t="array" ref="F421">_xlfn.IFS(H421=0,"Alta sin facturar",H421&gt;2,"Cliente",H421&gt;0,"Cliente nuevo")</f>
        <v>Cliente nuevo</v>
      </c>
      <c r="G421" s="1"/>
      <c r="H421" s="1">
        <f t="shared" si="47"/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89">
        <v>6383.48</v>
      </c>
      <c r="O421" s="89">
        <v>0</v>
      </c>
      <c r="P421" s="89">
        <v>0</v>
      </c>
      <c r="Q421" s="54">
        <f t="shared" si="44"/>
        <v>6383.48</v>
      </c>
      <c r="R421" s="89">
        <v>6383.48</v>
      </c>
      <c r="S421" s="92">
        <f t="shared" si="48"/>
        <v>1</v>
      </c>
      <c r="T421" s="59">
        <f t="shared" si="45"/>
        <v>0</v>
      </c>
      <c r="U421" s="60">
        <f t="shared" si="46"/>
        <v>1</v>
      </c>
      <c r="V421" s="59" t="str">
        <f t="array" ref="V421">_xlfn.IFS(S421=0,"Alta sin facturar",S421&gt;2,"Cliente",S421&gt;0,"Cliente nuevo")</f>
        <v>Cliente nuevo</v>
      </c>
      <c r="W421" s="59" t="str">
        <f t="shared" si="49"/>
        <v>Sin pago</v>
      </c>
      <c r="X421" s="3"/>
      <c r="Y421" s="3"/>
      <c r="Z421" s="3"/>
      <c r="AA421" s="3"/>
      <c r="AB421" s="3"/>
      <c r="AC421" s="3"/>
      <c r="AD421" s="3"/>
      <c r="AE421" s="3"/>
      <c r="AG421"/>
      <c r="AH421"/>
      <c r="AI421"/>
      <c r="AJ421"/>
      <c r="AK421"/>
      <c r="AL421"/>
      <c r="AM421"/>
      <c r="AN421"/>
    </row>
    <row r="422" spans="1:40" x14ac:dyDescent="0.25">
      <c r="A422" s="6">
        <v>44700</v>
      </c>
      <c r="B422" t="str">
        <f t="shared" si="43"/>
        <v>Mayo</v>
      </c>
      <c r="C422" s="1" t="s">
        <v>66</v>
      </c>
      <c r="D422" s="58" t="str">
        <f>VLOOKUP(Datos!$C422,$AQ$2:$AR$41,2,0)</f>
        <v>Sur</v>
      </c>
      <c r="E422" s="1">
        <v>23502</v>
      </c>
      <c r="F422" s="1" t="str">
        <f t="array" ref="F422">_xlfn.IFS(H422=0,"Alta sin facturar",H422&gt;2,"Cliente",H422&gt;0,"Cliente nuevo")</f>
        <v>Cliente nuevo</v>
      </c>
      <c r="G422" s="1"/>
      <c r="H422" s="1">
        <f t="shared" si="47"/>
        <v>2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89">
        <v>2078.7200000000003</v>
      </c>
      <c r="O422" s="89">
        <v>0</v>
      </c>
      <c r="P422" s="89">
        <v>4964.7999999999993</v>
      </c>
      <c r="Q422" s="54">
        <f t="shared" si="44"/>
        <v>7043.5199999999995</v>
      </c>
      <c r="R422" s="89">
        <v>1102</v>
      </c>
      <c r="S422" s="92">
        <f t="shared" si="48"/>
        <v>2</v>
      </c>
      <c r="T422" s="59">
        <f t="shared" si="45"/>
        <v>5941.5199999999995</v>
      </c>
      <c r="U422" s="60">
        <f t="shared" si="46"/>
        <v>0.15645586297760211</v>
      </c>
      <c r="V422" s="59" t="str">
        <f t="array" ref="V422">_xlfn.IFS(S422=0,"Alta sin facturar",S422&gt;2,"Cliente",S422&gt;0,"Cliente nuevo")</f>
        <v>Cliente nuevo</v>
      </c>
      <c r="W422" s="59" t="str">
        <f t="shared" si="49"/>
        <v>Ha pagado</v>
      </c>
      <c r="X422" s="3"/>
      <c r="Y422" s="3"/>
      <c r="Z422" s="3"/>
      <c r="AA422" s="3"/>
      <c r="AB422" s="3"/>
      <c r="AC422" s="3"/>
      <c r="AD422" s="3"/>
      <c r="AE422" s="3"/>
      <c r="AG422"/>
      <c r="AH422"/>
      <c r="AI422"/>
      <c r="AJ422"/>
      <c r="AK422"/>
      <c r="AL422"/>
      <c r="AM422"/>
      <c r="AN422"/>
    </row>
    <row r="423" spans="1:40" x14ac:dyDescent="0.25">
      <c r="A423" s="6">
        <v>44700</v>
      </c>
      <c r="B423" t="str">
        <f t="shared" si="43"/>
        <v>Mayo</v>
      </c>
      <c r="C423" s="1" t="s">
        <v>64</v>
      </c>
      <c r="D423" s="58" t="str">
        <f>VLOOKUP(Datos!$C423,$AQ$2:$AR$41,2,0)</f>
        <v>Norte</v>
      </c>
      <c r="E423" s="1">
        <v>23503</v>
      </c>
      <c r="F423" s="1" t="str">
        <f t="array" ref="F423">_xlfn.IFS(H423=0,"Alta sin facturar",H423&gt;2,"Cliente",H423&gt;0,"Cliente nuevo")</f>
        <v>Cliente</v>
      </c>
      <c r="G423" s="1"/>
      <c r="H423" s="1">
        <f t="shared" si="47"/>
        <v>3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89">
        <v>1691.28</v>
      </c>
      <c r="O423" s="89">
        <v>2924.36</v>
      </c>
      <c r="P423" s="89">
        <v>3386.04</v>
      </c>
      <c r="Q423" s="54">
        <f t="shared" si="44"/>
        <v>8001.68</v>
      </c>
      <c r="R423" s="89">
        <v>2924.36</v>
      </c>
      <c r="S423" s="92">
        <f t="shared" si="48"/>
        <v>3</v>
      </c>
      <c r="T423" s="59">
        <f t="shared" si="45"/>
        <v>5077.32</v>
      </c>
      <c r="U423" s="60">
        <f t="shared" si="46"/>
        <v>0.36546825166714991</v>
      </c>
      <c r="V423" s="59" t="str">
        <f t="array" ref="V423">_xlfn.IFS(S423=0,"Alta sin facturar",S423&gt;2,"Cliente",S423&gt;0,"Cliente nuevo")</f>
        <v>Cliente</v>
      </c>
      <c r="W423" s="59" t="str">
        <f t="shared" si="49"/>
        <v>Ha pagado</v>
      </c>
      <c r="X423" s="3"/>
      <c r="Y423" s="3"/>
      <c r="Z423" s="3"/>
      <c r="AA423" s="3"/>
      <c r="AB423" s="3"/>
      <c r="AC423" s="3"/>
      <c r="AD423" s="3"/>
      <c r="AE423" s="3"/>
      <c r="AG423"/>
      <c r="AH423"/>
      <c r="AI423"/>
      <c r="AJ423"/>
      <c r="AK423"/>
      <c r="AL423"/>
      <c r="AM423"/>
      <c r="AN423"/>
    </row>
    <row r="424" spans="1:40" x14ac:dyDescent="0.25">
      <c r="A424" s="6">
        <v>44700</v>
      </c>
      <c r="B424" t="str">
        <f t="shared" si="43"/>
        <v>Mayo</v>
      </c>
      <c r="C424" s="1" t="s">
        <v>102</v>
      </c>
      <c r="D424" s="58" t="str">
        <f>VLOOKUP(Datos!$C424,$AQ$2:$AR$41,2,0)</f>
        <v>Sur</v>
      </c>
      <c r="E424" s="1">
        <v>23504</v>
      </c>
      <c r="F424" s="1" t="str">
        <f t="array" ref="F424">_xlfn.IFS(H424=0,"Alta sin facturar",H424&gt;2,"Cliente",H424&gt;0,"Cliente nuevo")</f>
        <v>Cliente</v>
      </c>
      <c r="G424" s="1"/>
      <c r="H424" s="1">
        <f t="shared" si="47"/>
        <v>3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89">
        <v>4971.7599999999993</v>
      </c>
      <c r="O424" s="89">
        <v>4997.28</v>
      </c>
      <c r="P424" s="89">
        <v>910.59999999999991</v>
      </c>
      <c r="Q424" s="54">
        <f t="shared" si="44"/>
        <v>10879.64</v>
      </c>
      <c r="R424" s="89">
        <v>0</v>
      </c>
      <c r="S424" s="92">
        <f t="shared" si="48"/>
        <v>3</v>
      </c>
      <c r="T424" s="59">
        <f t="shared" si="45"/>
        <v>10879.64</v>
      </c>
      <c r="U424" s="60">
        <f t="shared" si="46"/>
        <v>0</v>
      </c>
      <c r="V424" s="59" t="str">
        <f t="array" ref="V424">_xlfn.IFS(S424=0,"Alta sin facturar",S424&gt;2,"Cliente",S424&gt;0,"Cliente nuevo")</f>
        <v>Cliente</v>
      </c>
      <c r="W424" s="59" t="str">
        <f t="shared" si="49"/>
        <v>Ha pagado</v>
      </c>
      <c r="X424" s="3"/>
      <c r="Y424" s="3"/>
      <c r="Z424" s="3"/>
      <c r="AA424" s="3"/>
      <c r="AB424" s="3"/>
      <c r="AC424" s="3"/>
      <c r="AD424" s="3"/>
      <c r="AE424" s="3"/>
      <c r="AG424"/>
      <c r="AH424"/>
      <c r="AI424"/>
      <c r="AJ424"/>
      <c r="AK424"/>
      <c r="AL424"/>
      <c r="AM424"/>
      <c r="AN424"/>
    </row>
    <row r="425" spans="1:40" x14ac:dyDescent="0.25">
      <c r="A425" s="6">
        <v>44701</v>
      </c>
      <c r="B425" t="str">
        <f t="shared" si="43"/>
        <v>Mayo</v>
      </c>
      <c r="C425" s="1" t="s">
        <v>89</v>
      </c>
      <c r="D425" s="58" t="str">
        <f>VLOOKUP(Datos!$C425,$AQ$2:$AR$41,2,0)</f>
        <v>Centro</v>
      </c>
      <c r="E425" s="1">
        <v>23505</v>
      </c>
      <c r="F425" s="1" t="str">
        <f t="array" ref="F425">_xlfn.IFS(H425=0,"Alta sin facturar",H425&gt;2,"Cliente",H425&gt;0,"Cliente nuevo")</f>
        <v>Cliente nuevo</v>
      </c>
      <c r="G425" s="1"/>
      <c r="H425" s="1">
        <f t="shared" si="47"/>
        <v>1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89">
        <v>1184.3599999999999</v>
      </c>
      <c r="O425" s="89">
        <v>0</v>
      </c>
      <c r="P425" s="89">
        <v>0</v>
      </c>
      <c r="Q425" s="54">
        <f t="shared" si="44"/>
        <v>1184.3599999999999</v>
      </c>
      <c r="R425" s="89">
        <v>0</v>
      </c>
      <c r="S425" s="92">
        <f t="shared" si="48"/>
        <v>1</v>
      </c>
      <c r="T425" s="59">
        <f t="shared" si="45"/>
        <v>1184.3599999999999</v>
      </c>
      <c r="U425" s="60">
        <f t="shared" si="46"/>
        <v>0</v>
      </c>
      <c r="V425" s="59" t="str">
        <f t="array" ref="V425">_xlfn.IFS(S425=0,"Alta sin facturar",S425&gt;2,"Cliente",S425&gt;0,"Cliente nuevo")</f>
        <v>Cliente nuevo</v>
      </c>
      <c r="W425" s="59" t="str">
        <f t="shared" si="49"/>
        <v>Ha pagado</v>
      </c>
      <c r="X425" s="3"/>
      <c r="Y425" s="3"/>
      <c r="Z425" s="3"/>
      <c r="AA425" s="3"/>
      <c r="AB425" s="3"/>
      <c r="AC425" s="3"/>
      <c r="AD425" s="3"/>
      <c r="AE425" s="3"/>
      <c r="AG425"/>
      <c r="AH425"/>
      <c r="AI425"/>
      <c r="AJ425"/>
      <c r="AK425"/>
      <c r="AL425"/>
      <c r="AM425"/>
      <c r="AN425"/>
    </row>
    <row r="426" spans="1:40" x14ac:dyDescent="0.25">
      <c r="A426" s="6">
        <v>44701</v>
      </c>
      <c r="B426" t="str">
        <f t="shared" si="43"/>
        <v>Mayo</v>
      </c>
      <c r="C426" s="1" t="s">
        <v>32</v>
      </c>
      <c r="D426" s="58" t="str">
        <f>VLOOKUP(Datos!$C426,$AQ$2:$AR$41,2,0)</f>
        <v>Norte</v>
      </c>
      <c r="E426" s="1">
        <v>23506</v>
      </c>
      <c r="F426" s="1" t="str">
        <f t="array" ref="F426">_xlfn.IFS(H426=0,"Alta sin facturar",H426&gt;2,"Cliente",H426&gt;0,"Cliente nuevo")</f>
        <v>Cliente</v>
      </c>
      <c r="G426" s="1"/>
      <c r="H426" s="1">
        <f t="shared" si="47"/>
        <v>3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89">
        <v>450.08</v>
      </c>
      <c r="O426" s="89">
        <v>1742.32</v>
      </c>
      <c r="P426" s="89">
        <v>856.07999999999993</v>
      </c>
      <c r="Q426" s="54">
        <f t="shared" si="44"/>
        <v>3048.48</v>
      </c>
      <c r="R426" s="89">
        <v>1742.32</v>
      </c>
      <c r="S426" s="92">
        <f t="shared" si="48"/>
        <v>3</v>
      </c>
      <c r="T426" s="59">
        <f t="shared" si="45"/>
        <v>1306.1600000000001</v>
      </c>
      <c r="U426" s="60">
        <f t="shared" si="46"/>
        <v>0.57153729071537285</v>
      </c>
      <c r="V426" s="59" t="str">
        <f t="array" ref="V426">_xlfn.IFS(S426=0,"Alta sin facturar",S426&gt;2,"Cliente",S426&gt;0,"Cliente nuevo")</f>
        <v>Cliente</v>
      </c>
      <c r="W426" s="59" t="str">
        <f t="shared" si="49"/>
        <v>Ha pagado</v>
      </c>
      <c r="X426" s="3"/>
      <c r="Y426" s="3"/>
      <c r="Z426" s="3"/>
      <c r="AA426" s="3"/>
      <c r="AB426" s="3"/>
      <c r="AC426" s="3"/>
      <c r="AD426" s="3"/>
      <c r="AE426" s="3"/>
      <c r="AG426"/>
      <c r="AH426"/>
      <c r="AI426"/>
      <c r="AJ426"/>
      <c r="AK426"/>
      <c r="AL426"/>
      <c r="AM426"/>
      <c r="AN426"/>
    </row>
    <row r="427" spans="1:40" x14ac:dyDescent="0.25">
      <c r="A427" s="6">
        <v>44701</v>
      </c>
      <c r="B427" t="str">
        <f t="shared" si="43"/>
        <v>Mayo</v>
      </c>
      <c r="C427" s="1" t="s">
        <v>60</v>
      </c>
      <c r="D427" s="58" t="str">
        <f>VLOOKUP(Datos!$C427,$AQ$2:$AR$41,2,0)</f>
        <v>Norte</v>
      </c>
      <c r="E427" s="1">
        <v>23507</v>
      </c>
      <c r="F427" s="1" t="str">
        <f t="array" ref="F427">_xlfn.IFS(H427=0,"Alta sin facturar",H427&gt;2,"Cliente",H427&gt;0,"Cliente nuevo")</f>
        <v>Cliente</v>
      </c>
      <c r="G427" s="1"/>
      <c r="H427" s="1">
        <f t="shared" si="47"/>
        <v>3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89">
        <v>5101.68</v>
      </c>
      <c r="O427" s="89">
        <v>3020.6400000000003</v>
      </c>
      <c r="P427" s="89">
        <v>5616.7199999999984</v>
      </c>
      <c r="Q427" s="54">
        <f t="shared" si="44"/>
        <v>13739.039999999999</v>
      </c>
      <c r="R427" s="89">
        <v>5242.04</v>
      </c>
      <c r="S427" s="92">
        <f t="shared" si="48"/>
        <v>3</v>
      </c>
      <c r="T427" s="59">
        <f t="shared" si="45"/>
        <v>8497</v>
      </c>
      <c r="U427" s="60">
        <f t="shared" si="46"/>
        <v>0.38154339750084432</v>
      </c>
      <c r="V427" s="59" t="str">
        <f t="array" ref="V427">_xlfn.IFS(S427=0,"Alta sin facturar",S427&gt;2,"Cliente",S427&gt;0,"Cliente nuevo")</f>
        <v>Cliente</v>
      </c>
      <c r="W427" s="59" t="str">
        <f t="shared" si="49"/>
        <v>Ha pagado</v>
      </c>
      <c r="X427" s="3"/>
      <c r="Y427" s="3"/>
      <c r="Z427" s="3"/>
      <c r="AA427" s="3"/>
      <c r="AB427" s="3"/>
      <c r="AC427" s="3"/>
      <c r="AD427" s="3"/>
      <c r="AE427" s="3"/>
      <c r="AG427"/>
      <c r="AH427"/>
      <c r="AI427"/>
      <c r="AJ427"/>
      <c r="AK427"/>
      <c r="AL427"/>
      <c r="AM427"/>
      <c r="AN427"/>
    </row>
    <row r="428" spans="1:40" x14ac:dyDescent="0.25">
      <c r="A428" s="6">
        <v>44701</v>
      </c>
      <c r="B428" t="str">
        <f t="shared" si="43"/>
        <v>Mayo</v>
      </c>
      <c r="C428" s="1" t="s">
        <v>41</v>
      </c>
      <c r="D428" s="58" t="str">
        <f>VLOOKUP(Datos!$C428,$AQ$2:$AR$41,2,0)</f>
        <v>Centro</v>
      </c>
      <c r="E428" s="1">
        <v>23508</v>
      </c>
      <c r="F428" s="1" t="str">
        <f t="array" ref="F428">_xlfn.IFS(H428=0,"Alta sin facturar",H428&gt;2,"Cliente",H428&gt;0,"Cliente nuevo")</f>
        <v>Cliente nuevo</v>
      </c>
      <c r="G428" s="1"/>
      <c r="H428" s="1">
        <f t="shared" si="47"/>
        <v>1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89">
        <v>1028.92</v>
      </c>
      <c r="O428" s="89">
        <v>0</v>
      </c>
      <c r="P428" s="89">
        <v>0</v>
      </c>
      <c r="Q428" s="54">
        <f t="shared" si="44"/>
        <v>1028.92</v>
      </c>
      <c r="R428" s="89">
        <v>0</v>
      </c>
      <c r="S428" s="92">
        <f t="shared" si="48"/>
        <v>1</v>
      </c>
      <c r="T428" s="59">
        <f t="shared" si="45"/>
        <v>1028.92</v>
      </c>
      <c r="U428" s="60">
        <f t="shared" si="46"/>
        <v>0</v>
      </c>
      <c r="V428" s="59" t="str">
        <f t="array" ref="V428">_xlfn.IFS(S428=0,"Alta sin facturar",S428&gt;2,"Cliente",S428&gt;0,"Cliente nuevo")</f>
        <v>Cliente nuevo</v>
      </c>
      <c r="W428" s="59" t="str">
        <f t="shared" si="49"/>
        <v>Ha pagado</v>
      </c>
      <c r="X428" s="3"/>
      <c r="Y428" s="3"/>
      <c r="Z428" s="3"/>
      <c r="AA428" s="3"/>
      <c r="AB428" s="3"/>
      <c r="AC428" s="3"/>
      <c r="AD428" s="3"/>
      <c r="AE428" s="3"/>
      <c r="AG428"/>
      <c r="AH428"/>
      <c r="AI428"/>
      <c r="AJ428"/>
      <c r="AK428"/>
      <c r="AL428"/>
      <c r="AM428"/>
      <c r="AN428"/>
    </row>
    <row r="429" spans="1:40" x14ac:dyDescent="0.25">
      <c r="A429" s="6">
        <v>44702</v>
      </c>
      <c r="B429" t="str">
        <f t="shared" si="43"/>
        <v>Mayo</v>
      </c>
      <c r="C429" s="1" t="s">
        <v>39</v>
      </c>
      <c r="D429" s="58" t="str">
        <f>VLOOKUP(Datos!$C429,$AQ$2:$AR$41,2,0)</f>
        <v>Sur</v>
      </c>
      <c r="E429" s="1">
        <v>23509</v>
      </c>
      <c r="F429" s="1" t="str">
        <f t="array" ref="F429">_xlfn.IFS(H429=0,"Alta sin facturar",H429&gt;2,"Cliente",H429&gt;0,"Cliente nuevo")</f>
        <v>Cliente nuevo</v>
      </c>
      <c r="G429" s="1"/>
      <c r="H429" s="1">
        <f t="shared" si="47"/>
        <v>2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89">
        <v>309.72000000000003</v>
      </c>
      <c r="O429" s="89">
        <v>0</v>
      </c>
      <c r="P429" s="89">
        <v>270.27999999999997</v>
      </c>
      <c r="Q429" s="54">
        <f t="shared" si="44"/>
        <v>580</v>
      </c>
      <c r="R429" s="89">
        <v>0</v>
      </c>
      <c r="S429" s="92">
        <f t="shared" si="48"/>
        <v>2</v>
      </c>
      <c r="T429" s="59">
        <f t="shared" si="45"/>
        <v>580</v>
      </c>
      <c r="U429" s="60">
        <f t="shared" si="46"/>
        <v>0</v>
      </c>
      <c r="V429" s="59" t="str">
        <f t="array" ref="V429">_xlfn.IFS(S429=0,"Alta sin facturar",S429&gt;2,"Cliente",S429&gt;0,"Cliente nuevo")</f>
        <v>Cliente nuevo</v>
      </c>
      <c r="W429" s="59" t="str">
        <f t="shared" si="49"/>
        <v>Ha pagado</v>
      </c>
      <c r="X429" s="3"/>
      <c r="Y429" s="3"/>
      <c r="Z429" s="3"/>
      <c r="AA429" s="3"/>
      <c r="AB429" s="3"/>
      <c r="AC429" s="3"/>
      <c r="AD429" s="3"/>
      <c r="AE429" s="3"/>
      <c r="AG429"/>
      <c r="AH429"/>
      <c r="AI429"/>
      <c r="AJ429"/>
      <c r="AK429"/>
      <c r="AL429"/>
      <c r="AM429"/>
      <c r="AN429"/>
    </row>
    <row r="430" spans="1:40" x14ac:dyDescent="0.25">
      <c r="A430" s="6">
        <v>44702</v>
      </c>
      <c r="B430" t="str">
        <f t="shared" si="43"/>
        <v>Mayo</v>
      </c>
      <c r="C430" s="1" t="s">
        <v>75</v>
      </c>
      <c r="D430" s="58" t="str">
        <f>VLOOKUP(Datos!$C430,$AQ$2:$AR$41,2,0)</f>
        <v>Centro</v>
      </c>
      <c r="E430" s="1">
        <v>23510</v>
      </c>
      <c r="F430" s="1" t="str">
        <f t="array" ref="F430">_xlfn.IFS(H430=0,"Alta sin facturar",H430&gt;2,"Cliente",H430&gt;0,"Cliente nuevo")</f>
        <v>Alta sin facturar</v>
      </c>
      <c r="G430" s="1"/>
      <c r="H430" s="1">
        <f t="shared" si="47"/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89">
        <v>0</v>
      </c>
      <c r="O430" s="89">
        <v>0</v>
      </c>
      <c r="P430" s="89">
        <v>0</v>
      </c>
      <c r="Q430" s="54">
        <f t="shared" si="44"/>
        <v>0</v>
      </c>
      <c r="R430" s="89"/>
      <c r="S430" s="92">
        <f t="shared" si="48"/>
        <v>0</v>
      </c>
      <c r="T430" s="59">
        <f t="shared" si="45"/>
        <v>0</v>
      </c>
      <c r="U430" s="60">
        <f t="shared" si="46"/>
        <v>0</v>
      </c>
      <c r="V430" s="59" t="str">
        <f t="array" ref="V430">_xlfn.IFS(S430=0,"Alta sin facturar",S430&gt;2,"Cliente",S430&gt;0,"Cliente nuevo")</f>
        <v>Alta sin facturar</v>
      </c>
      <c r="W430" s="59" t="str">
        <f t="shared" si="49"/>
        <v>Sin pago</v>
      </c>
      <c r="X430" s="3"/>
      <c r="Y430" s="3"/>
      <c r="Z430" s="3"/>
      <c r="AA430" s="3"/>
      <c r="AB430" s="3"/>
      <c r="AC430" s="3"/>
      <c r="AD430" s="3"/>
      <c r="AE430" s="3"/>
      <c r="AG430"/>
      <c r="AH430"/>
      <c r="AI430"/>
      <c r="AJ430"/>
      <c r="AK430"/>
      <c r="AL430"/>
      <c r="AM430"/>
      <c r="AN430"/>
    </row>
    <row r="431" spans="1:40" x14ac:dyDescent="0.25">
      <c r="A431" s="6">
        <v>44704</v>
      </c>
      <c r="B431" t="str">
        <f t="shared" si="43"/>
        <v>Mayo</v>
      </c>
      <c r="C431" s="1" t="s">
        <v>41</v>
      </c>
      <c r="D431" s="58" t="str">
        <f>VLOOKUP(Datos!$C431,$AQ$2:$AR$41,2,0)</f>
        <v>Centro</v>
      </c>
      <c r="E431" s="1">
        <v>23511</v>
      </c>
      <c r="F431" s="1" t="str">
        <f t="array" ref="F431">_xlfn.IFS(H431=0,"Alta sin facturar",H431&gt;2,"Cliente",H431&gt;0,"Cliente nuevo")</f>
        <v>Cliente nuevo</v>
      </c>
      <c r="G431" s="1"/>
      <c r="H431" s="1">
        <f t="shared" si="47"/>
        <v>1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89">
        <v>986</v>
      </c>
      <c r="O431" s="89">
        <v>0</v>
      </c>
      <c r="P431" s="89">
        <v>0</v>
      </c>
      <c r="Q431" s="54">
        <f t="shared" si="44"/>
        <v>986</v>
      </c>
      <c r="R431" s="89">
        <v>0</v>
      </c>
      <c r="S431" s="92">
        <f t="shared" si="48"/>
        <v>1</v>
      </c>
      <c r="T431" s="59">
        <f t="shared" si="45"/>
        <v>986</v>
      </c>
      <c r="U431" s="60">
        <f t="shared" si="46"/>
        <v>0</v>
      </c>
      <c r="V431" s="59" t="str">
        <f t="array" ref="V431">_xlfn.IFS(S431=0,"Alta sin facturar",S431&gt;2,"Cliente",S431&gt;0,"Cliente nuevo")</f>
        <v>Cliente nuevo</v>
      </c>
      <c r="W431" s="59" t="str">
        <f t="shared" si="49"/>
        <v>Ha pagado</v>
      </c>
      <c r="X431" s="3"/>
      <c r="Y431" s="3"/>
      <c r="Z431" s="3"/>
      <c r="AA431" s="3"/>
      <c r="AB431" s="3"/>
      <c r="AC431" s="3"/>
      <c r="AD431" s="3"/>
      <c r="AE431" s="3"/>
      <c r="AG431"/>
      <c r="AH431"/>
      <c r="AI431"/>
      <c r="AJ431"/>
      <c r="AK431"/>
      <c r="AL431"/>
      <c r="AM431"/>
      <c r="AN431"/>
    </row>
    <row r="432" spans="1:40" x14ac:dyDescent="0.25">
      <c r="A432" s="6">
        <v>44704</v>
      </c>
      <c r="B432" t="str">
        <f t="shared" si="43"/>
        <v>Mayo</v>
      </c>
      <c r="C432" s="1" t="s">
        <v>42</v>
      </c>
      <c r="D432" s="58" t="str">
        <f>VLOOKUP(Datos!$C432,$AQ$2:$AR$41,2,0)</f>
        <v>Norte</v>
      </c>
      <c r="E432" s="1">
        <v>23512</v>
      </c>
      <c r="F432" s="1" t="str">
        <f t="array" ref="F432">_xlfn.IFS(H432=0,"Alta sin facturar",H432&gt;2,"Cliente",H432&gt;0,"Cliente nuevo")</f>
        <v>Cliente nuevo</v>
      </c>
      <c r="G432" s="1"/>
      <c r="H432" s="1">
        <f t="shared" si="47"/>
        <v>1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89">
        <v>0</v>
      </c>
      <c r="O432" s="89">
        <v>0</v>
      </c>
      <c r="P432" s="89">
        <v>1392</v>
      </c>
      <c r="Q432" s="54">
        <f t="shared" si="44"/>
        <v>1392</v>
      </c>
      <c r="R432" s="89">
        <v>928</v>
      </c>
      <c r="S432" s="92">
        <f t="shared" si="48"/>
        <v>1</v>
      </c>
      <c r="T432" s="59">
        <f t="shared" si="45"/>
        <v>464</v>
      </c>
      <c r="U432" s="60">
        <f t="shared" si="46"/>
        <v>0.66666666666666663</v>
      </c>
      <c r="V432" s="59" t="str">
        <f t="array" ref="V432">_xlfn.IFS(S432=0,"Alta sin facturar",S432&gt;2,"Cliente",S432&gt;0,"Cliente nuevo")</f>
        <v>Cliente nuevo</v>
      </c>
      <c r="W432" s="59" t="str">
        <f t="shared" si="49"/>
        <v>Ha pagado</v>
      </c>
      <c r="X432" s="3"/>
      <c r="Y432" s="3"/>
      <c r="Z432" s="3"/>
      <c r="AA432" s="3"/>
      <c r="AB432" s="3"/>
      <c r="AC432" s="3"/>
      <c r="AD432" s="3"/>
      <c r="AE432" s="3"/>
      <c r="AG432"/>
      <c r="AH432"/>
      <c r="AI432"/>
      <c r="AJ432"/>
      <c r="AK432"/>
      <c r="AL432"/>
      <c r="AM432"/>
      <c r="AN432"/>
    </row>
    <row r="433" spans="1:40" x14ac:dyDescent="0.25">
      <c r="A433" s="6">
        <v>44704</v>
      </c>
      <c r="B433" t="str">
        <f t="shared" si="43"/>
        <v>Mayo</v>
      </c>
      <c r="C433" s="1" t="s">
        <v>102</v>
      </c>
      <c r="D433" s="58" t="str">
        <f>VLOOKUP(Datos!$C433,$AQ$2:$AR$41,2,0)</f>
        <v>Sur</v>
      </c>
      <c r="E433" s="1">
        <v>23513</v>
      </c>
      <c r="F433" s="1" t="str">
        <f t="array" ref="F433">_xlfn.IFS(H433=0,"Alta sin facturar",H433&gt;2,"Cliente",H433&gt;0,"Cliente nuevo")</f>
        <v>Cliente</v>
      </c>
      <c r="G433" s="1"/>
      <c r="H433" s="1">
        <f t="shared" si="47"/>
        <v>3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89">
        <v>377</v>
      </c>
      <c r="O433" s="89">
        <v>511.55999999999995</v>
      </c>
      <c r="P433" s="89">
        <v>511.55999999999995</v>
      </c>
      <c r="Q433" s="54">
        <f t="shared" si="44"/>
        <v>1400.12</v>
      </c>
      <c r="R433" s="89">
        <v>0</v>
      </c>
      <c r="S433" s="92">
        <f t="shared" si="48"/>
        <v>3</v>
      </c>
      <c r="T433" s="59">
        <f t="shared" si="45"/>
        <v>1400.12</v>
      </c>
      <c r="U433" s="60">
        <f t="shared" si="46"/>
        <v>0</v>
      </c>
      <c r="V433" s="59" t="str">
        <f t="array" ref="V433">_xlfn.IFS(S433=0,"Alta sin facturar",S433&gt;2,"Cliente",S433&gt;0,"Cliente nuevo")</f>
        <v>Cliente</v>
      </c>
      <c r="W433" s="59" t="str">
        <f t="shared" si="49"/>
        <v>Ha pagado</v>
      </c>
      <c r="X433" s="3"/>
      <c r="Y433" s="3"/>
      <c r="Z433" s="3"/>
      <c r="AA433" s="3"/>
      <c r="AB433" s="3"/>
      <c r="AC433" s="3"/>
      <c r="AD433" s="3"/>
      <c r="AE433" s="3"/>
      <c r="AG433"/>
      <c r="AH433"/>
      <c r="AI433"/>
      <c r="AJ433"/>
      <c r="AK433"/>
      <c r="AL433"/>
      <c r="AM433"/>
      <c r="AN433"/>
    </row>
    <row r="434" spans="1:40" x14ac:dyDescent="0.25">
      <c r="A434" s="6">
        <v>44704</v>
      </c>
      <c r="B434" t="str">
        <f t="shared" si="43"/>
        <v>Mayo</v>
      </c>
      <c r="C434" s="1" t="s">
        <v>38</v>
      </c>
      <c r="D434" s="58" t="str">
        <f>VLOOKUP(Datos!$C434,$AQ$2:$AR$41,2,0)</f>
        <v>Centro</v>
      </c>
      <c r="E434" s="1">
        <v>23514</v>
      </c>
      <c r="F434" s="1" t="str">
        <f t="array" ref="F434">_xlfn.IFS(H434=0,"Alta sin facturar",H434&gt;2,"Cliente",H434&gt;0,"Cliente nuevo")</f>
        <v>Cliente</v>
      </c>
      <c r="G434" s="1"/>
      <c r="H434" s="1">
        <f t="shared" si="47"/>
        <v>3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89">
        <v>60.32</v>
      </c>
      <c r="O434" s="89">
        <v>2846.6400000000008</v>
      </c>
      <c r="P434" s="89">
        <v>3442.8800000000006</v>
      </c>
      <c r="Q434" s="54">
        <f t="shared" si="44"/>
        <v>6349.840000000002</v>
      </c>
      <c r="R434" s="89">
        <v>125.28</v>
      </c>
      <c r="S434" s="92">
        <f t="shared" si="48"/>
        <v>3</v>
      </c>
      <c r="T434" s="59">
        <f t="shared" si="45"/>
        <v>6224.5600000000022</v>
      </c>
      <c r="U434" s="60">
        <f t="shared" si="46"/>
        <v>1.9729630982827907E-2</v>
      </c>
      <c r="V434" s="59" t="str">
        <f t="array" ref="V434">_xlfn.IFS(S434=0,"Alta sin facturar",S434&gt;2,"Cliente",S434&gt;0,"Cliente nuevo")</f>
        <v>Cliente</v>
      </c>
      <c r="W434" s="59" t="str">
        <f t="shared" si="49"/>
        <v>Ha pagado</v>
      </c>
      <c r="X434" s="3"/>
      <c r="Y434" s="3"/>
      <c r="Z434" s="3"/>
      <c r="AA434" s="3"/>
      <c r="AB434" s="3"/>
      <c r="AC434" s="3"/>
      <c r="AD434" s="3"/>
      <c r="AE434" s="3"/>
      <c r="AG434"/>
      <c r="AH434"/>
      <c r="AI434"/>
      <c r="AJ434"/>
      <c r="AK434"/>
      <c r="AL434"/>
      <c r="AM434"/>
      <c r="AN434"/>
    </row>
    <row r="435" spans="1:40" x14ac:dyDescent="0.25">
      <c r="A435" s="6">
        <v>44704</v>
      </c>
      <c r="B435" t="str">
        <f t="shared" si="43"/>
        <v>Mayo</v>
      </c>
      <c r="C435" s="1" t="s">
        <v>36</v>
      </c>
      <c r="D435" s="58" t="str">
        <f>VLOOKUP(Datos!$C435,$AQ$2:$AR$41,2,0)</f>
        <v>Magallanes</v>
      </c>
      <c r="E435" s="1">
        <v>23515</v>
      </c>
      <c r="F435" s="1" t="str">
        <f t="array" ref="F435">_xlfn.IFS(H435=0,"Alta sin facturar",H435&gt;2,"Cliente",H435&gt;0,"Cliente nuevo")</f>
        <v>Cliente</v>
      </c>
      <c r="G435" s="1"/>
      <c r="H435" s="1">
        <f t="shared" si="47"/>
        <v>3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89">
        <v>989.48</v>
      </c>
      <c r="O435" s="89">
        <v>1270.1999999999998</v>
      </c>
      <c r="P435" s="89">
        <v>868.84</v>
      </c>
      <c r="Q435" s="54">
        <f t="shared" si="44"/>
        <v>3128.52</v>
      </c>
      <c r="R435" s="89">
        <v>0</v>
      </c>
      <c r="S435" s="92">
        <f t="shared" si="48"/>
        <v>3</v>
      </c>
      <c r="T435" s="59">
        <f t="shared" si="45"/>
        <v>3128.52</v>
      </c>
      <c r="U435" s="60">
        <f t="shared" si="46"/>
        <v>0</v>
      </c>
      <c r="V435" s="59" t="str">
        <f t="array" ref="V435">_xlfn.IFS(S435=0,"Alta sin facturar",S435&gt;2,"Cliente",S435&gt;0,"Cliente nuevo")</f>
        <v>Cliente</v>
      </c>
      <c r="W435" s="59" t="str">
        <f t="shared" si="49"/>
        <v>Ha pagado</v>
      </c>
      <c r="X435" s="3"/>
      <c r="Y435" s="3"/>
      <c r="Z435" s="3"/>
      <c r="AA435" s="3"/>
      <c r="AB435" s="3"/>
      <c r="AC435" s="3"/>
      <c r="AD435" s="3"/>
      <c r="AE435" s="3"/>
      <c r="AG435"/>
      <c r="AH435"/>
      <c r="AI435"/>
      <c r="AJ435"/>
      <c r="AK435"/>
      <c r="AL435"/>
      <c r="AM435"/>
      <c r="AN435"/>
    </row>
    <row r="436" spans="1:40" x14ac:dyDescent="0.25">
      <c r="A436" s="6">
        <v>44704</v>
      </c>
      <c r="B436" t="str">
        <f t="shared" si="43"/>
        <v>Mayo</v>
      </c>
      <c r="C436" s="1" t="s">
        <v>36</v>
      </c>
      <c r="D436" s="58" t="str">
        <f>VLOOKUP(Datos!$C436,$AQ$2:$AR$41,2,0)</f>
        <v>Magallanes</v>
      </c>
      <c r="E436" s="1">
        <v>23516</v>
      </c>
      <c r="F436" s="1" t="str">
        <f t="array" ref="F436">_xlfn.IFS(H436=0,"Alta sin facturar",H436&gt;2,"Cliente",H436&gt;0,"Cliente nuevo")</f>
        <v>Cliente nuevo</v>
      </c>
      <c r="G436" s="1"/>
      <c r="H436" s="1">
        <f t="shared" si="47"/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89">
        <v>2111.1999999999998</v>
      </c>
      <c r="O436" s="89">
        <v>0</v>
      </c>
      <c r="P436" s="89">
        <v>0</v>
      </c>
      <c r="Q436" s="54">
        <f t="shared" si="44"/>
        <v>2111.1999999999998</v>
      </c>
      <c r="R436" s="89">
        <v>2111.1999999999998</v>
      </c>
      <c r="S436" s="92">
        <f t="shared" si="48"/>
        <v>1</v>
      </c>
      <c r="T436" s="59">
        <f t="shared" si="45"/>
        <v>0</v>
      </c>
      <c r="U436" s="60">
        <f t="shared" si="46"/>
        <v>1</v>
      </c>
      <c r="V436" s="59" t="str">
        <f t="array" ref="V436">_xlfn.IFS(S436=0,"Alta sin facturar",S436&gt;2,"Cliente",S436&gt;0,"Cliente nuevo")</f>
        <v>Cliente nuevo</v>
      </c>
      <c r="W436" s="59" t="str">
        <f t="shared" si="49"/>
        <v>Sin pago</v>
      </c>
      <c r="X436" s="3"/>
      <c r="Y436" s="3"/>
      <c r="Z436" s="3"/>
      <c r="AA436" s="3"/>
      <c r="AB436" s="3"/>
      <c r="AC436" s="3"/>
      <c r="AD436" s="3"/>
      <c r="AE436" s="3"/>
      <c r="AG436"/>
      <c r="AH436"/>
      <c r="AI436"/>
      <c r="AJ436"/>
      <c r="AK436"/>
      <c r="AL436"/>
      <c r="AM436"/>
      <c r="AN436"/>
    </row>
    <row r="437" spans="1:40" x14ac:dyDescent="0.25">
      <c r="A437" s="6">
        <v>44704</v>
      </c>
      <c r="B437" t="str">
        <f t="shared" si="43"/>
        <v>Mayo</v>
      </c>
      <c r="C437" s="1" t="s">
        <v>36</v>
      </c>
      <c r="D437" s="58" t="str">
        <f>VLOOKUP(Datos!$C437,$AQ$2:$AR$41,2,0)</f>
        <v>Magallanes</v>
      </c>
      <c r="E437" s="1">
        <v>23517</v>
      </c>
      <c r="F437" s="1" t="str">
        <f t="array" ref="F437">_xlfn.IFS(H437=0,"Alta sin facturar",H437&gt;2,"Cliente",H437&gt;0,"Cliente nuevo")</f>
        <v>Cliente</v>
      </c>
      <c r="G437" s="1"/>
      <c r="H437" s="1">
        <f t="shared" si="47"/>
        <v>3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89">
        <v>15428</v>
      </c>
      <c r="O437" s="89">
        <v>1160</v>
      </c>
      <c r="P437" s="89">
        <v>580</v>
      </c>
      <c r="Q437" s="54">
        <f t="shared" si="44"/>
        <v>17168</v>
      </c>
      <c r="R437" s="89">
        <v>4060</v>
      </c>
      <c r="S437" s="92">
        <f t="shared" si="48"/>
        <v>3</v>
      </c>
      <c r="T437" s="59">
        <f t="shared" si="45"/>
        <v>13108</v>
      </c>
      <c r="U437" s="60">
        <f t="shared" si="46"/>
        <v>0.23648648648648649</v>
      </c>
      <c r="V437" s="59" t="str">
        <f t="array" ref="V437">_xlfn.IFS(S437=0,"Alta sin facturar",S437&gt;2,"Cliente",S437&gt;0,"Cliente nuevo")</f>
        <v>Cliente</v>
      </c>
      <c r="W437" s="59" t="str">
        <f t="shared" si="49"/>
        <v>Ha pagado</v>
      </c>
      <c r="X437" s="3"/>
      <c r="Y437" s="3"/>
      <c r="Z437" s="3"/>
      <c r="AA437" s="3"/>
      <c r="AB437" s="3"/>
      <c r="AC437" s="3"/>
      <c r="AD437" s="3"/>
      <c r="AE437" s="3"/>
      <c r="AG437"/>
      <c r="AH437"/>
      <c r="AI437"/>
      <c r="AJ437"/>
      <c r="AK437"/>
      <c r="AL437"/>
      <c r="AM437"/>
      <c r="AN437"/>
    </row>
    <row r="438" spans="1:40" x14ac:dyDescent="0.25">
      <c r="A438" s="6">
        <v>44704</v>
      </c>
      <c r="B438" t="str">
        <f t="shared" si="43"/>
        <v>Mayo</v>
      </c>
      <c r="C438" s="1" t="s">
        <v>35</v>
      </c>
      <c r="D438" s="58" t="str">
        <f>VLOOKUP(Datos!$C438,$AQ$2:$AR$41,2,0)</f>
        <v>Centro</v>
      </c>
      <c r="E438" s="1">
        <v>23518</v>
      </c>
      <c r="F438" s="1" t="str">
        <f t="array" ref="F438">_xlfn.IFS(H438=0,"Alta sin facturar",H438&gt;2,"Cliente",H438&gt;0,"Cliente nuevo")</f>
        <v>Alta sin facturar</v>
      </c>
      <c r="G438" s="1"/>
      <c r="H438" s="1">
        <f t="shared" si="47"/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89">
        <v>0</v>
      </c>
      <c r="O438" s="89">
        <v>0</v>
      </c>
      <c r="P438" s="89">
        <v>0</v>
      </c>
      <c r="Q438" s="54">
        <f t="shared" si="44"/>
        <v>0</v>
      </c>
      <c r="R438" s="89"/>
      <c r="S438" s="92">
        <f t="shared" si="48"/>
        <v>0</v>
      </c>
      <c r="T438" s="59">
        <f t="shared" si="45"/>
        <v>0</v>
      </c>
      <c r="U438" s="60">
        <f t="shared" si="46"/>
        <v>0</v>
      </c>
      <c r="V438" s="59" t="str">
        <f t="array" ref="V438">_xlfn.IFS(S438=0,"Alta sin facturar",S438&gt;2,"Cliente",S438&gt;0,"Cliente nuevo")</f>
        <v>Alta sin facturar</v>
      </c>
      <c r="W438" s="59" t="str">
        <f t="shared" si="49"/>
        <v>Sin pago</v>
      </c>
      <c r="X438" s="3"/>
      <c r="Y438" s="3"/>
      <c r="Z438" s="3"/>
      <c r="AA438" s="3"/>
      <c r="AB438" s="3"/>
      <c r="AC438" s="3"/>
      <c r="AD438" s="3"/>
      <c r="AE438" s="3"/>
      <c r="AG438"/>
      <c r="AH438"/>
      <c r="AI438"/>
      <c r="AJ438"/>
      <c r="AK438"/>
      <c r="AL438"/>
      <c r="AM438"/>
      <c r="AN438"/>
    </row>
    <row r="439" spans="1:40" x14ac:dyDescent="0.25">
      <c r="A439" s="6">
        <v>44704</v>
      </c>
      <c r="B439" t="str">
        <f t="shared" si="43"/>
        <v>Mayo</v>
      </c>
      <c r="C439" s="1" t="s">
        <v>63</v>
      </c>
      <c r="D439" s="58" t="str">
        <f>VLOOKUP(Datos!$C439,$AQ$2:$AR$41,2,0)</f>
        <v>Centro</v>
      </c>
      <c r="E439" s="1">
        <v>23519</v>
      </c>
      <c r="F439" s="1" t="str">
        <f t="array" ref="F439">_xlfn.IFS(H439=0,"Alta sin facturar",H439&gt;2,"Cliente",H439&gt;0,"Cliente nuevo")</f>
        <v>Alta sin facturar</v>
      </c>
      <c r="G439" s="1"/>
      <c r="H439" s="1">
        <f t="shared" si="47"/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89">
        <v>0</v>
      </c>
      <c r="O439" s="89">
        <v>0</v>
      </c>
      <c r="P439" s="89">
        <v>0</v>
      </c>
      <c r="Q439" s="54">
        <f t="shared" si="44"/>
        <v>0</v>
      </c>
      <c r="R439" s="89"/>
      <c r="S439" s="92">
        <f t="shared" si="48"/>
        <v>0</v>
      </c>
      <c r="T439" s="59">
        <f t="shared" si="45"/>
        <v>0</v>
      </c>
      <c r="U439" s="60">
        <f t="shared" si="46"/>
        <v>0</v>
      </c>
      <c r="V439" s="59" t="str">
        <f t="array" ref="V439">_xlfn.IFS(S439=0,"Alta sin facturar",S439&gt;2,"Cliente",S439&gt;0,"Cliente nuevo")</f>
        <v>Alta sin facturar</v>
      </c>
      <c r="W439" s="59" t="str">
        <f t="shared" si="49"/>
        <v>Sin pago</v>
      </c>
      <c r="X439" s="3"/>
      <c r="Y439" s="3"/>
      <c r="Z439" s="3"/>
      <c r="AA439" s="3"/>
      <c r="AB439" s="3"/>
      <c r="AC439" s="3"/>
      <c r="AD439" s="3"/>
      <c r="AE439" s="3"/>
      <c r="AG439"/>
      <c r="AH439"/>
      <c r="AI439"/>
      <c r="AJ439"/>
      <c r="AK439"/>
      <c r="AL439"/>
      <c r="AM439"/>
      <c r="AN439"/>
    </row>
    <row r="440" spans="1:40" x14ac:dyDescent="0.25">
      <c r="A440" s="6">
        <v>44705</v>
      </c>
      <c r="B440" t="str">
        <f t="shared" si="43"/>
        <v>Mayo</v>
      </c>
      <c r="C440" s="1" t="s">
        <v>66</v>
      </c>
      <c r="D440" s="58" t="str">
        <f>VLOOKUP(Datos!$C440,$AQ$2:$AR$41,2,0)</f>
        <v>Sur</v>
      </c>
      <c r="E440" s="1">
        <v>23520</v>
      </c>
      <c r="F440" s="1" t="str">
        <f t="array" ref="F440">_xlfn.IFS(H440=0,"Alta sin facturar",H440&gt;2,"Cliente",H440&gt;0,"Cliente nuevo")</f>
        <v>Alta sin facturar</v>
      </c>
      <c r="G440" s="1"/>
      <c r="H440" s="1">
        <f t="shared" si="47"/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89">
        <v>0</v>
      </c>
      <c r="O440" s="89">
        <v>0</v>
      </c>
      <c r="P440" s="89">
        <v>0</v>
      </c>
      <c r="Q440" s="54">
        <f t="shared" si="44"/>
        <v>0</v>
      </c>
      <c r="R440" s="89"/>
      <c r="S440" s="92">
        <f t="shared" si="48"/>
        <v>0</v>
      </c>
      <c r="T440" s="59">
        <f t="shared" si="45"/>
        <v>0</v>
      </c>
      <c r="U440" s="60">
        <f t="shared" si="46"/>
        <v>0</v>
      </c>
      <c r="V440" s="59" t="str">
        <f t="array" ref="V440">_xlfn.IFS(S440=0,"Alta sin facturar",S440&gt;2,"Cliente",S440&gt;0,"Cliente nuevo")</f>
        <v>Alta sin facturar</v>
      </c>
      <c r="W440" s="59" t="str">
        <f t="shared" si="49"/>
        <v>Sin pago</v>
      </c>
      <c r="X440" s="3"/>
      <c r="Y440" s="3"/>
      <c r="Z440" s="3"/>
      <c r="AA440" s="3"/>
      <c r="AB440" s="3"/>
      <c r="AC440" s="3"/>
      <c r="AD440" s="3"/>
      <c r="AE440" s="3"/>
      <c r="AG440"/>
      <c r="AH440"/>
      <c r="AI440"/>
      <c r="AJ440"/>
      <c r="AK440"/>
      <c r="AL440"/>
      <c r="AM440"/>
      <c r="AN440"/>
    </row>
    <row r="441" spans="1:40" x14ac:dyDescent="0.25">
      <c r="A441" s="6">
        <v>44707</v>
      </c>
      <c r="B441" t="str">
        <f t="shared" si="43"/>
        <v>Mayo</v>
      </c>
      <c r="C441" s="1" t="s">
        <v>31</v>
      </c>
      <c r="D441" s="58" t="str">
        <f>VLOOKUP(Datos!$C441,$AQ$2:$AR$41,2,0)</f>
        <v>Centro</v>
      </c>
      <c r="E441" s="1">
        <v>23521</v>
      </c>
      <c r="F441" s="1" t="str">
        <f t="array" ref="F441">_xlfn.IFS(H441=0,"Alta sin facturar",H441&gt;2,"Cliente",H441&gt;0,"Cliente nuevo")</f>
        <v>Alta sin facturar</v>
      </c>
      <c r="G441" s="1"/>
      <c r="H441" s="1">
        <f t="shared" si="47"/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89">
        <v>0</v>
      </c>
      <c r="O441" s="89">
        <v>0</v>
      </c>
      <c r="P441" s="89">
        <v>0</v>
      </c>
      <c r="Q441" s="54">
        <f t="shared" si="44"/>
        <v>0</v>
      </c>
      <c r="R441" s="89"/>
      <c r="S441" s="92">
        <f t="shared" si="48"/>
        <v>0</v>
      </c>
      <c r="T441" s="59">
        <f t="shared" si="45"/>
        <v>0</v>
      </c>
      <c r="U441" s="60">
        <f t="shared" si="46"/>
        <v>0</v>
      </c>
      <c r="V441" s="59" t="str">
        <f t="array" ref="V441">_xlfn.IFS(S441=0,"Alta sin facturar",S441&gt;2,"Cliente",S441&gt;0,"Cliente nuevo")</f>
        <v>Alta sin facturar</v>
      </c>
      <c r="W441" s="59" t="str">
        <f t="shared" si="49"/>
        <v>Sin pago</v>
      </c>
      <c r="X441" s="3"/>
      <c r="Y441" s="3"/>
      <c r="Z441" s="3"/>
      <c r="AA441" s="3"/>
      <c r="AB441" s="3"/>
      <c r="AC441" s="3"/>
      <c r="AD441" s="3"/>
      <c r="AE441" s="3"/>
      <c r="AG441"/>
      <c r="AH441"/>
      <c r="AI441"/>
      <c r="AJ441"/>
      <c r="AK441"/>
      <c r="AL441"/>
      <c r="AM441"/>
      <c r="AN441"/>
    </row>
    <row r="442" spans="1:40" x14ac:dyDescent="0.25">
      <c r="A442" s="6">
        <v>44707</v>
      </c>
      <c r="B442" t="str">
        <f t="shared" si="43"/>
        <v>Mayo</v>
      </c>
      <c r="C442" s="1" t="s">
        <v>63</v>
      </c>
      <c r="D442" s="58" t="str">
        <f>VLOOKUP(Datos!$C442,$AQ$2:$AR$41,2,0)</f>
        <v>Centro</v>
      </c>
      <c r="E442" s="1">
        <v>23522</v>
      </c>
      <c r="F442" s="1" t="str">
        <f t="array" ref="F442">_xlfn.IFS(H442=0,"Alta sin facturar",H442&gt;2,"Cliente",H442&gt;0,"Cliente nuevo")</f>
        <v>Cliente nuevo</v>
      </c>
      <c r="G442" s="1"/>
      <c r="H442" s="1">
        <f t="shared" si="47"/>
        <v>1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89">
        <v>0</v>
      </c>
      <c r="O442" s="89">
        <v>0</v>
      </c>
      <c r="P442" s="89">
        <v>81.199999999999989</v>
      </c>
      <c r="Q442" s="54">
        <f t="shared" si="44"/>
        <v>81.199999999999989</v>
      </c>
      <c r="R442" s="89"/>
      <c r="S442" s="92">
        <f t="shared" si="48"/>
        <v>1</v>
      </c>
      <c r="T442" s="59">
        <f t="shared" si="45"/>
        <v>81.199999999999989</v>
      </c>
      <c r="U442" s="60">
        <f t="shared" si="46"/>
        <v>0</v>
      </c>
      <c r="V442" s="59" t="str">
        <f t="array" ref="V442">_xlfn.IFS(S442=0,"Alta sin facturar",S442&gt;2,"Cliente",S442&gt;0,"Cliente nuevo")</f>
        <v>Cliente nuevo</v>
      </c>
      <c r="W442" s="59" t="str">
        <f t="shared" si="49"/>
        <v>Ha pagado</v>
      </c>
      <c r="X442" s="3"/>
      <c r="Y442" s="3"/>
      <c r="Z442" s="3"/>
      <c r="AA442" s="3"/>
      <c r="AB442" s="3"/>
      <c r="AC442" s="3"/>
      <c r="AD442" s="3"/>
      <c r="AE442" s="3"/>
      <c r="AG442"/>
      <c r="AH442"/>
      <c r="AI442"/>
      <c r="AJ442"/>
      <c r="AK442"/>
      <c r="AL442"/>
      <c r="AM442"/>
      <c r="AN442"/>
    </row>
    <row r="443" spans="1:40" x14ac:dyDescent="0.25">
      <c r="A443" s="6">
        <v>44707</v>
      </c>
      <c r="B443" t="str">
        <f t="shared" si="43"/>
        <v>Mayo</v>
      </c>
      <c r="C443" s="1" t="s">
        <v>38</v>
      </c>
      <c r="D443" s="58" t="str">
        <f>VLOOKUP(Datos!$C443,$AQ$2:$AR$41,2,0)</f>
        <v>Centro</v>
      </c>
      <c r="E443" s="1">
        <v>23523</v>
      </c>
      <c r="F443" s="1" t="str">
        <f t="array" ref="F443">_xlfn.IFS(H443=0,"Alta sin facturar",H443&gt;2,"Cliente",H443&gt;0,"Cliente nuevo")</f>
        <v>Cliente</v>
      </c>
      <c r="G443" s="1"/>
      <c r="H443" s="1">
        <f t="shared" si="47"/>
        <v>3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89">
        <v>716.88</v>
      </c>
      <c r="O443" s="89">
        <v>1419.84</v>
      </c>
      <c r="P443" s="89">
        <v>3442.8799999999997</v>
      </c>
      <c r="Q443" s="54">
        <f t="shared" si="44"/>
        <v>5579.5999999999995</v>
      </c>
      <c r="R443" s="89">
        <v>1419.84</v>
      </c>
      <c r="S443" s="92">
        <f t="shared" si="48"/>
        <v>3</v>
      </c>
      <c r="T443" s="59">
        <f t="shared" si="45"/>
        <v>4159.7599999999993</v>
      </c>
      <c r="U443" s="60">
        <f t="shared" si="46"/>
        <v>0.25446985446985448</v>
      </c>
      <c r="V443" s="59" t="str">
        <f t="array" ref="V443">_xlfn.IFS(S443=0,"Alta sin facturar",S443&gt;2,"Cliente",S443&gt;0,"Cliente nuevo")</f>
        <v>Cliente</v>
      </c>
      <c r="W443" s="59" t="str">
        <f t="shared" si="49"/>
        <v>Ha pagado</v>
      </c>
      <c r="X443" s="3"/>
      <c r="Y443" s="3"/>
      <c r="Z443" s="3"/>
      <c r="AA443" s="3"/>
      <c r="AB443" s="3"/>
      <c r="AC443" s="3"/>
      <c r="AD443" s="3"/>
      <c r="AE443" s="3"/>
      <c r="AG443"/>
      <c r="AH443"/>
      <c r="AI443"/>
      <c r="AJ443"/>
      <c r="AK443"/>
      <c r="AL443"/>
      <c r="AM443"/>
      <c r="AN443"/>
    </row>
    <row r="444" spans="1:40" x14ac:dyDescent="0.25">
      <c r="A444" s="6">
        <v>44707</v>
      </c>
      <c r="B444" t="str">
        <f t="shared" si="43"/>
        <v>Mayo</v>
      </c>
      <c r="C444" s="1" t="s">
        <v>31</v>
      </c>
      <c r="D444" s="58" t="str">
        <f>VLOOKUP(Datos!$C444,$AQ$2:$AR$41,2,0)</f>
        <v>Centro</v>
      </c>
      <c r="E444" s="1">
        <v>23524</v>
      </c>
      <c r="F444" s="1" t="str">
        <f t="array" ref="F444">_xlfn.IFS(H444=0,"Alta sin facturar",H444&gt;2,"Cliente",H444&gt;0,"Cliente nuevo")</f>
        <v>Alta sin facturar</v>
      </c>
      <c r="G444" s="1"/>
      <c r="H444" s="1">
        <f t="shared" si="47"/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89">
        <v>0</v>
      </c>
      <c r="O444" s="89">
        <v>0</v>
      </c>
      <c r="P444" s="89">
        <v>0</v>
      </c>
      <c r="Q444" s="54">
        <f t="shared" si="44"/>
        <v>0</v>
      </c>
      <c r="R444" s="89"/>
      <c r="S444" s="92">
        <f t="shared" si="48"/>
        <v>0</v>
      </c>
      <c r="T444" s="59">
        <f t="shared" si="45"/>
        <v>0</v>
      </c>
      <c r="U444" s="60">
        <f t="shared" si="46"/>
        <v>0</v>
      </c>
      <c r="V444" s="59" t="str">
        <f t="array" ref="V444">_xlfn.IFS(S444=0,"Alta sin facturar",S444&gt;2,"Cliente",S444&gt;0,"Cliente nuevo")</f>
        <v>Alta sin facturar</v>
      </c>
      <c r="W444" s="59" t="str">
        <f t="shared" si="49"/>
        <v>Sin pago</v>
      </c>
      <c r="X444" s="3"/>
      <c r="Y444" s="3"/>
      <c r="Z444" s="3"/>
      <c r="AA444" s="3"/>
      <c r="AB444" s="3"/>
      <c r="AC444" s="3"/>
      <c r="AD444" s="3"/>
      <c r="AE444" s="3"/>
      <c r="AG444"/>
      <c r="AH444"/>
      <c r="AI444"/>
      <c r="AJ444"/>
      <c r="AK444"/>
      <c r="AL444"/>
      <c r="AM444"/>
      <c r="AN444"/>
    </row>
    <row r="445" spans="1:40" x14ac:dyDescent="0.25">
      <c r="A445" s="6">
        <v>44707</v>
      </c>
      <c r="B445" t="str">
        <f t="shared" si="43"/>
        <v>Mayo</v>
      </c>
      <c r="C445" s="1" t="s">
        <v>36</v>
      </c>
      <c r="D445" s="58" t="str">
        <f>VLOOKUP(Datos!$C445,$AQ$2:$AR$41,2,0)</f>
        <v>Magallanes</v>
      </c>
      <c r="E445" s="1">
        <v>23525</v>
      </c>
      <c r="F445" s="1" t="str">
        <f t="array" ref="F445">_xlfn.IFS(H445=0,"Alta sin facturar",H445&gt;2,"Cliente",H445&gt;0,"Cliente nuevo")</f>
        <v>Cliente</v>
      </c>
      <c r="G445" s="1"/>
      <c r="H445" s="1">
        <f t="shared" si="47"/>
        <v>3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89">
        <v>5121.3999999999996</v>
      </c>
      <c r="O445" s="89">
        <v>348</v>
      </c>
      <c r="P445" s="89">
        <v>348</v>
      </c>
      <c r="Q445" s="54">
        <f t="shared" si="44"/>
        <v>5817.4</v>
      </c>
      <c r="R445" s="89">
        <v>10341.4</v>
      </c>
      <c r="S445" s="92">
        <f t="shared" si="48"/>
        <v>3</v>
      </c>
      <c r="T445" s="59">
        <f t="shared" si="45"/>
        <v>-4524</v>
      </c>
      <c r="U445" s="60">
        <f t="shared" si="46"/>
        <v>1.777666999002991</v>
      </c>
      <c r="V445" s="59" t="str">
        <f t="array" ref="V445">_xlfn.IFS(S445=0,"Alta sin facturar",S445&gt;2,"Cliente",S445&gt;0,"Cliente nuevo")</f>
        <v>Cliente</v>
      </c>
      <c r="W445" s="59" t="str">
        <f t="shared" si="49"/>
        <v>Sin pago</v>
      </c>
      <c r="X445" s="3"/>
      <c r="Y445" s="3"/>
      <c r="Z445" s="3"/>
      <c r="AA445" s="3"/>
      <c r="AB445" s="3"/>
      <c r="AC445" s="3"/>
      <c r="AD445" s="3"/>
      <c r="AE445" s="3"/>
      <c r="AG445"/>
      <c r="AH445"/>
      <c r="AI445"/>
      <c r="AJ445"/>
      <c r="AK445"/>
      <c r="AL445"/>
      <c r="AM445"/>
      <c r="AN445"/>
    </row>
    <row r="446" spans="1:40" x14ac:dyDescent="0.25">
      <c r="A446" s="6">
        <v>44708</v>
      </c>
      <c r="B446" t="str">
        <f t="shared" si="43"/>
        <v>Mayo</v>
      </c>
      <c r="C446" s="1" t="s">
        <v>38</v>
      </c>
      <c r="D446" s="58" t="str">
        <f>VLOOKUP(Datos!$C446,$AQ$2:$AR$41,2,0)</f>
        <v>Centro</v>
      </c>
      <c r="E446" s="1">
        <v>23526</v>
      </c>
      <c r="F446" s="1" t="str">
        <f t="array" ref="F446">_xlfn.IFS(H446=0,"Alta sin facturar",H446&gt;2,"Cliente",H446&gt;0,"Cliente nuevo")</f>
        <v>Cliente</v>
      </c>
      <c r="G446" s="1"/>
      <c r="H446" s="1">
        <f t="shared" si="47"/>
        <v>3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89">
        <v>2444.12</v>
      </c>
      <c r="O446" s="89">
        <v>1788.7199999999998</v>
      </c>
      <c r="P446" s="89">
        <v>1782.92</v>
      </c>
      <c r="Q446" s="54">
        <f t="shared" si="44"/>
        <v>6015.76</v>
      </c>
      <c r="R446" s="89">
        <v>0</v>
      </c>
      <c r="S446" s="92">
        <f t="shared" si="48"/>
        <v>3</v>
      </c>
      <c r="T446" s="59">
        <f t="shared" si="45"/>
        <v>6015.76</v>
      </c>
      <c r="U446" s="60">
        <f t="shared" si="46"/>
        <v>0</v>
      </c>
      <c r="V446" s="59" t="str">
        <f t="array" ref="V446">_xlfn.IFS(S446=0,"Alta sin facturar",S446&gt;2,"Cliente",S446&gt;0,"Cliente nuevo")</f>
        <v>Cliente</v>
      </c>
      <c r="W446" s="59" t="str">
        <f t="shared" si="49"/>
        <v>Ha pagado</v>
      </c>
      <c r="X446" s="3"/>
      <c r="Y446" s="3"/>
      <c r="Z446" s="3"/>
      <c r="AA446" s="3"/>
      <c r="AB446" s="3"/>
      <c r="AC446" s="3"/>
      <c r="AD446" s="3"/>
      <c r="AE446" s="3"/>
      <c r="AG446"/>
      <c r="AH446"/>
      <c r="AI446"/>
      <c r="AJ446"/>
      <c r="AK446"/>
      <c r="AL446"/>
      <c r="AM446"/>
      <c r="AN446"/>
    </row>
    <row r="447" spans="1:40" x14ac:dyDescent="0.25">
      <c r="A447" s="6">
        <v>44708</v>
      </c>
      <c r="B447" t="str">
        <f t="shared" si="43"/>
        <v>Mayo</v>
      </c>
      <c r="C447" s="1" t="s">
        <v>38</v>
      </c>
      <c r="D447" s="58" t="str">
        <f>VLOOKUP(Datos!$C447,$AQ$2:$AR$41,2,0)</f>
        <v>Centro</v>
      </c>
      <c r="E447" s="1">
        <v>23527</v>
      </c>
      <c r="F447" s="1" t="str">
        <f t="array" ref="F447">_xlfn.IFS(H447=0,"Alta sin facturar",H447&gt;2,"Cliente",H447&gt;0,"Cliente nuevo")</f>
        <v>Cliente</v>
      </c>
      <c r="G447" s="1"/>
      <c r="H447" s="1">
        <f t="shared" si="47"/>
        <v>3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89">
        <v>7882.2</v>
      </c>
      <c r="O447" s="89">
        <v>290</v>
      </c>
      <c r="P447" s="89">
        <v>290</v>
      </c>
      <c r="Q447" s="54">
        <f t="shared" si="44"/>
        <v>8462.2000000000007</v>
      </c>
      <c r="R447" s="89">
        <v>0</v>
      </c>
      <c r="S447" s="92">
        <f t="shared" si="48"/>
        <v>3</v>
      </c>
      <c r="T447" s="59">
        <f t="shared" si="45"/>
        <v>8462.2000000000007</v>
      </c>
      <c r="U447" s="60">
        <f t="shared" si="46"/>
        <v>0</v>
      </c>
      <c r="V447" s="59" t="str">
        <f t="array" ref="V447">_xlfn.IFS(S447=0,"Alta sin facturar",S447&gt;2,"Cliente",S447&gt;0,"Cliente nuevo")</f>
        <v>Cliente</v>
      </c>
      <c r="W447" s="59" t="str">
        <f t="shared" si="49"/>
        <v>Ha pagado</v>
      </c>
      <c r="X447" s="3"/>
      <c r="Y447" s="3"/>
      <c r="Z447" s="3"/>
      <c r="AA447" s="3"/>
      <c r="AB447" s="3"/>
      <c r="AC447" s="3"/>
      <c r="AD447" s="3"/>
      <c r="AE447" s="3"/>
      <c r="AG447"/>
      <c r="AH447"/>
      <c r="AI447"/>
      <c r="AJ447"/>
      <c r="AK447"/>
      <c r="AL447"/>
      <c r="AM447"/>
      <c r="AN447"/>
    </row>
    <row r="448" spans="1:40" x14ac:dyDescent="0.25">
      <c r="A448" s="6">
        <v>44708</v>
      </c>
      <c r="B448" t="str">
        <f t="shared" si="43"/>
        <v>Mayo</v>
      </c>
      <c r="C448" s="1" t="s">
        <v>63</v>
      </c>
      <c r="D448" s="58" t="str">
        <f>VLOOKUP(Datos!$C448,$AQ$2:$AR$41,2,0)</f>
        <v>Centro</v>
      </c>
      <c r="E448" s="1">
        <v>23528</v>
      </c>
      <c r="F448" s="1" t="str">
        <f t="array" ref="F448">_xlfn.IFS(H448=0,"Alta sin facturar",H448&gt;2,"Cliente",H448&gt;0,"Cliente nuevo")</f>
        <v>Cliente</v>
      </c>
      <c r="G448" s="1"/>
      <c r="H448" s="1">
        <f t="shared" si="47"/>
        <v>3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89">
        <v>7990.08</v>
      </c>
      <c r="O448" s="89">
        <v>1076.4799999999998</v>
      </c>
      <c r="P448" s="89">
        <v>1272.52</v>
      </c>
      <c r="Q448" s="54">
        <f t="shared" si="44"/>
        <v>10339.08</v>
      </c>
      <c r="R448" s="89">
        <v>575.36</v>
      </c>
      <c r="S448" s="92">
        <f t="shared" si="48"/>
        <v>3</v>
      </c>
      <c r="T448" s="59">
        <f t="shared" si="45"/>
        <v>9763.7199999999993</v>
      </c>
      <c r="U448" s="60">
        <f t="shared" si="46"/>
        <v>5.5649051946594863E-2</v>
      </c>
      <c r="V448" s="59" t="str">
        <f t="array" ref="V448">_xlfn.IFS(S448=0,"Alta sin facturar",S448&gt;2,"Cliente",S448&gt;0,"Cliente nuevo")</f>
        <v>Cliente</v>
      </c>
      <c r="W448" s="59" t="str">
        <f t="shared" si="49"/>
        <v>Ha pagado</v>
      </c>
      <c r="X448" s="3"/>
      <c r="Y448" s="3"/>
      <c r="Z448" s="3"/>
      <c r="AA448" s="3"/>
      <c r="AB448" s="3"/>
      <c r="AC448" s="3"/>
      <c r="AD448" s="3"/>
      <c r="AE448" s="3"/>
      <c r="AG448"/>
      <c r="AH448"/>
      <c r="AI448"/>
      <c r="AJ448"/>
      <c r="AK448"/>
      <c r="AL448"/>
      <c r="AM448"/>
      <c r="AN448"/>
    </row>
    <row r="449" spans="1:40" x14ac:dyDescent="0.25">
      <c r="A449" s="6">
        <v>44708</v>
      </c>
      <c r="B449" t="str">
        <f t="shared" si="43"/>
        <v>Mayo</v>
      </c>
      <c r="C449" s="1" t="s">
        <v>66</v>
      </c>
      <c r="D449" s="58" t="str">
        <f>VLOOKUP(Datos!$C449,$AQ$2:$AR$41,2,0)</f>
        <v>Sur</v>
      </c>
      <c r="E449" s="1">
        <v>23529</v>
      </c>
      <c r="F449" s="1" t="str">
        <f t="array" ref="F449">_xlfn.IFS(H449=0,"Alta sin facturar",H449&gt;2,"Cliente",H449&gt;0,"Cliente nuevo")</f>
        <v>Cliente nuevo</v>
      </c>
      <c r="G449" s="1"/>
      <c r="H449" s="1">
        <f t="shared" si="47"/>
        <v>2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89">
        <v>16223.76</v>
      </c>
      <c r="O449" s="89">
        <v>0</v>
      </c>
      <c r="P449" s="89">
        <v>14257.559999999976</v>
      </c>
      <c r="Q449" s="54">
        <f t="shared" si="44"/>
        <v>30481.319999999978</v>
      </c>
      <c r="R449" s="89">
        <v>5389.36</v>
      </c>
      <c r="S449" s="92">
        <f t="shared" si="48"/>
        <v>2</v>
      </c>
      <c r="T449" s="59">
        <f t="shared" si="45"/>
        <v>25091.959999999977</v>
      </c>
      <c r="U449" s="60">
        <f t="shared" si="46"/>
        <v>0.17680861589983649</v>
      </c>
      <c r="V449" s="59" t="str">
        <f t="array" ref="V449">_xlfn.IFS(S449=0,"Alta sin facturar",S449&gt;2,"Cliente",S449&gt;0,"Cliente nuevo")</f>
        <v>Cliente nuevo</v>
      </c>
      <c r="W449" s="59" t="str">
        <f t="shared" si="49"/>
        <v>Ha pagado</v>
      </c>
      <c r="X449" s="3"/>
      <c r="Y449" s="3"/>
      <c r="Z449" s="3"/>
      <c r="AA449" s="3"/>
      <c r="AB449" s="3"/>
      <c r="AC449" s="3"/>
      <c r="AD449" s="3"/>
      <c r="AE449" s="3"/>
      <c r="AG449"/>
      <c r="AH449"/>
      <c r="AI449"/>
      <c r="AJ449"/>
      <c r="AK449"/>
      <c r="AL449"/>
      <c r="AM449"/>
      <c r="AN449"/>
    </row>
    <row r="450" spans="1:40" x14ac:dyDescent="0.25">
      <c r="A450" s="6">
        <v>44708</v>
      </c>
      <c r="B450" t="str">
        <f t="shared" ref="B450:B513" si="50">PROPER(TEXT(A450,"mmmm"))</f>
        <v>Mayo</v>
      </c>
      <c r="C450" s="1" t="s">
        <v>66</v>
      </c>
      <c r="D450" s="58" t="str">
        <f>VLOOKUP(Datos!$C450,$AQ$2:$AR$41,2,0)</f>
        <v>Sur</v>
      </c>
      <c r="E450" s="1">
        <v>23530</v>
      </c>
      <c r="F450" s="1" t="str">
        <f t="array" ref="F450">_xlfn.IFS(H450=0,"Alta sin facturar",H450&gt;2,"Cliente",H450&gt;0,"Cliente nuevo")</f>
        <v>Cliente nuevo</v>
      </c>
      <c r="G450" s="1"/>
      <c r="H450" s="1">
        <f t="shared" si="47"/>
        <v>2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89">
        <v>8959.84</v>
      </c>
      <c r="O450" s="89">
        <v>0</v>
      </c>
      <c r="P450" s="89">
        <v>11675.399999999987</v>
      </c>
      <c r="Q450" s="54">
        <f t="shared" ref="Q450:Q513" si="51">SUBTOTAL(109,I450:P450)</f>
        <v>20635.239999999987</v>
      </c>
      <c r="R450" s="89">
        <v>6109.72</v>
      </c>
      <c r="S450" s="92">
        <f t="shared" si="48"/>
        <v>2</v>
      </c>
      <c r="T450" s="59">
        <f t="shared" ref="T450:T513" si="52">Q450-R450</f>
        <v>14525.519999999986</v>
      </c>
      <c r="U450" s="60">
        <f t="shared" ref="U450:U513" si="53">IF(Q450=0,0,R450/Q450)</f>
        <v>0.29608184833323986</v>
      </c>
      <c r="V450" s="59" t="str">
        <f t="array" ref="V450">_xlfn.IFS(S450=0,"Alta sin facturar",S450&gt;2,"Cliente",S450&gt;0,"Cliente nuevo")</f>
        <v>Cliente nuevo</v>
      </c>
      <c r="W450" s="59" t="str">
        <f t="shared" si="49"/>
        <v>Ha pagado</v>
      </c>
      <c r="X450" s="3"/>
      <c r="Y450" s="3"/>
      <c r="Z450" s="3"/>
      <c r="AA450" s="3"/>
      <c r="AB450" s="3"/>
      <c r="AC450" s="3"/>
      <c r="AD450" s="3"/>
      <c r="AE450" s="3"/>
      <c r="AG450"/>
      <c r="AH450"/>
      <c r="AI450"/>
      <c r="AJ450"/>
      <c r="AK450"/>
      <c r="AL450"/>
      <c r="AM450"/>
      <c r="AN450"/>
    </row>
    <row r="451" spans="1:40" x14ac:dyDescent="0.25">
      <c r="A451" s="6">
        <v>44708</v>
      </c>
      <c r="B451" t="str">
        <f t="shared" si="50"/>
        <v>Mayo</v>
      </c>
      <c r="C451" s="1" t="s">
        <v>102</v>
      </c>
      <c r="D451" s="58" t="str">
        <f>VLOOKUP(Datos!$C451,$AQ$2:$AR$41,2,0)</f>
        <v>Sur</v>
      </c>
      <c r="E451" s="1">
        <v>23531</v>
      </c>
      <c r="F451" s="1" t="str">
        <f t="array" ref="F451">_xlfn.IFS(H451=0,"Alta sin facturar",H451&gt;2,"Cliente",H451&gt;0,"Cliente nuevo")</f>
        <v>Cliente nuevo</v>
      </c>
      <c r="G451" s="1"/>
      <c r="H451" s="1">
        <f t="shared" ref="H451:H514" si="54">COUNTIF(I451:P451,"&gt;0")</f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89">
        <v>0</v>
      </c>
      <c r="O451" s="89">
        <v>2320</v>
      </c>
      <c r="P451" s="89">
        <v>0</v>
      </c>
      <c r="Q451" s="54">
        <f t="shared" si="51"/>
        <v>2320</v>
      </c>
      <c r="R451" s="89">
        <v>0</v>
      </c>
      <c r="S451" s="92">
        <f t="shared" ref="S451:S514" si="55">COUNTIF(I451:P451,"&gt;0")</f>
        <v>1</v>
      </c>
      <c r="T451" s="59">
        <f t="shared" si="52"/>
        <v>2320</v>
      </c>
      <c r="U451" s="60">
        <f t="shared" si="53"/>
        <v>0</v>
      </c>
      <c r="V451" s="59" t="str">
        <f t="array" ref="V451">_xlfn.IFS(S451=0,"Alta sin facturar",S451&gt;2,"Cliente",S451&gt;0,"Cliente nuevo")</f>
        <v>Cliente nuevo</v>
      </c>
      <c r="W451" s="59" t="str">
        <f t="shared" ref="W451:W514" si="56">IF(T451&lt;1,"Sin pago","Ha pagado")</f>
        <v>Ha pagado</v>
      </c>
      <c r="X451" s="3"/>
      <c r="Y451" s="3"/>
      <c r="Z451" s="3"/>
      <c r="AA451" s="3"/>
      <c r="AB451" s="3"/>
      <c r="AC451" s="3"/>
      <c r="AD451" s="3"/>
      <c r="AE451" s="3"/>
      <c r="AG451"/>
      <c r="AH451"/>
      <c r="AI451"/>
      <c r="AJ451"/>
      <c r="AK451"/>
      <c r="AL451"/>
      <c r="AM451"/>
      <c r="AN451"/>
    </row>
    <row r="452" spans="1:40" x14ac:dyDescent="0.25">
      <c r="A452" s="6">
        <v>44711</v>
      </c>
      <c r="B452" t="str">
        <f t="shared" si="50"/>
        <v>Mayo</v>
      </c>
      <c r="C452" s="1" t="s">
        <v>36</v>
      </c>
      <c r="D452" s="58" t="str">
        <f>VLOOKUP(Datos!$C452,$AQ$2:$AR$41,2,0)</f>
        <v>Magallanes</v>
      </c>
      <c r="E452" s="1">
        <v>23532</v>
      </c>
      <c r="F452" s="1" t="str">
        <f t="array" ref="F452">_xlfn.IFS(H452=0,"Alta sin facturar",H452&gt;2,"Cliente",H452&gt;0,"Cliente nuevo")</f>
        <v>Cliente</v>
      </c>
      <c r="G452" s="1"/>
      <c r="H452" s="1">
        <f t="shared" si="54"/>
        <v>3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89">
        <v>1298.04</v>
      </c>
      <c r="O452" s="89">
        <v>1266.72</v>
      </c>
      <c r="P452" s="89">
        <v>591.59999999999991</v>
      </c>
      <c r="Q452" s="54">
        <f t="shared" si="51"/>
        <v>3156.36</v>
      </c>
      <c r="R452" s="89">
        <v>0</v>
      </c>
      <c r="S452" s="92">
        <f t="shared" si="55"/>
        <v>3</v>
      </c>
      <c r="T452" s="59">
        <f t="shared" si="52"/>
        <v>3156.36</v>
      </c>
      <c r="U452" s="60">
        <f t="shared" si="53"/>
        <v>0</v>
      </c>
      <c r="V452" s="59" t="str">
        <f t="array" ref="V452">_xlfn.IFS(S452=0,"Alta sin facturar",S452&gt;2,"Cliente",S452&gt;0,"Cliente nuevo")</f>
        <v>Cliente</v>
      </c>
      <c r="W452" s="59" t="str">
        <f t="shared" si="56"/>
        <v>Ha pagado</v>
      </c>
      <c r="X452" s="3"/>
      <c r="Y452" s="3"/>
      <c r="Z452" s="3"/>
      <c r="AA452" s="3"/>
      <c r="AB452" s="3"/>
      <c r="AC452" s="3"/>
      <c r="AD452" s="3"/>
      <c r="AE452" s="3"/>
      <c r="AG452"/>
      <c r="AH452"/>
      <c r="AI452"/>
      <c r="AJ452"/>
      <c r="AK452"/>
      <c r="AL452"/>
      <c r="AM452"/>
      <c r="AN452"/>
    </row>
    <row r="453" spans="1:40" x14ac:dyDescent="0.25">
      <c r="A453" s="6">
        <v>44711</v>
      </c>
      <c r="B453" t="str">
        <f t="shared" si="50"/>
        <v>Mayo</v>
      </c>
      <c r="C453" s="1" t="s">
        <v>36</v>
      </c>
      <c r="D453" s="58" t="str">
        <f>VLOOKUP(Datos!$C453,$AQ$2:$AR$41,2,0)</f>
        <v>Magallanes</v>
      </c>
      <c r="E453" s="1">
        <v>23533</v>
      </c>
      <c r="F453" s="1" t="str">
        <f t="array" ref="F453">_xlfn.IFS(H453=0,"Alta sin facturar",H453&gt;2,"Cliente",H453&gt;0,"Cliente nuevo")</f>
        <v>Cliente nuevo</v>
      </c>
      <c r="G453" s="1"/>
      <c r="H453" s="1">
        <f t="shared" si="54"/>
        <v>1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89">
        <v>0</v>
      </c>
      <c r="O453" s="89">
        <v>0</v>
      </c>
      <c r="P453" s="89">
        <v>92.8</v>
      </c>
      <c r="Q453" s="54">
        <f t="shared" si="51"/>
        <v>92.8</v>
      </c>
      <c r="R453" s="89"/>
      <c r="S453" s="92">
        <f t="shared" si="55"/>
        <v>1</v>
      </c>
      <c r="T453" s="59">
        <f t="shared" si="52"/>
        <v>92.8</v>
      </c>
      <c r="U453" s="60">
        <f t="shared" si="53"/>
        <v>0</v>
      </c>
      <c r="V453" s="59" t="str">
        <f t="array" ref="V453">_xlfn.IFS(S453=0,"Alta sin facturar",S453&gt;2,"Cliente",S453&gt;0,"Cliente nuevo")</f>
        <v>Cliente nuevo</v>
      </c>
      <c r="W453" s="59" t="str">
        <f t="shared" si="56"/>
        <v>Ha pagado</v>
      </c>
      <c r="X453" s="3"/>
      <c r="Y453" s="3"/>
      <c r="Z453" s="3"/>
      <c r="AA453" s="3"/>
      <c r="AB453" s="3"/>
      <c r="AC453" s="3"/>
      <c r="AD453" s="3"/>
      <c r="AE453" s="3"/>
      <c r="AG453"/>
      <c r="AH453"/>
      <c r="AI453"/>
      <c r="AJ453"/>
      <c r="AK453"/>
      <c r="AL453"/>
      <c r="AM453"/>
      <c r="AN453"/>
    </row>
    <row r="454" spans="1:40" x14ac:dyDescent="0.25">
      <c r="A454" s="6">
        <v>44711</v>
      </c>
      <c r="B454" t="str">
        <f t="shared" si="50"/>
        <v>Mayo</v>
      </c>
      <c r="C454" s="1" t="s">
        <v>36</v>
      </c>
      <c r="D454" s="58" t="str">
        <f>VLOOKUP(Datos!$C454,$AQ$2:$AR$41,2,0)</f>
        <v>Magallanes</v>
      </c>
      <c r="E454" s="1">
        <v>23534</v>
      </c>
      <c r="F454" s="1" t="str">
        <f t="array" ref="F454">_xlfn.IFS(H454=0,"Alta sin facturar",H454&gt;2,"Cliente",H454&gt;0,"Cliente nuevo")</f>
        <v>Alta sin facturar</v>
      </c>
      <c r="G454" s="1"/>
      <c r="H454" s="1">
        <f t="shared" si="54"/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89">
        <v>0</v>
      </c>
      <c r="O454" s="89">
        <v>0</v>
      </c>
      <c r="P454" s="89">
        <v>0</v>
      </c>
      <c r="Q454" s="54">
        <f t="shared" si="51"/>
        <v>0</v>
      </c>
      <c r="R454" s="89"/>
      <c r="S454" s="92">
        <f t="shared" si="55"/>
        <v>0</v>
      </c>
      <c r="T454" s="59">
        <f t="shared" si="52"/>
        <v>0</v>
      </c>
      <c r="U454" s="60">
        <f t="shared" si="53"/>
        <v>0</v>
      </c>
      <c r="V454" s="59" t="str">
        <f t="array" ref="V454">_xlfn.IFS(S454=0,"Alta sin facturar",S454&gt;2,"Cliente",S454&gt;0,"Cliente nuevo")</f>
        <v>Alta sin facturar</v>
      </c>
      <c r="W454" s="59" t="str">
        <f t="shared" si="56"/>
        <v>Sin pago</v>
      </c>
      <c r="X454" s="3"/>
      <c r="Y454" s="3"/>
      <c r="Z454" s="3"/>
      <c r="AA454" s="3"/>
      <c r="AB454" s="3"/>
      <c r="AC454" s="3"/>
      <c r="AD454" s="3"/>
      <c r="AE454" s="3"/>
      <c r="AG454"/>
      <c r="AH454"/>
      <c r="AI454"/>
      <c r="AJ454"/>
      <c r="AK454"/>
      <c r="AL454"/>
      <c r="AM454"/>
      <c r="AN454"/>
    </row>
    <row r="455" spans="1:40" x14ac:dyDescent="0.25">
      <c r="A455" s="6">
        <v>44712</v>
      </c>
      <c r="B455" t="str">
        <f t="shared" si="50"/>
        <v>Mayo</v>
      </c>
      <c r="C455" s="1" t="s">
        <v>97</v>
      </c>
      <c r="D455" s="58" t="str">
        <f>VLOOKUP(Datos!$C455,$AQ$2:$AR$41,2,0)</f>
        <v>Centro</v>
      </c>
      <c r="E455" s="1">
        <v>23535</v>
      </c>
      <c r="F455" s="1" t="str">
        <f t="array" ref="F455">_xlfn.IFS(H455=0,"Alta sin facturar",H455&gt;2,"Cliente",H455&gt;0,"Cliente nuevo")</f>
        <v>Cliente</v>
      </c>
      <c r="G455" s="1"/>
      <c r="H455" s="1">
        <f t="shared" si="54"/>
        <v>3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89">
        <v>2255.04</v>
      </c>
      <c r="O455" s="89">
        <v>3633.1200000000022</v>
      </c>
      <c r="P455" s="89">
        <v>2380.3200000000002</v>
      </c>
      <c r="Q455" s="54">
        <f t="shared" si="51"/>
        <v>8268.4800000000014</v>
      </c>
      <c r="R455" s="89">
        <v>0</v>
      </c>
      <c r="S455" s="92">
        <f t="shared" si="55"/>
        <v>3</v>
      </c>
      <c r="T455" s="59">
        <f t="shared" si="52"/>
        <v>8268.4800000000014</v>
      </c>
      <c r="U455" s="60">
        <f t="shared" si="53"/>
        <v>0</v>
      </c>
      <c r="V455" s="59" t="str">
        <f t="array" ref="V455">_xlfn.IFS(S455=0,"Alta sin facturar",S455&gt;2,"Cliente",S455&gt;0,"Cliente nuevo")</f>
        <v>Cliente</v>
      </c>
      <c r="W455" s="59" t="str">
        <f t="shared" si="56"/>
        <v>Ha pagado</v>
      </c>
      <c r="X455" s="3"/>
      <c r="Y455" s="3"/>
      <c r="Z455" s="3"/>
      <c r="AA455" s="3"/>
      <c r="AB455" s="3"/>
      <c r="AC455" s="3"/>
      <c r="AD455" s="3"/>
      <c r="AE455" s="3"/>
      <c r="AG455"/>
      <c r="AH455"/>
      <c r="AI455"/>
      <c r="AJ455"/>
      <c r="AK455"/>
      <c r="AL455"/>
      <c r="AM455"/>
      <c r="AN455"/>
    </row>
    <row r="456" spans="1:40" x14ac:dyDescent="0.25">
      <c r="A456" s="6">
        <v>44712</v>
      </c>
      <c r="B456" t="str">
        <f t="shared" si="50"/>
        <v>Mayo</v>
      </c>
      <c r="C456" s="1" t="s">
        <v>38</v>
      </c>
      <c r="D456" s="58" t="str">
        <f>VLOOKUP(Datos!$C456,$AQ$2:$AR$41,2,0)</f>
        <v>Centro</v>
      </c>
      <c r="E456" s="1">
        <v>23536</v>
      </c>
      <c r="F456" s="1" t="str">
        <f t="array" ref="F456">_xlfn.IFS(H456=0,"Alta sin facturar",H456&gt;2,"Cliente",H456&gt;0,"Cliente nuevo")</f>
        <v>Alta sin facturar</v>
      </c>
      <c r="G456" s="1"/>
      <c r="H456" s="1">
        <f t="shared" si="54"/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89">
        <v>0</v>
      </c>
      <c r="O456" s="89">
        <v>0</v>
      </c>
      <c r="P456" s="89">
        <v>0</v>
      </c>
      <c r="Q456" s="54">
        <f t="shared" si="51"/>
        <v>0</v>
      </c>
      <c r="R456" s="89"/>
      <c r="S456" s="92">
        <f t="shared" si="55"/>
        <v>0</v>
      </c>
      <c r="T456" s="59">
        <f t="shared" si="52"/>
        <v>0</v>
      </c>
      <c r="U456" s="60">
        <f t="shared" si="53"/>
        <v>0</v>
      </c>
      <c r="V456" s="59" t="str">
        <f t="array" ref="V456">_xlfn.IFS(S456=0,"Alta sin facturar",S456&gt;2,"Cliente",S456&gt;0,"Cliente nuevo")</f>
        <v>Alta sin facturar</v>
      </c>
      <c r="W456" s="59" t="str">
        <f t="shared" si="56"/>
        <v>Sin pago</v>
      </c>
      <c r="X456" s="3"/>
      <c r="Y456" s="3"/>
      <c r="Z456" s="3"/>
      <c r="AA456" s="3"/>
      <c r="AB456" s="3"/>
      <c r="AC456" s="3"/>
      <c r="AD456" s="3"/>
      <c r="AE456" s="3"/>
      <c r="AG456"/>
      <c r="AH456"/>
      <c r="AI456"/>
      <c r="AJ456"/>
      <c r="AK456"/>
      <c r="AL456"/>
      <c r="AM456"/>
      <c r="AN456"/>
    </row>
    <row r="457" spans="1:40" x14ac:dyDescent="0.25">
      <c r="A457" s="6">
        <v>44712</v>
      </c>
      <c r="B457" t="str">
        <f t="shared" si="50"/>
        <v>Mayo</v>
      </c>
      <c r="C457" s="1" t="s">
        <v>42</v>
      </c>
      <c r="D457" s="58" t="str">
        <f>VLOOKUP(Datos!$C457,$AQ$2:$AR$41,2,0)</f>
        <v>Norte</v>
      </c>
      <c r="E457" s="1">
        <v>23537</v>
      </c>
      <c r="F457" s="1" t="str">
        <f t="array" ref="F457">_xlfn.IFS(H457=0,"Alta sin facturar",H457&gt;2,"Cliente",H457&gt;0,"Cliente nuevo")</f>
        <v>Cliente nuevo</v>
      </c>
      <c r="G457" s="1"/>
      <c r="H457" s="1">
        <f t="shared" si="54"/>
        <v>2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89">
        <v>2071.7600000000002</v>
      </c>
      <c r="O457" s="89">
        <v>0</v>
      </c>
      <c r="P457" s="89">
        <v>635.68000000000006</v>
      </c>
      <c r="Q457" s="54">
        <f t="shared" si="51"/>
        <v>2707.4400000000005</v>
      </c>
      <c r="R457" s="89">
        <v>0</v>
      </c>
      <c r="S457" s="92">
        <f t="shared" si="55"/>
        <v>2</v>
      </c>
      <c r="T457" s="59">
        <f t="shared" si="52"/>
        <v>2707.4400000000005</v>
      </c>
      <c r="U457" s="60">
        <f t="shared" si="53"/>
        <v>0</v>
      </c>
      <c r="V457" s="59" t="str">
        <f t="array" ref="V457">_xlfn.IFS(S457=0,"Alta sin facturar",S457&gt;2,"Cliente",S457&gt;0,"Cliente nuevo")</f>
        <v>Cliente nuevo</v>
      </c>
      <c r="W457" s="59" t="str">
        <f t="shared" si="56"/>
        <v>Ha pagado</v>
      </c>
      <c r="X457" s="3"/>
      <c r="Y457" s="3"/>
      <c r="Z457" s="3"/>
      <c r="AA457" s="3"/>
      <c r="AB457" s="3"/>
      <c r="AC457" s="3"/>
      <c r="AD457" s="3"/>
      <c r="AE457" s="3"/>
      <c r="AG457"/>
      <c r="AH457"/>
      <c r="AI457"/>
      <c r="AJ457"/>
      <c r="AK457"/>
      <c r="AL457"/>
      <c r="AM457"/>
      <c r="AN457"/>
    </row>
    <row r="458" spans="1:40" x14ac:dyDescent="0.25">
      <c r="A458" s="6">
        <v>44712</v>
      </c>
      <c r="B458" t="str">
        <f t="shared" si="50"/>
        <v>Mayo</v>
      </c>
      <c r="C458" s="1" t="s">
        <v>66</v>
      </c>
      <c r="D458" s="58" t="str">
        <f>VLOOKUP(Datos!$C458,$AQ$2:$AR$41,2,0)</f>
        <v>Sur</v>
      </c>
      <c r="E458" s="1">
        <v>23538</v>
      </c>
      <c r="F458" s="1" t="str">
        <f t="array" ref="F458">_xlfn.IFS(H458=0,"Alta sin facturar",H458&gt;2,"Cliente",H458&gt;0,"Cliente nuevo")</f>
        <v>Cliente nuevo</v>
      </c>
      <c r="G458" s="1"/>
      <c r="H458" s="1">
        <f t="shared" si="54"/>
        <v>2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89">
        <v>5493.76</v>
      </c>
      <c r="O458" s="89">
        <v>0</v>
      </c>
      <c r="P458" s="89">
        <v>8894.8799999999974</v>
      </c>
      <c r="Q458" s="54">
        <f t="shared" si="51"/>
        <v>14388.639999999998</v>
      </c>
      <c r="R458" s="89">
        <v>9205.76</v>
      </c>
      <c r="S458" s="92">
        <f t="shared" si="55"/>
        <v>2</v>
      </c>
      <c r="T458" s="59">
        <f t="shared" si="52"/>
        <v>5182.8799999999974</v>
      </c>
      <c r="U458" s="60">
        <f t="shared" si="53"/>
        <v>0.63979361496291531</v>
      </c>
      <c r="V458" s="59" t="str">
        <f t="array" ref="V458">_xlfn.IFS(S458=0,"Alta sin facturar",S458&gt;2,"Cliente",S458&gt;0,"Cliente nuevo")</f>
        <v>Cliente nuevo</v>
      </c>
      <c r="W458" s="59" t="str">
        <f t="shared" si="56"/>
        <v>Ha pagado</v>
      </c>
      <c r="X458" s="3"/>
      <c r="Y458" s="3"/>
      <c r="Z458" s="3"/>
      <c r="AA458" s="3"/>
      <c r="AB458" s="3"/>
      <c r="AC458" s="3"/>
      <c r="AD458" s="3"/>
      <c r="AE458" s="3"/>
      <c r="AG458"/>
      <c r="AH458"/>
      <c r="AI458"/>
      <c r="AJ458"/>
      <c r="AK458"/>
      <c r="AL458"/>
      <c r="AM458"/>
      <c r="AN458"/>
    </row>
    <row r="459" spans="1:40" x14ac:dyDescent="0.25">
      <c r="A459" s="6">
        <v>44712</v>
      </c>
      <c r="B459" t="str">
        <f t="shared" si="50"/>
        <v>Mayo</v>
      </c>
      <c r="C459" s="1" t="s">
        <v>36</v>
      </c>
      <c r="D459" s="58" t="str">
        <f>VLOOKUP(Datos!$C459,$AQ$2:$AR$41,2,0)</f>
        <v>Magallanes</v>
      </c>
      <c r="E459" s="1">
        <v>23539</v>
      </c>
      <c r="F459" s="1" t="str">
        <f t="array" ref="F459">_xlfn.IFS(H459=0,"Alta sin facturar",H459&gt;2,"Cliente",H459&gt;0,"Cliente nuevo")</f>
        <v>Cliente</v>
      </c>
      <c r="G459" s="1"/>
      <c r="H459" s="1">
        <f t="shared" si="54"/>
        <v>3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89">
        <v>641.48</v>
      </c>
      <c r="O459" s="89">
        <v>718.04</v>
      </c>
      <c r="P459" s="89">
        <v>1012.6800000000001</v>
      </c>
      <c r="Q459" s="54">
        <f t="shared" si="51"/>
        <v>2372.1999999999998</v>
      </c>
      <c r="R459" s="89">
        <v>718.04</v>
      </c>
      <c r="S459" s="92">
        <f t="shared" si="55"/>
        <v>3</v>
      </c>
      <c r="T459" s="59">
        <f t="shared" si="52"/>
        <v>1654.1599999999999</v>
      </c>
      <c r="U459" s="60">
        <f t="shared" si="53"/>
        <v>0.30268948655256722</v>
      </c>
      <c r="V459" s="59" t="str">
        <f t="array" ref="V459">_xlfn.IFS(S459=0,"Alta sin facturar",S459&gt;2,"Cliente",S459&gt;0,"Cliente nuevo")</f>
        <v>Cliente</v>
      </c>
      <c r="W459" s="59" t="str">
        <f t="shared" si="56"/>
        <v>Ha pagado</v>
      </c>
      <c r="X459" s="3"/>
      <c r="Y459" s="3"/>
      <c r="Z459" s="3"/>
      <c r="AA459" s="3"/>
      <c r="AB459" s="3"/>
      <c r="AC459" s="3"/>
      <c r="AD459" s="3"/>
      <c r="AE459" s="3"/>
      <c r="AG459"/>
      <c r="AH459"/>
      <c r="AI459"/>
      <c r="AJ459"/>
      <c r="AK459"/>
      <c r="AL459"/>
      <c r="AM459"/>
      <c r="AN459"/>
    </row>
    <row r="460" spans="1:40" x14ac:dyDescent="0.25">
      <c r="A460" s="6">
        <v>44713</v>
      </c>
      <c r="B460" t="str">
        <f t="shared" si="50"/>
        <v>Junio</v>
      </c>
      <c r="C460" s="1" t="s">
        <v>59</v>
      </c>
      <c r="D460" s="58" t="str">
        <f>VLOOKUP(Datos!$C460,$AQ$2:$AR$41,2,0)</f>
        <v>Magallanes</v>
      </c>
      <c r="E460" s="1">
        <v>23540</v>
      </c>
      <c r="F460" s="1" t="str">
        <f t="array" ref="F460">_xlfn.IFS(H460=0,"Alta sin facturar",H460&gt;2,"Cliente",H460&gt;0,"Cliente nuevo")</f>
        <v>Cliente nuevo</v>
      </c>
      <c r="G460" s="1"/>
      <c r="H460" s="1">
        <f t="shared" si="54"/>
        <v>2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89">
        <v>336.4</v>
      </c>
      <c r="O460" s="89">
        <v>0</v>
      </c>
      <c r="P460" s="89">
        <v>69.599999999999994</v>
      </c>
      <c r="Q460" s="54">
        <f t="shared" si="51"/>
        <v>406</v>
      </c>
      <c r="R460" s="89">
        <v>0</v>
      </c>
      <c r="S460" s="92">
        <f t="shared" si="55"/>
        <v>2</v>
      </c>
      <c r="T460" s="59">
        <f t="shared" si="52"/>
        <v>406</v>
      </c>
      <c r="U460" s="60">
        <f t="shared" si="53"/>
        <v>0</v>
      </c>
      <c r="V460" s="59" t="str">
        <f t="array" ref="V460">_xlfn.IFS(S460=0,"Alta sin facturar",S460&gt;2,"Cliente",S460&gt;0,"Cliente nuevo")</f>
        <v>Cliente nuevo</v>
      </c>
      <c r="W460" s="59" t="str">
        <f t="shared" si="56"/>
        <v>Ha pagado</v>
      </c>
      <c r="X460" s="3"/>
      <c r="Y460" s="3"/>
      <c r="Z460" s="3"/>
      <c r="AA460" s="3"/>
      <c r="AB460" s="3"/>
      <c r="AC460" s="3"/>
      <c r="AD460" s="3"/>
      <c r="AE460" s="3"/>
      <c r="AG460"/>
      <c r="AH460"/>
      <c r="AI460"/>
      <c r="AJ460"/>
      <c r="AK460"/>
      <c r="AL460"/>
      <c r="AM460"/>
      <c r="AN460"/>
    </row>
    <row r="461" spans="1:40" x14ac:dyDescent="0.25">
      <c r="A461" s="6">
        <v>44713</v>
      </c>
      <c r="B461" t="str">
        <f t="shared" si="50"/>
        <v>Junio</v>
      </c>
      <c r="C461" s="1" t="s">
        <v>97</v>
      </c>
      <c r="D461" s="58" t="str">
        <f>VLOOKUP(Datos!$C461,$AQ$2:$AR$41,2,0)</f>
        <v>Centro</v>
      </c>
      <c r="E461" s="1">
        <v>23541</v>
      </c>
      <c r="F461" s="1" t="str">
        <f t="array" ref="F461">_xlfn.IFS(H461=0,"Alta sin facturar",H461&gt;2,"Cliente",H461&gt;0,"Cliente nuevo")</f>
        <v>Cliente nuevo</v>
      </c>
      <c r="G461" s="1"/>
      <c r="H461" s="1">
        <f t="shared" si="54"/>
        <v>2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89">
        <v>0</v>
      </c>
      <c r="O461" s="89">
        <v>301.59999999999997</v>
      </c>
      <c r="P461" s="89">
        <v>909.43999999999994</v>
      </c>
      <c r="Q461" s="54">
        <f t="shared" si="51"/>
        <v>1211.04</v>
      </c>
      <c r="R461" s="89">
        <v>788.8</v>
      </c>
      <c r="S461" s="92">
        <f t="shared" si="55"/>
        <v>2</v>
      </c>
      <c r="T461" s="59">
        <f t="shared" si="52"/>
        <v>422.24</v>
      </c>
      <c r="U461" s="60">
        <f t="shared" si="53"/>
        <v>0.65134099616858232</v>
      </c>
      <c r="V461" s="59" t="str">
        <f t="array" ref="V461">_xlfn.IFS(S461=0,"Alta sin facturar",S461&gt;2,"Cliente",S461&gt;0,"Cliente nuevo")</f>
        <v>Cliente nuevo</v>
      </c>
      <c r="W461" s="59" t="str">
        <f t="shared" si="56"/>
        <v>Ha pagado</v>
      </c>
      <c r="X461" s="3"/>
      <c r="Y461" s="3"/>
      <c r="Z461" s="3"/>
      <c r="AA461" s="3"/>
      <c r="AB461" s="3"/>
      <c r="AC461" s="3"/>
      <c r="AD461" s="3"/>
      <c r="AE461" s="3"/>
      <c r="AG461"/>
      <c r="AH461"/>
      <c r="AI461"/>
      <c r="AJ461"/>
      <c r="AK461"/>
      <c r="AL461"/>
      <c r="AM461"/>
      <c r="AN461"/>
    </row>
    <row r="462" spans="1:40" x14ac:dyDescent="0.25">
      <c r="A462" s="6">
        <v>44713</v>
      </c>
      <c r="B462" t="str">
        <f t="shared" si="50"/>
        <v>Junio</v>
      </c>
      <c r="C462" s="1" t="s">
        <v>97</v>
      </c>
      <c r="D462" s="58" t="str">
        <f>VLOOKUP(Datos!$C462,$AQ$2:$AR$41,2,0)</f>
        <v>Centro</v>
      </c>
      <c r="E462" s="1">
        <v>23542</v>
      </c>
      <c r="F462" s="1" t="str">
        <f t="array" ref="F462">_xlfn.IFS(H462=0,"Alta sin facturar",H462&gt;2,"Cliente",H462&gt;0,"Cliente nuevo")</f>
        <v>Alta sin facturar</v>
      </c>
      <c r="G462" s="1"/>
      <c r="H462" s="1">
        <f t="shared" si="54"/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89">
        <v>0</v>
      </c>
      <c r="O462" s="89">
        <v>0</v>
      </c>
      <c r="P462" s="89">
        <v>0</v>
      </c>
      <c r="Q462" s="54">
        <f t="shared" si="51"/>
        <v>0</v>
      </c>
      <c r="R462" s="89"/>
      <c r="S462" s="92">
        <f t="shared" si="55"/>
        <v>0</v>
      </c>
      <c r="T462" s="59">
        <f t="shared" si="52"/>
        <v>0</v>
      </c>
      <c r="U462" s="60">
        <f t="shared" si="53"/>
        <v>0</v>
      </c>
      <c r="V462" s="59" t="str">
        <f t="array" ref="V462">_xlfn.IFS(S462=0,"Alta sin facturar",S462&gt;2,"Cliente",S462&gt;0,"Cliente nuevo")</f>
        <v>Alta sin facturar</v>
      </c>
      <c r="W462" s="59" t="str">
        <f t="shared" si="56"/>
        <v>Sin pago</v>
      </c>
      <c r="X462" s="3"/>
      <c r="Y462" s="3"/>
      <c r="Z462" s="3"/>
      <c r="AA462" s="3"/>
      <c r="AB462" s="3"/>
      <c r="AC462" s="3"/>
      <c r="AD462" s="3"/>
      <c r="AE462" s="3"/>
      <c r="AG462"/>
      <c r="AH462"/>
      <c r="AI462"/>
      <c r="AJ462"/>
      <c r="AK462"/>
      <c r="AL462"/>
      <c r="AM462"/>
      <c r="AN462"/>
    </row>
    <row r="463" spans="1:40" x14ac:dyDescent="0.25">
      <c r="A463" s="6">
        <v>44714</v>
      </c>
      <c r="B463" t="str">
        <f t="shared" si="50"/>
        <v>Junio</v>
      </c>
      <c r="C463" s="1" t="s">
        <v>59</v>
      </c>
      <c r="D463" s="58" t="str">
        <f>VLOOKUP(Datos!$C463,$AQ$2:$AR$41,2,0)</f>
        <v>Magallanes</v>
      </c>
      <c r="E463" s="1">
        <v>23543</v>
      </c>
      <c r="F463" s="1" t="str">
        <f t="array" ref="F463">_xlfn.IFS(H463=0,"Alta sin facturar",H463&gt;2,"Cliente",H463&gt;0,"Cliente nuevo")</f>
        <v>Cliente nuevo</v>
      </c>
      <c r="G463" s="1"/>
      <c r="H463" s="1">
        <f t="shared" si="54"/>
        <v>2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89">
        <v>0</v>
      </c>
      <c r="O463" s="89">
        <v>425.71999999999991</v>
      </c>
      <c r="P463" s="89">
        <v>243.6</v>
      </c>
      <c r="Q463" s="54">
        <f t="shared" si="51"/>
        <v>669.31999999999994</v>
      </c>
      <c r="R463" s="89">
        <v>232</v>
      </c>
      <c r="S463" s="92">
        <f t="shared" si="55"/>
        <v>2</v>
      </c>
      <c r="T463" s="59">
        <f t="shared" si="52"/>
        <v>437.31999999999994</v>
      </c>
      <c r="U463" s="60">
        <f t="shared" si="53"/>
        <v>0.34662045060658581</v>
      </c>
      <c r="V463" s="59" t="str">
        <f t="array" ref="V463">_xlfn.IFS(S463=0,"Alta sin facturar",S463&gt;2,"Cliente",S463&gt;0,"Cliente nuevo")</f>
        <v>Cliente nuevo</v>
      </c>
      <c r="W463" s="59" t="str">
        <f t="shared" si="56"/>
        <v>Ha pagado</v>
      </c>
      <c r="X463" s="3"/>
      <c r="Y463" s="3"/>
      <c r="Z463" s="3"/>
      <c r="AA463" s="3"/>
      <c r="AB463" s="3"/>
      <c r="AC463" s="3"/>
      <c r="AD463" s="3"/>
      <c r="AE463" s="3"/>
      <c r="AG463"/>
      <c r="AH463"/>
      <c r="AI463"/>
      <c r="AJ463"/>
      <c r="AK463"/>
      <c r="AL463"/>
      <c r="AM463"/>
      <c r="AN463"/>
    </row>
    <row r="464" spans="1:40" x14ac:dyDescent="0.25">
      <c r="A464" s="6">
        <v>44714</v>
      </c>
      <c r="B464" t="str">
        <f t="shared" si="50"/>
        <v>Junio</v>
      </c>
      <c r="C464" s="1" t="s">
        <v>66</v>
      </c>
      <c r="D464" s="58" t="str">
        <f>VLOOKUP(Datos!$C464,$AQ$2:$AR$41,2,0)</f>
        <v>Sur</v>
      </c>
      <c r="E464" s="1">
        <v>23544</v>
      </c>
      <c r="F464" s="1" t="str">
        <f t="array" ref="F464">_xlfn.IFS(H464=0,"Alta sin facturar",H464&gt;2,"Cliente",H464&gt;0,"Cliente nuevo")</f>
        <v>Cliente nuevo</v>
      </c>
      <c r="G464" s="1"/>
      <c r="H464" s="1">
        <f t="shared" si="54"/>
        <v>2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89">
        <v>3272.3599999999997</v>
      </c>
      <c r="O464" s="89">
        <v>0</v>
      </c>
      <c r="P464" s="89">
        <v>2372.1999999999998</v>
      </c>
      <c r="Q464" s="54">
        <f t="shared" si="51"/>
        <v>5644.5599999999995</v>
      </c>
      <c r="R464" s="89">
        <v>0</v>
      </c>
      <c r="S464" s="92">
        <f t="shared" si="55"/>
        <v>2</v>
      </c>
      <c r="T464" s="59">
        <f t="shared" si="52"/>
        <v>5644.5599999999995</v>
      </c>
      <c r="U464" s="60">
        <f t="shared" si="53"/>
        <v>0</v>
      </c>
      <c r="V464" s="59" t="str">
        <f t="array" ref="V464">_xlfn.IFS(S464=0,"Alta sin facturar",S464&gt;2,"Cliente",S464&gt;0,"Cliente nuevo")</f>
        <v>Cliente nuevo</v>
      </c>
      <c r="W464" s="59" t="str">
        <f t="shared" si="56"/>
        <v>Ha pagado</v>
      </c>
      <c r="X464" s="3"/>
      <c r="Y464" s="3"/>
      <c r="Z464" s="3"/>
      <c r="AA464" s="3"/>
      <c r="AB464" s="3"/>
      <c r="AC464" s="3"/>
      <c r="AD464" s="3"/>
      <c r="AE464" s="3"/>
      <c r="AG464"/>
      <c r="AH464"/>
      <c r="AI464"/>
      <c r="AJ464"/>
      <c r="AK464"/>
      <c r="AL464"/>
      <c r="AM464"/>
      <c r="AN464"/>
    </row>
    <row r="465" spans="1:40" x14ac:dyDescent="0.25">
      <c r="A465" s="6">
        <v>44714</v>
      </c>
      <c r="B465" t="str">
        <f t="shared" si="50"/>
        <v>Junio</v>
      </c>
      <c r="C465" s="1" t="s">
        <v>59</v>
      </c>
      <c r="D465" s="58" t="str">
        <f>VLOOKUP(Datos!$C465,$AQ$2:$AR$41,2,0)</f>
        <v>Magallanes</v>
      </c>
      <c r="E465" s="1">
        <v>23545</v>
      </c>
      <c r="F465" s="1" t="str">
        <f t="array" ref="F465">_xlfn.IFS(H465=0,"Alta sin facturar",H465&gt;2,"Cliente",H465&gt;0,"Cliente nuevo")</f>
        <v>Alta sin facturar</v>
      </c>
      <c r="G465" s="1"/>
      <c r="H465" s="1">
        <f t="shared" si="54"/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89">
        <v>0</v>
      </c>
      <c r="O465" s="89">
        <v>0</v>
      </c>
      <c r="P465" s="89">
        <v>0</v>
      </c>
      <c r="Q465" s="54">
        <f t="shared" si="51"/>
        <v>0</v>
      </c>
      <c r="R465" s="89"/>
      <c r="S465" s="92">
        <f t="shared" si="55"/>
        <v>0</v>
      </c>
      <c r="T465" s="59">
        <f t="shared" si="52"/>
        <v>0</v>
      </c>
      <c r="U465" s="60">
        <f t="shared" si="53"/>
        <v>0</v>
      </c>
      <c r="V465" s="59" t="str">
        <f t="array" ref="V465">_xlfn.IFS(S465=0,"Alta sin facturar",S465&gt;2,"Cliente",S465&gt;0,"Cliente nuevo")</f>
        <v>Alta sin facturar</v>
      </c>
      <c r="W465" s="59" t="str">
        <f t="shared" si="56"/>
        <v>Sin pago</v>
      </c>
      <c r="X465" s="3"/>
      <c r="Y465" s="3"/>
      <c r="Z465" s="3"/>
      <c r="AA465" s="3"/>
      <c r="AB465" s="3"/>
      <c r="AC465" s="3"/>
      <c r="AD465" s="3"/>
      <c r="AE465" s="3"/>
      <c r="AG465"/>
      <c r="AH465"/>
      <c r="AI465"/>
      <c r="AJ465"/>
      <c r="AK465"/>
      <c r="AL465"/>
      <c r="AM465"/>
      <c r="AN465"/>
    </row>
    <row r="466" spans="1:40" x14ac:dyDescent="0.25">
      <c r="A466" s="6">
        <v>44714</v>
      </c>
      <c r="B466" t="str">
        <f t="shared" si="50"/>
        <v>Junio</v>
      </c>
      <c r="C466" s="1" t="s">
        <v>31</v>
      </c>
      <c r="D466" s="58" t="str">
        <f>VLOOKUP(Datos!$C466,$AQ$2:$AR$41,2,0)</f>
        <v>Centro</v>
      </c>
      <c r="E466" s="1">
        <v>23546</v>
      </c>
      <c r="F466" s="1" t="str">
        <f t="array" ref="F466">_xlfn.IFS(H466=0,"Alta sin facturar",H466&gt;2,"Cliente",H466&gt;0,"Cliente nuevo")</f>
        <v>Cliente nuevo</v>
      </c>
      <c r="G466" s="1"/>
      <c r="H466" s="1">
        <f t="shared" si="54"/>
        <v>1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89">
        <v>556.79999999999995</v>
      </c>
      <c r="O466" s="89">
        <v>0</v>
      </c>
      <c r="P466" s="89">
        <v>0</v>
      </c>
      <c r="Q466" s="54">
        <f t="shared" si="51"/>
        <v>556.79999999999995</v>
      </c>
      <c r="R466" s="89">
        <v>556.79999999999995</v>
      </c>
      <c r="S466" s="92">
        <f t="shared" si="55"/>
        <v>1</v>
      </c>
      <c r="T466" s="59">
        <f t="shared" si="52"/>
        <v>0</v>
      </c>
      <c r="U466" s="60">
        <f t="shared" si="53"/>
        <v>1</v>
      </c>
      <c r="V466" s="59" t="str">
        <f t="array" ref="V466">_xlfn.IFS(S466=0,"Alta sin facturar",S466&gt;2,"Cliente",S466&gt;0,"Cliente nuevo")</f>
        <v>Cliente nuevo</v>
      </c>
      <c r="W466" s="59" t="str">
        <f t="shared" si="56"/>
        <v>Sin pago</v>
      </c>
      <c r="X466" s="3"/>
      <c r="Y466" s="3"/>
      <c r="Z466" s="3"/>
      <c r="AA466" s="3"/>
      <c r="AB466" s="3"/>
      <c r="AC466" s="3"/>
      <c r="AD466" s="3"/>
      <c r="AE466" s="3"/>
      <c r="AG466"/>
      <c r="AH466"/>
      <c r="AI466"/>
      <c r="AJ466"/>
      <c r="AK466"/>
      <c r="AL466"/>
      <c r="AM466"/>
      <c r="AN466"/>
    </row>
    <row r="467" spans="1:40" x14ac:dyDescent="0.25">
      <c r="A467" s="6">
        <v>44714</v>
      </c>
      <c r="B467" t="str">
        <f t="shared" si="50"/>
        <v>Junio</v>
      </c>
      <c r="C467" s="1" t="s">
        <v>31</v>
      </c>
      <c r="D467" s="58" t="str">
        <f>VLOOKUP(Datos!$C467,$AQ$2:$AR$41,2,0)</f>
        <v>Centro</v>
      </c>
      <c r="E467" s="1">
        <v>23547</v>
      </c>
      <c r="F467" s="1" t="str">
        <f t="array" ref="F467">_xlfn.IFS(H467=0,"Alta sin facturar",H467&gt;2,"Cliente",H467&gt;0,"Cliente nuevo")</f>
        <v>Alta sin facturar</v>
      </c>
      <c r="G467" s="1"/>
      <c r="H467" s="1">
        <f t="shared" si="54"/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89">
        <v>0</v>
      </c>
      <c r="O467" s="89">
        <v>0</v>
      </c>
      <c r="P467" s="89">
        <v>0</v>
      </c>
      <c r="Q467" s="54">
        <f t="shared" si="51"/>
        <v>0</v>
      </c>
      <c r="R467" s="89"/>
      <c r="S467" s="92">
        <f t="shared" si="55"/>
        <v>0</v>
      </c>
      <c r="T467" s="59">
        <f t="shared" si="52"/>
        <v>0</v>
      </c>
      <c r="U467" s="60">
        <f t="shared" si="53"/>
        <v>0</v>
      </c>
      <c r="V467" s="59" t="str">
        <f t="array" ref="V467">_xlfn.IFS(S467=0,"Alta sin facturar",S467&gt;2,"Cliente",S467&gt;0,"Cliente nuevo")</f>
        <v>Alta sin facturar</v>
      </c>
      <c r="W467" s="59" t="str">
        <f t="shared" si="56"/>
        <v>Sin pago</v>
      </c>
      <c r="X467" s="3"/>
      <c r="Y467" s="3"/>
      <c r="Z467" s="3"/>
      <c r="AA467" s="3"/>
      <c r="AB467" s="3"/>
      <c r="AC467" s="3"/>
      <c r="AD467" s="3"/>
      <c r="AE467" s="3"/>
      <c r="AG467"/>
      <c r="AH467"/>
      <c r="AI467"/>
      <c r="AJ467"/>
      <c r="AK467"/>
      <c r="AL467"/>
      <c r="AM467"/>
      <c r="AN467"/>
    </row>
    <row r="468" spans="1:40" x14ac:dyDescent="0.25">
      <c r="A468" s="6">
        <v>44714</v>
      </c>
      <c r="B468" t="str">
        <f t="shared" si="50"/>
        <v>Junio</v>
      </c>
      <c r="C468" s="1" t="s">
        <v>42</v>
      </c>
      <c r="D468" s="58" t="str">
        <f>VLOOKUP(Datos!$C468,$AQ$2:$AR$41,2,0)</f>
        <v>Norte</v>
      </c>
      <c r="E468" s="1">
        <v>23548</v>
      </c>
      <c r="F468" s="1" t="str">
        <f t="array" ref="F468">_xlfn.IFS(H468=0,"Alta sin facturar",H468&gt;2,"Cliente",H468&gt;0,"Cliente nuevo")</f>
        <v>Cliente nuevo</v>
      </c>
      <c r="G468" s="1"/>
      <c r="H468" s="1">
        <f t="shared" si="54"/>
        <v>2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89">
        <v>1572.96</v>
      </c>
      <c r="O468" s="89">
        <v>0</v>
      </c>
      <c r="P468" s="89">
        <v>2220.2399999999998</v>
      </c>
      <c r="Q468" s="54">
        <f t="shared" si="51"/>
        <v>3793.2</v>
      </c>
      <c r="R468" s="89">
        <v>0</v>
      </c>
      <c r="S468" s="92">
        <f t="shared" si="55"/>
        <v>2</v>
      </c>
      <c r="T468" s="59">
        <f t="shared" si="52"/>
        <v>3793.2</v>
      </c>
      <c r="U468" s="60">
        <f t="shared" si="53"/>
        <v>0</v>
      </c>
      <c r="V468" s="59" t="str">
        <f t="array" ref="V468">_xlfn.IFS(S468=0,"Alta sin facturar",S468&gt;2,"Cliente",S468&gt;0,"Cliente nuevo")</f>
        <v>Cliente nuevo</v>
      </c>
      <c r="W468" s="59" t="str">
        <f t="shared" si="56"/>
        <v>Ha pagado</v>
      </c>
      <c r="X468" s="3"/>
      <c r="Y468" s="3"/>
      <c r="Z468" s="3"/>
      <c r="AA468" s="3"/>
      <c r="AB468" s="3"/>
      <c r="AC468" s="3"/>
      <c r="AD468" s="3"/>
      <c r="AE468" s="3"/>
      <c r="AG468"/>
      <c r="AH468"/>
      <c r="AI468"/>
      <c r="AJ468"/>
      <c r="AK468"/>
      <c r="AL468"/>
      <c r="AM468"/>
      <c r="AN468"/>
    </row>
    <row r="469" spans="1:40" x14ac:dyDescent="0.25">
      <c r="A469" s="6">
        <v>44715</v>
      </c>
      <c r="B469" t="str">
        <f t="shared" si="50"/>
        <v>Junio</v>
      </c>
      <c r="C469" s="1" t="s">
        <v>59</v>
      </c>
      <c r="D469" s="58" t="str">
        <f>VLOOKUP(Datos!$C469,$AQ$2:$AR$41,2,0)</f>
        <v>Magallanes</v>
      </c>
      <c r="E469" s="1">
        <v>23549</v>
      </c>
      <c r="F469" s="1" t="str">
        <f t="array" ref="F469">_xlfn.IFS(H469=0,"Alta sin facturar",H469&gt;2,"Cliente",H469&gt;0,"Cliente nuevo")</f>
        <v>Cliente</v>
      </c>
      <c r="G469" s="1"/>
      <c r="H469" s="1">
        <f t="shared" si="54"/>
        <v>3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89">
        <v>19791.919999999998</v>
      </c>
      <c r="O469" s="89">
        <v>35797.60000000002</v>
      </c>
      <c r="P469" s="89">
        <v>79685.039999999979</v>
      </c>
      <c r="Q469" s="54">
        <f t="shared" si="51"/>
        <v>135274.56</v>
      </c>
      <c r="R469" s="89">
        <v>0</v>
      </c>
      <c r="S469" s="92">
        <f t="shared" si="55"/>
        <v>3</v>
      </c>
      <c r="T469" s="59">
        <f t="shared" si="52"/>
        <v>135274.56</v>
      </c>
      <c r="U469" s="60">
        <f t="shared" si="53"/>
        <v>0</v>
      </c>
      <c r="V469" s="59" t="str">
        <f t="array" ref="V469">_xlfn.IFS(S469=0,"Alta sin facturar",S469&gt;2,"Cliente",S469&gt;0,"Cliente nuevo")</f>
        <v>Cliente</v>
      </c>
      <c r="W469" s="59" t="str">
        <f t="shared" si="56"/>
        <v>Ha pagado</v>
      </c>
      <c r="X469" s="3"/>
      <c r="Y469" s="3"/>
      <c r="Z469" s="3"/>
      <c r="AA469" s="3"/>
      <c r="AB469" s="3"/>
      <c r="AC469" s="3"/>
      <c r="AD469" s="3"/>
      <c r="AE469" s="3"/>
      <c r="AG469"/>
      <c r="AH469"/>
      <c r="AI469"/>
      <c r="AJ469"/>
      <c r="AK469"/>
      <c r="AL469"/>
      <c r="AM469"/>
      <c r="AN469"/>
    </row>
    <row r="470" spans="1:40" x14ac:dyDescent="0.25">
      <c r="A470" s="6">
        <v>44715</v>
      </c>
      <c r="B470" t="str">
        <f t="shared" si="50"/>
        <v>Junio</v>
      </c>
      <c r="C470" s="1" t="s">
        <v>67</v>
      </c>
      <c r="D470" s="58" t="str">
        <f>VLOOKUP(Datos!$C470,$AQ$2:$AR$41,2,0)</f>
        <v>Norte</v>
      </c>
      <c r="E470" s="1">
        <v>23550</v>
      </c>
      <c r="F470" s="1" t="str">
        <f t="array" ref="F470">_xlfn.IFS(H470=0,"Alta sin facturar",H470&gt;2,"Cliente",H470&gt;0,"Cliente nuevo")</f>
        <v>Cliente</v>
      </c>
      <c r="G470" s="1"/>
      <c r="H470" s="1">
        <f t="shared" si="54"/>
        <v>3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89">
        <v>5976.3200000000006</v>
      </c>
      <c r="O470" s="89">
        <v>2302.6</v>
      </c>
      <c r="P470" s="89">
        <v>5505.3599999999988</v>
      </c>
      <c r="Q470" s="54">
        <f t="shared" si="51"/>
        <v>13784.279999999999</v>
      </c>
      <c r="R470" s="89">
        <v>1581.08</v>
      </c>
      <c r="S470" s="92">
        <f t="shared" si="55"/>
        <v>3</v>
      </c>
      <c r="T470" s="59">
        <f t="shared" si="52"/>
        <v>12203.199999999999</v>
      </c>
      <c r="U470" s="60">
        <f t="shared" si="53"/>
        <v>0.11470167466128083</v>
      </c>
      <c r="V470" s="59" t="str">
        <f t="array" ref="V470">_xlfn.IFS(S470=0,"Alta sin facturar",S470&gt;2,"Cliente",S470&gt;0,"Cliente nuevo")</f>
        <v>Cliente</v>
      </c>
      <c r="W470" s="59" t="str">
        <f t="shared" si="56"/>
        <v>Ha pagado</v>
      </c>
      <c r="X470" s="3"/>
      <c r="Y470" s="3"/>
      <c r="Z470" s="3"/>
      <c r="AA470" s="3"/>
      <c r="AB470" s="3"/>
      <c r="AC470" s="3"/>
      <c r="AD470" s="3"/>
      <c r="AE470" s="3"/>
      <c r="AG470"/>
      <c r="AH470"/>
      <c r="AI470"/>
      <c r="AJ470"/>
      <c r="AK470"/>
      <c r="AL470"/>
      <c r="AM470"/>
      <c r="AN470"/>
    </row>
    <row r="471" spans="1:40" x14ac:dyDescent="0.25">
      <c r="A471" s="6">
        <v>44716</v>
      </c>
      <c r="B471" t="str">
        <f t="shared" si="50"/>
        <v>Junio</v>
      </c>
      <c r="C471" s="1" t="s">
        <v>66</v>
      </c>
      <c r="D471" s="58" t="str">
        <f>VLOOKUP(Datos!$C471,$AQ$2:$AR$41,2,0)</f>
        <v>Sur</v>
      </c>
      <c r="E471" s="1">
        <v>23551</v>
      </c>
      <c r="F471" s="1" t="str">
        <f t="array" ref="F471">_xlfn.IFS(H471=0,"Alta sin facturar",H471&gt;2,"Cliente",H471&gt;0,"Cliente nuevo")</f>
        <v>Cliente nuevo</v>
      </c>
      <c r="G471" s="1"/>
      <c r="H471" s="1">
        <f t="shared" si="54"/>
        <v>2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89">
        <v>104.4</v>
      </c>
      <c r="O471" s="89">
        <v>0</v>
      </c>
      <c r="P471" s="89">
        <v>2869.84</v>
      </c>
      <c r="Q471" s="54">
        <f t="shared" si="51"/>
        <v>2974.2400000000002</v>
      </c>
      <c r="R471" s="89">
        <v>472.12</v>
      </c>
      <c r="S471" s="92">
        <f t="shared" si="55"/>
        <v>2</v>
      </c>
      <c r="T471" s="59">
        <f t="shared" si="52"/>
        <v>2502.1200000000003</v>
      </c>
      <c r="U471" s="60">
        <f t="shared" si="53"/>
        <v>0.15873634945397816</v>
      </c>
      <c r="V471" s="59" t="str">
        <f t="array" ref="V471">_xlfn.IFS(S471=0,"Alta sin facturar",S471&gt;2,"Cliente",S471&gt;0,"Cliente nuevo")</f>
        <v>Cliente nuevo</v>
      </c>
      <c r="W471" s="59" t="str">
        <f t="shared" si="56"/>
        <v>Ha pagado</v>
      </c>
      <c r="X471" s="3"/>
      <c r="Y471" s="3"/>
      <c r="Z471" s="3"/>
      <c r="AA471" s="3"/>
      <c r="AB471" s="3"/>
      <c r="AC471" s="3"/>
      <c r="AD471" s="3"/>
      <c r="AE471" s="3"/>
      <c r="AG471"/>
      <c r="AH471"/>
      <c r="AI471"/>
      <c r="AJ471"/>
      <c r="AK471"/>
      <c r="AL471"/>
      <c r="AM471"/>
      <c r="AN471"/>
    </row>
    <row r="472" spans="1:40" x14ac:dyDescent="0.25">
      <c r="A472" s="6">
        <v>44716</v>
      </c>
      <c r="B472" t="str">
        <f t="shared" si="50"/>
        <v>Junio</v>
      </c>
      <c r="C472" s="1" t="s">
        <v>59</v>
      </c>
      <c r="D472" s="58" t="str">
        <f>VLOOKUP(Datos!$C472,$AQ$2:$AR$41,2,0)</f>
        <v>Magallanes</v>
      </c>
      <c r="E472" s="1">
        <v>23552</v>
      </c>
      <c r="F472" s="1" t="str">
        <f t="array" ref="F472">_xlfn.IFS(H472=0,"Alta sin facturar",H472&gt;2,"Cliente",H472&gt;0,"Cliente nuevo")</f>
        <v>Cliente nuevo</v>
      </c>
      <c r="G472" s="1"/>
      <c r="H472" s="1">
        <f t="shared" si="54"/>
        <v>2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89">
        <v>3207.4</v>
      </c>
      <c r="O472" s="89">
        <v>1775.9599999999998</v>
      </c>
      <c r="P472" s="89">
        <v>0</v>
      </c>
      <c r="Q472" s="54">
        <f t="shared" si="51"/>
        <v>4983.3599999999997</v>
      </c>
      <c r="R472" s="89">
        <v>2.71</v>
      </c>
      <c r="S472" s="92">
        <f t="shared" si="55"/>
        <v>2</v>
      </c>
      <c r="T472" s="59">
        <f t="shared" si="52"/>
        <v>4980.6499999999996</v>
      </c>
      <c r="U472" s="60">
        <f t="shared" si="53"/>
        <v>5.4380979901110904E-4</v>
      </c>
      <c r="V472" s="59" t="str">
        <f t="array" ref="V472">_xlfn.IFS(S472=0,"Alta sin facturar",S472&gt;2,"Cliente",S472&gt;0,"Cliente nuevo")</f>
        <v>Cliente nuevo</v>
      </c>
      <c r="W472" s="59" t="str">
        <f t="shared" si="56"/>
        <v>Ha pagado</v>
      </c>
      <c r="X472" s="3"/>
      <c r="Y472" s="3"/>
      <c r="Z472" s="3"/>
      <c r="AA472" s="3"/>
      <c r="AB472" s="3"/>
      <c r="AC472" s="3"/>
      <c r="AD472" s="3"/>
      <c r="AE472" s="3"/>
      <c r="AG472"/>
      <c r="AH472"/>
      <c r="AI472"/>
      <c r="AJ472"/>
      <c r="AK472"/>
      <c r="AL472"/>
      <c r="AM472"/>
      <c r="AN472"/>
    </row>
    <row r="473" spans="1:40" x14ac:dyDescent="0.25">
      <c r="A473" s="6">
        <v>44718</v>
      </c>
      <c r="B473" t="str">
        <f t="shared" si="50"/>
        <v>Junio</v>
      </c>
      <c r="C473" s="1" t="s">
        <v>102</v>
      </c>
      <c r="D473" s="58" t="str">
        <f>VLOOKUP(Datos!$C473,$AQ$2:$AR$41,2,0)</f>
        <v>Sur</v>
      </c>
      <c r="E473" s="1">
        <v>23553</v>
      </c>
      <c r="F473" s="1" t="str">
        <f t="array" ref="F473">_xlfn.IFS(H473=0,"Alta sin facturar",H473&gt;2,"Cliente",H473&gt;0,"Cliente nuevo")</f>
        <v>Cliente nuevo</v>
      </c>
      <c r="G473" s="1"/>
      <c r="H473" s="1">
        <f t="shared" si="54"/>
        <v>2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89">
        <v>0</v>
      </c>
      <c r="O473" s="89">
        <v>1179.7199999999998</v>
      </c>
      <c r="P473" s="89">
        <v>2891.8799999999997</v>
      </c>
      <c r="Q473" s="54">
        <f t="shared" si="51"/>
        <v>4071.5999999999995</v>
      </c>
      <c r="R473" s="89">
        <v>0</v>
      </c>
      <c r="S473" s="92">
        <f t="shared" si="55"/>
        <v>2</v>
      </c>
      <c r="T473" s="59">
        <f t="shared" si="52"/>
        <v>4071.5999999999995</v>
      </c>
      <c r="U473" s="60">
        <f t="shared" si="53"/>
        <v>0</v>
      </c>
      <c r="V473" s="59" t="str">
        <f t="array" ref="V473">_xlfn.IFS(S473=0,"Alta sin facturar",S473&gt;2,"Cliente",S473&gt;0,"Cliente nuevo")</f>
        <v>Cliente nuevo</v>
      </c>
      <c r="W473" s="59" t="str">
        <f t="shared" si="56"/>
        <v>Ha pagado</v>
      </c>
      <c r="X473" s="3"/>
      <c r="Y473" s="3"/>
      <c r="Z473" s="3"/>
      <c r="AA473" s="3"/>
      <c r="AB473" s="3"/>
      <c r="AC473" s="3"/>
      <c r="AD473" s="3"/>
      <c r="AE473" s="3"/>
      <c r="AG473"/>
      <c r="AH473"/>
      <c r="AI473"/>
      <c r="AJ473"/>
      <c r="AK473"/>
      <c r="AL473"/>
      <c r="AM473"/>
      <c r="AN473"/>
    </row>
    <row r="474" spans="1:40" x14ac:dyDescent="0.25">
      <c r="A474" s="6">
        <v>44718</v>
      </c>
      <c r="B474" t="str">
        <f t="shared" si="50"/>
        <v>Junio</v>
      </c>
      <c r="C474" s="1" t="s">
        <v>75</v>
      </c>
      <c r="D474" s="58" t="str">
        <f>VLOOKUP(Datos!$C474,$AQ$2:$AR$41,2,0)</f>
        <v>Centro</v>
      </c>
      <c r="E474" s="1">
        <v>23554</v>
      </c>
      <c r="F474" s="1" t="str">
        <f t="array" ref="F474">_xlfn.IFS(H474=0,"Alta sin facturar",H474&gt;2,"Cliente",H474&gt;0,"Cliente nuevo")</f>
        <v>Cliente nuevo</v>
      </c>
      <c r="G474" s="1"/>
      <c r="H474" s="1">
        <f t="shared" si="54"/>
        <v>1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89">
        <v>701.80000000000007</v>
      </c>
      <c r="O474" s="89">
        <v>0</v>
      </c>
      <c r="P474" s="89">
        <v>0</v>
      </c>
      <c r="Q474" s="54">
        <f t="shared" si="51"/>
        <v>701.80000000000007</v>
      </c>
      <c r="R474" s="89">
        <v>348</v>
      </c>
      <c r="S474" s="92">
        <f t="shared" si="55"/>
        <v>1</v>
      </c>
      <c r="T474" s="59">
        <f t="shared" si="52"/>
        <v>353.80000000000007</v>
      </c>
      <c r="U474" s="60">
        <f t="shared" si="53"/>
        <v>0.49586776859504128</v>
      </c>
      <c r="V474" s="59" t="str">
        <f t="array" ref="V474">_xlfn.IFS(S474=0,"Alta sin facturar",S474&gt;2,"Cliente",S474&gt;0,"Cliente nuevo")</f>
        <v>Cliente nuevo</v>
      </c>
      <c r="W474" s="59" t="str">
        <f t="shared" si="56"/>
        <v>Ha pagado</v>
      </c>
      <c r="X474" s="3"/>
      <c r="Y474" s="3"/>
      <c r="Z474" s="3"/>
      <c r="AA474" s="3"/>
      <c r="AB474" s="3"/>
      <c r="AC474" s="3"/>
      <c r="AD474" s="3"/>
      <c r="AE474" s="3"/>
      <c r="AG474"/>
      <c r="AH474"/>
      <c r="AI474"/>
      <c r="AJ474"/>
      <c r="AK474"/>
      <c r="AL474"/>
      <c r="AM474"/>
      <c r="AN474"/>
    </row>
    <row r="475" spans="1:40" x14ac:dyDescent="0.25">
      <c r="A475" s="6">
        <v>44718</v>
      </c>
      <c r="B475" t="str">
        <f t="shared" si="50"/>
        <v>Junio</v>
      </c>
      <c r="C475" s="1" t="s">
        <v>32</v>
      </c>
      <c r="D475" s="58" t="str">
        <f>VLOOKUP(Datos!$C475,$AQ$2:$AR$41,2,0)</f>
        <v>Norte</v>
      </c>
      <c r="E475" s="1">
        <v>23555</v>
      </c>
      <c r="F475" s="1" t="str">
        <f t="array" ref="F475">_xlfn.IFS(H475=0,"Alta sin facturar",H475&gt;2,"Cliente",H475&gt;0,"Cliente nuevo")</f>
        <v>Cliente nuevo</v>
      </c>
      <c r="G475" s="1"/>
      <c r="H475" s="1">
        <f t="shared" si="54"/>
        <v>1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89">
        <v>254.04</v>
      </c>
      <c r="O475" s="89">
        <v>0</v>
      </c>
      <c r="P475" s="89">
        <v>0</v>
      </c>
      <c r="Q475" s="54">
        <f t="shared" si="51"/>
        <v>254.04</v>
      </c>
      <c r="R475" s="89">
        <v>254.04</v>
      </c>
      <c r="S475" s="92">
        <f t="shared" si="55"/>
        <v>1</v>
      </c>
      <c r="T475" s="59">
        <f t="shared" si="52"/>
        <v>0</v>
      </c>
      <c r="U475" s="60">
        <f t="shared" si="53"/>
        <v>1</v>
      </c>
      <c r="V475" s="59" t="str">
        <f t="array" ref="V475">_xlfn.IFS(S475=0,"Alta sin facturar",S475&gt;2,"Cliente",S475&gt;0,"Cliente nuevo")</f>
        <v>Cliente nuevo</v>
      </c>
      <c r="W475" s="59" t="str">
        <f t="shared" si="56"/>
        <v>Sin pago</v>
      </c>
      <c r="X475" s="3"/>
      <c r="Y475" s="3"/>
      <c r="Z475" s="3"/>
      <c r="AA475" s="3"/>
      <c r="AB475" s="3"/>
      <c r="AC475" s="3"/>
      <c r="AD475" s="3"/>
      <c r="AE475" s="3"/>
      <c r="AG475"/>
      <c r="AH475"/>
      <c r="AI475"/>
      <c r="AJ475"/>
      <c r="AK475"/>
      <c r="AL475"/>
      <c r="AM475"/>
      <c r="AN475"/>
    </row>
    <row r="476" spans="1:40" x14ac:dyDescent="0.25">
      <c r="A476" s="6">
        <v>44718</v>
      </c>
      <c r="B476" t="str">
        <f t="shared" si="50"/>
        <v>Junio</v>
      </c>
      <c r="C476" s="1" t="s">
        <v>102</v>
      </c>
      <c r="D476" s="58" t="str">
        <f>VLOOKUP(Datos!$C476,$AQ$2:$AR$41,2,0)</f>
        <v>Sur</v>
      </c>
      <c r="E476" s="1">
        <v>23556</v>
      </c>
      <c r="F476" s="1" t="str">
        <f t="array" ref="F476">_xlfn.IFS(H476=0,"Alta sin facturar",H476&gt;2,"Cliente",H476&gt;0,"Cliente nuevo")</f>
        <v>Cliente</v>
      </c>
      <c r="G476" s="1"/>
      <c r="H476" s="1">
        <f t="shared" si="54"/>
        <v>3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89">
        <v>1969.68</v>
      </c>
      <c r="O476" s="89">
        <v>445.44</v>
      </c>
      <c r="P476" s="89">
        <v>693.68000000000006</v>
      </c>
      <c r="Q476" s="54">
        <f t="shared" si="51"/>
        <v>3108.8</v>
      </c>
      <c r="R476" s="89">
        <v>987.96</v>
      </c>
      <c r="S476" s="92">
        <f t="shared" si="55"/>
        <v>3</v>
      </c>
      <c r="T476" s="59">
        <f t="shared" si="52"/>
        <v>2120.84</v>
      </c>
      <c r="U476" s="60">
        <f t="shared" si="53"/>
        <v>0.31779464745239322</v>
      </c>
      <c r="V476" s="59" t="str">
        <f t="array" ref="V476">_xlfn.IFS(S476=0,"Alta sin facturar",S476&gt;2,"Cliente",S476&gt;0,"Cliente nuevo")</f>
        <v>Cliente</v>
      </c>
      <c r="W476" s="59" t="str">
        <f t="shared" si="56"/>
        <v>Ha pagado</v>
      </c>
      <c r="X476" s="3"/>
      <c r="Y476" s="3"/>
      <c r="Z476" s="3"/>
      <c r="AA476" s="3"/>
      <c r="AB476" s="3"/>
      <c r="AC476" s="3"/>
      <c r="AD476" s="3"/>
      <c r="AE476" s="3"/>
      <c r="AG476"/>
      <c r="AH476"/>
      <c r="AI476"/>
      <c r="AJ476"/>
      <c r="AK476"/>
      <c r="AL476"/>
      <c r="AM476"/>
      <c r="AN476"/>
    </row>
    <row r="477" spans="1:40" x14ac:dyDescent="0.25">
      <c r="A477" s="6">
        <v>44719</v>
      </c>
      <c r="B477" t="str">
        <f t="shared" si="50"/>
        <v>Junio</v>
      </c>
      <c r="C477" s="1" t="s">
        <v>62</v>
      </c>
      <c r="D477" s="58" t="str">
        <f>VLOOKUP(Datos!$C477,$AQ$2:$AR$41,2,0)</f>
        <v>Norte</v>
      </c>
      <c r="E477" s="1">
        <v>23557</v>
      </c>
      <c r="F477" s="1" t="str">
        <f t="array" ref="F477">_xlfn.IFS(H477=0,"Alta sin facturar",H477&gt;2,"Cliente",H477&gt;0,"Cliente nuevo")</f>
        <v>Cliente</v>
      </c>
      <c r="G477" s="1"/>
      <c r="H477" s="1">
        <f t="shared" si="54"/>
        <v>3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89">
        <v>8120</v>
      </c>
      <c r="O477" s="89">
        <v>2320</v>
      </c>
      <c r="P477" s="89">
        <v>348</v>
      </c>
      <c r="Q477" s="54">
        <f t="shared" si="51"/>
        <v>10788</v>
      </c>
      <c r="R477" s="89">
        <v>4060</v>
      </c>
      <c r="S477" s="92">
        <f t="shared" si="55"/>
        <v>3</v>
      </c>
      <c r="T477" s="59">
        <f t="shared" si="52"/>
        <v>6728</v>
      </c>
      <c r="U477" s="60">
        <f t="shared" si="53"/>
        <v>0.37634408602150538</v>
      </c>
      <c r="V477" s="59" t="str">
        <f t="array" ref="V477">_xlfn.IFS(S477=0,"Alta sin facturar",S477&gt;2,"Cliente",S477&gt;0,"Cliente nuevo")</f>
        <v>Cliente</v>
      </c>
      <c r="W477" s="59" t="str">
        <f t="shared" si="56"/>
        <v>Ha pagado</v>
      </c>
      <c r="X477" s="3"/>
      <c r="Y477" s="3"/>
      <c r="Z477" s="3"/>
      <c r="AA477" s="3"/>
      <c r="AB477" s="3"/>
      <c r="AC477" s="3"/>
      <c r="AD477" s="3"/>
      <c r="AE477" s="3"/>
      <c r="AG477"/>
      <c r="AH477"/>
      <c r="AI477"/>
      <c r="AJ477"/>
      <c r="AK477"/>
      <c r="AL477"/>
      <c r="AM477"/>
      <c r="AN477"/>
    </row>
    <row r="478" spans="1:40" x14ac:dyDescent="0.25">
      <c r="A478" s="6">
        <v>44719</v>
      </c>
      <c r="B478" t="str">
        <f t="shared" si="50"/>
        <v>Junio</v>
      </c>
      <c r="C478" s="1" t="s">
        <v>65</v>
      </c>
      <c r="D478" s="58" t="str">
        <f>VLOOKUP(Datos!$C478,$AQ$2:$AR$41,2,0)</f>
        <v>Centro</v>
      </c>
      <c r="E478" s="1">
        <v>23558</v>
      </c>
      <c r="F478" s="1" t="str">
        <f t="array" ref="F478">_xlfn.IFS(H478=0,"Alta sin facturar",H478&gt;2,"Cliente",H478&gt;0,"Cliente nuevo")</f>
        <v>Cliente</v>
      </c>
      <c r="G478" s="1"/>
      <c r="H478" s="1">
        <f t="shared" si="54"/>
        <v>3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89">
        <v>593.92000000000007</v>
      </c>
      <c r="O478" s="89">
        <v>2230.6799999999998</v>
      </c>
      <c r="P478" s="89">
        <v>4222.3999999999996</v>
      </c>
      <c r="Q478" s="54">
        <f t="shared" si="51"/>
        <v>7047</v>
      </c>
      <c r="R478" s="89">
        <v>0</v>
      </c>
      <c r="S478" s="92">
        <f t="shared" si="55"/>
        <v>3</v>
      </c>
      <c r="T478" s="59">
        <f t="shared" si="52"/>
        <v>7047</v>
      </c>
      <c r="U478" s="60">
        <f t="shared" si="53"/>
        <v>0</v>
      </c>
      <c r="V478" s="59" t="str">
        <f t="array" ref="V478">_xlfn.IFS(S478=0,"Alta sin facturar",S478&gt;2,"Cliente",S478&gt;0,"Cliente nuevo")</f>
        <v>Cliente</v>
      </c>
      <c r="W478" s="59" t="str">
        <f t="shared" si="56"/>
        <v>Ha pagado</v>
      </c>
      <c r="X478" s="3"/>
      <c r="Y478" s="3"/>
      <c r="Z478" s="3"/>
      <c r="AA478" s="3"/>
      <c r="AB478" s="3"/>
      <c r="AC478" s="3"/>
      <c r="AD478" s="3"/>
      <c r="AE478" s="3"/>
      <c r="AG478"/>
      <c r="AH478"/>
      <c r="AI478"/>
      <c r="AJ478"/>
      <c r="AK478"/>
      <c r="AL478"/>
      <c r="AM478"/>
      <c r="AN478"/>
    </row>
    <row r="479" spans="1:40" x14ac:dyDescent="0.25">
      <c r="A479" s="6">
        <v>44719</v>
      </c>
      <c r="B479" t="str">
        <f t="shared" si="50"/>
        <v>Junio</v>
      </c>
      <c r="C479" s="1" t="s">
        <v>66</v>
      </c>
      <c r="D479" s="58" t="str">
        <f>VLOOKUP(Datos!$C479,$AQ$2:$AR$41,2,0)</f>
        <v>Sur</v>
      </c>
      <c r="E479" s="1">
        <v>23559</v>
      </c>
      <c r="F479" s="1" t="str">
        <f t="array" ref="F479">_xlfn.IFS(H479=0,"Alta sin facturar",H479&gt;2,"Cliente",H479&gt;0,"Cliente nuevo")</f>
        <v>Cliente nuevo</v>
      </c>
      <c r="G479" s="1"/>
      <c r="H479" s="1">
        <f t="shared" si="54"/>
        <v>2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89">
        <v>2314.1999999999998</v>
      </c>
      <c r="O479" s="89">
        <v>0</v>
      </c>
      <c r="P479" s="89">
        <v>3114.6000000000004</v>
      </c>
      <c r="Q479" s="54">
        <f t="shared" si="51"/>
        <v>5428.8</v>
      </c>
      <c r="R479" s="89">
        <v>530.12</v>
      </c>
      <c r="S479" s="92">
        <f t="shared" si="55"/>
        <v>2</v>
      </c>
      <c r="T479" s="59">
        <f t="shared" si="52"/>
        <v>4898.68</v>
      </c>
      <c r="U479" s="60">
        <f t="shared" si="53"/>
        <v>9.764957264957265E-2</v>
      </c>
      <c r="V479" s="59" t="str">
        <f t="array" ref="V479">_xlfn.IFS(S479=0,"Alta sin facturar",S479&gt;2,"Cliente",S479&gt;0,"Cliente nuevo")</f>
        <v>Cliente nuevo</v>
      </c>
      <c r="W479" s="59" t="str">
        <f t="shared" si="56"/>
        <v>Ha pagado</v>
      </c>
      <c r="X479" s="3"/>
      <c r="Y479" s="3"/>
      <c r="Z479" s="3"/>
      <c r="AA479" s="3"/>
      <c r="AB479" s="3"/>
      <c r="AC479" s="3"/>
      <c r="AD479" s="3"/>
      <c r="AE479" s="3"/>
      <c r="AG479"/>
      <c r="AH479"/>
      <c r="AI479"/>
      <c r="AJ479"/>
      <c r="AK479"/>
      <c r="AL479"/>
      <c r="AM479"/>
      <c r="AN479"/>
    </row>
    <row r="480" spans="1:40" x14ac:dyDescent="0.25">
      <c r="A480" s="6">
        <v>44720</v>
      </c>
      <c r="B480" t="str">
        <f t="shared" si="50"/>
        <v>Junio</v>
      </c>
      <c r="C480" s="1" t="s">
        <v>43</v>
      </c>
      <c r="D480" s="58" t="str">
        <f>VLOOKUP(Datos!$C480,$AQ$2:$AR$41,2,0)</f>
        <v>Centro</v>
      </c>
      <c r="E480" s="1">
        <v>23560</v>
      </c>
      <c r="F480" s="1" t="str">
        <f t="array" ref="F480">_xlfn.IFS(H480=0,"Alta sin facturar",H480&gt;2,"Cliente",H480&gt;0,"Cliente nuevo")</f>
        <v>Alta sin facturar</v>
      </c>
      <c r="G480" s="1"/>
      <c r="H480" s="1">
        <f t="shared" si="54"/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89">
        <v>0</v>
      </c>
      <c r="O480" s="89">
        <v>0</v>
      </c>
      <c r="P480" s="89">
        <v>0</v>
      </c>
      <c r="Q480" s="54">
        <f t="shared" si="51"/>
        <v>0</v>
      </c>
      <c r="R480" s="89"/>
      <c r="S480" s="92">
        <f t="shared" si="55"/>
        <v>0</v>
      </c>
      <c r="T480" s="59">
        <f t="shared" si="52"/>
        <v>0</v>
      </c>
      <c r="U480" s="60">
        <f t="shared" si="53"/>
        <v>0</v>
      </c>
      <c r="V480" s="59" t="str">
        <f t="array" ref="V480">_xlfn.IFS(S480=0,"Alta sin facturar",S480&gt;2,"Cliente",S480&gt;0,"Cliente nuevo")</f>
        <v>Alta sin facturar</v>
      </c>
      <c r="W480" s="59" t="str">
        <f t="shared" si="56"/>
        <v>Sin pago</v>
      </c>
      <c r="X480" s="3"/>
      <c r="Y480" s="3"/>
      <c r="Z480" s="3"/>
      <c r="AA480" s="3"/>
      <c r="AB480" s="3"/>
      <c r="AC480" s="3"/>
      <c r="AD480" s="3"/>
      <c r="AE480" s="3"/>
      <c r="AG480"/>
      <c r="AH480"/>
      <c r="AI480"/>
      <c r="AJ480"/>
      <c r="AK480"/>
      <c r="AL480"/>
      <c r="AM480"/>
      <c r="AN480"/>
    </row>
    <row r="481" spans="1:40" x14ac:dyDescent="0.25">
      <c r="A481" s="6">
        <v>44720</v>
      </c>
      <c r="B481" t="str">
        <f t="shared" si="50"/>
        <v>Junio</v>
      </c>
      <c r="C481" s="1" t="s">
        <v>36</v>
      </c>
      <c r="D481" s="58" t="str">
        <f>VLOOKUP(Datos!$C481,$AQ$2:$AR$41,2,0)</f>
        <v>Magallanes</v>
      </c>
      <c r="E481" s="1">
        <v>23561</v>
      </c>
      <c r="F481" s="1" t="str">
        <f t="array" ref="F481">_xlfn.IFS(H481=0,"Alta sin facturar",H481&gt;2,"Cliente",H481&gt;0,"Cliente nuevo")</f>
        <v>Cliente</v>
      </c>
      <c r="G481" s="1"/>
      <c r="H481" s="1">
        <f t="shared" si="54"/>
        <v>3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89">
        <v>140.36000000000001</v>
      </c>
      <c r="O481" s="89">
        <v>953.52</v>
      </c>
      <c r="P481" s="89">
        <v>647.28</v>
      </c>
      <c r="Q481" s="54">
        <f t="shared" si="51"/>
        <v>1741.16</v>
      </c>
      <c r="R481" s="89">
        <v>277.24</v>
      </c>
      <c r="S481" s="92">
        <f t="shared" si="55"/>
        <v>3</v>
      </c>
      <c r="T481" s="59">
        <f t="shared" si="52"/>
        <v>1463.92</v>
      </c>
      <c r="U481" s="60">
        <f t="shared" si="53"/>
        <v>0.15922718187874749</v>
      </c>
      <c r="V481" s="59" t="str">
        <f t="array" ref="V481">_xlfn.IFS(S481=0,"Alta sin facturar",S481&gt;2,"Cliente",S481&gt;0,"Cliente nuevo")</f>
        <v>Cliente</v>
      </c>
      <c r="W481" s="59" t="str">
        <f t="shared" si="56"/>
        <v>Ha pagado</v>
      </c>
      <c r="X481" s="3"/>
      <c r="Y481" s="3"/>
      <c r="Z481" s="3"/>
      <c r="AA481" s="3"/>
      <c r="AB481" s="3"/>
      <c r="AC481" s="3"/>
      <c r="AD481" s="3"/>
      <c r="AE481" s="3"/>
      <c r="AG481"/>
      <c r="AH481"/>
      <c r="AI481"/>
      <c r="AJ481"/>
      <c r="AK481"/>
      <c r="AL481"/>
      <c r="AM481"/>
      <c r="AN481"/>
    </row>
    <row r="482" spans="1:40" x14ac:dyDescent="0.25">
      <c r="A482" s="6">
        <v>44720</v>
      </c>
      <c r="B482" t="str">
        <f t="shared" si="50"/>
        <v>Junio</v>
      </c>
      <c r="C482" s="1" t="s">
        <v>38</v>
      </c>
      <c r="D482" s="58" t="str">
        <f>VLOOKUP(Datos!$C482,$AQ$2:$AR$41,2,0)</f>
        <v>Centro</v>
      </c>
      <c r="E482" s="1">
        <v>23562</v>
      </c>
      <c r="F482" s="1" t="str">
        <f t="array" ref="F482">_xlfn.IFS(H482=0,"Alta sin facturar",H482&gt;2,"Cliente",H482&gt;0,"Cliente nuevo")</f>
        <v>Alta sin facturar</v>
      </c>
      <c r="G482" s="1"/>
      <c r="H482" s="1">
        <f t="shared" si="54"/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89">
        <v>0</v>
      </c>
      <c r="O482" s="89">
        <v>0</v>
      </c>
      <c r="P482" s="89">
        <v>0</v>
      </c>
      <c r="Q482" s="54">
        <f t="shared" si="51"/>
        <v>0</v>
      </c>
      <c r="R482" s="89"/>
      <c r="S482" s="92">
        <f t="shared" si="55"/>
        <v>0</v>
      </c>
      <c r="T482" s="59">
        <f t="shared" si="52"/>
        <v>0</v>
      </c>
      <c r="U482" s="60">
        <f t="shared" si="53"/>
        <v>0</v>
      </c>
      <c r="V482" s="59" t="str">
        <f t="array" ref="V482">_xlfn.IFS(S482=0,"Alta sin facturar",S482&gt;2,"Cliente",S482&gt;0,"Cliente nuevo")</f>
        <v>Alta sin facturar</v>
      </c>
      <c r="W482" s="59" t="str">
        <f t="shared" si="56"/>
        <v>Sin pago</v>
      </c>
      <c r="X482" s="3"/>
      <c r="Y482" s="3"/>
      <c r="Z482" s="3"/>
      <c r="AA482" s="3"/>
      <c r="AB482" s="3"/>
      <c r="AC482" s="3"/>
      <c r="AD482" s="3"/>
      <c r="AE482" s="3"/>
      <c r="AG482"/>
      <c r="AH482"/>
      <c r="AI482"/>
      <c r="AJ482"/>
      <c r="AK482"/>
      <c r="AL482"/>
      <c r="AM482"/>
      <c r="AN482"/>
    </row>
    <row r="483" spans="1:40" x14ac:dyDescent="0.25">
      <c r="A483" s="6">
        <v>44720</v>
      </c>
      <c r="B483" t="str">
        <f t="shared" si="50"/>
        <v>Junio</v>
      </c>
      <c r="C483" s="1" t="s">
        <v>59</v>
      </c>
      <c r="D483" s="58" t="str">
        <f>VLOOKUP(Datos!$C483,$AQ$2:$AR$41,2,0)</f>
        <v>Magallanes</v>
      </c>
      <c r="E483" s="1">
        <v>23563</v>
      </c>
      <c r="F483" s="1" t="str">
        <f t="array" ref="F483">_xlfn.IFS(H483=0,"Alta sin facturar",H483&gt;2,"Cliente",H483&gt;0,"Cliente nuevo")</f>
        <v>Cliente nuevo</v>
      </c>
      <c r="G483" s="1"/>
      <c r="H483" s="1">
        <f t="shared" si="54"/>
        <v>1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89">
        <v>986</v>
      </c>
      <c r="O483" s="89">
        <v>0</v>
      </c>
      <c r="P483" s="89">
        <v>0</v>
      </c>
      <c r="Q483" s="54">
        <f t="shared" si="51"/>
        <v>986</v>
      </c>
      <c r="R483" s="89">
        <v>986</v>
      </c>
      <c r="S483" s="92">
        <f t="shared" si="55"/>
        <v>1</v>
      </c>
      <c r="T483" s="59">
        <f t="shared" si="52"/>
        <v>0</v>
      </c>
      <c r="U483" s="60">
        <f t="shared" si="53"/>
        <v>1</v>
      </c>
      <c r="V483" s="59" t="str">
        <f t="array" ref="V483">_xlfn.IFS(S483=0,"Alta sin facturar",S483&gt;2,"Cliente",S483&gt;0,"Cliente nuevo")</f>
        <v>Cliente nuevo</v>
      </c>
      <c r="W483" s="59" t="str">
        <f t="shared" si="56"/>
        <v>Sin pago</v>
      </c>
      <c r="X483" s="3"/>
      <c r="Y483" s="3"/>
      <c r="Z483" s="3"/>
      <c r="AA483" s="3"/>
      <c r="AB483" s="3"/>
      <c r="AC483" s="3"/>
      <c r="AD483" s="3"/>
      <c r="AE483" s="3"/>
      <c r="AG483"/>
      <c r="AH483"/>
      <c r="AI483"/>
      <c r="AJ483"/>
      <c r="AK483"/>
      <c r="AL483"/>
      <c r="AM483"/>
      <c r="AN483"/>
    </row>
    <row r="484" spans="1:40" x14ac:dyDescent="0.25">
      <c r="A484" s="6">
        <v>44720</v>
      </c>
      <c r="B484" t="str">
        <f t="shared" si="50"/>
        <v>Junio</v>
      </c>
      <c r="C484" s="1" t="s">
        <v>75</v>
      </c>
      <c r="D484" s="58" t="str">
        <f>VLOOKUP(Datos!$C484,$AQ$2:$AR$41,2,0)</f>
        <v>Centro</v>
      </c>
      <c r="E484" s="1">
        <v>23564</v>
      </c>
      <c r="F484" s="1" t="str">
        <f t="array" ref="F484">_xlfn.IFS(H484=0,"Alta sin facturar",H484&gt;2,"Cliente",H484&gt;0,"Cliente nuevo")</f>
        <v>Alta sin facturar</v>
      </c>
      <c r="G484" s="1"/>
      <c r="H484" s="1">
        <f t="shared" si="54"/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89">
        <v>0</v>
      </c>
      <c r="O484" s="89">
        <v>0</v>
      </c>
      <c r="P484" s="89">
        <v>0</v>
      </c>
      <c r="Q484" s="54">
        <f t="shared" si="51"/>
        <v>0</v>
      </c>
      <c r="R484" s="89"/>
      <c r="S484" s="92">
        <f t="shared" si="55"/>
        <v>0</v>
      </c>
      <c r="T484" s="59">
        <f t="shared" si="52"/>
        <v>0</v>
      </c>
      <c r="U484" s="60">
        <f t="shared" si="53"/>
        <v>0</v>
      </c>
      <c r="V484" s="59" t="str">
        <f t="array" ref="V484">_xlfn.IFS(S484=0,"Alta sin facturar",S484&gt;2,"Cliente",S484&gt;0,"Cliente nuevo")</f>
        <v>Alta sin facturar</v>
      </c>
      <c r="W484" s="59" t="str">
        <f t="shared" si="56"/>
        <v>Sin pago</v>
      </c>
      <c r="X484" s="3"/>
      <c r="Y484" s="3"/>
      <c r="Z484" s="3"/>
      <c r="AA484" s="3"/>
      <c r="AB484" s="3"/>
      <c r="AC484" s="3"/>
      <c r="AD484" s="3"/>
      <c r="AE484" s="3"/>
      <c r="AG484"/>
      <c r="AH484"/>
      <c r="AI484"/>
      <c r="AJ484"/>
      <c r="AK484"/>
      <c r="AL484"/>
      <c r="AM484"/>
      <c r="AN484"/>
    </row>
    <row r="485" spans="1:40" x14ac:dyDescent="0.25">
      <c r="A485" s="6">
        <v>44721</v>
      </c>
      <c r="B485" t="str">
        <f t="shared" si="50"/>
        <v>Junio</v>
      </c>
      <c r="C485" s="1" t="s">
        <v>60</v>
      </c>
      <c r="D485" s="58" t="str">
        <f>VLOOKUP(Datos!$C485,$AQ$2:$AR$41,2,0)</f>
        <v>Norte</v>
      </c>
      <c r="E485" s="1">
        <v>23565</v>
      </c>
      <c r="F485" s="1" t="str">
        <f t="array" ref="F485">_xlfn.IFS(H485=0,"Alta sin facturar",H485&gt;2,"Cliente",H485&gt;0,"Cliente nuevo")</f>
        <v>Cliente</v>
      </c>
      <c r="G485" s="1"/>
      <c r="H485" s="1">
        <f t="shared" si="54"/>
        <v>3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89">
        <v>380.48</v>
      </c>
      <c r="O485" s="89">
        <v>244.76</v>
      </c>
      <c r="P485" s="89">
        <v>365.4</v>
      </c>
      <c r="Q485" s="54">
        <f t="shared" si="51"/>
        <v>990.64</v>
      </c>
      <c r="R485" s="89">
        <v>90.76</v>
      </c>
      <c r="S485" s="92">
        <f t="shared" si="55"/>
        <v>3</v>
      </c>
      <c r="T485" s="59">
        <f t="shared" si="52"/>
        <v>899.88</v>
      </c>
      <c r="U485" s="60">
        <f t="shared" si="53"/>
        <v>9.1617540176047813E-2</v>
      </c>
      <c r="V485" s="59" t="str">
        <f t="array" ref="V485">_xlfn.IFS(S485=0,"Alta sin facturar",S485&gt;2,"Cliente",S485&gt;0,"Cliente nuevo")</f>
        <v>Cliente</v>
      </c>
      <c r="W485" s="59" t="str">
        <f t="shared" si="56"/>
        <v>Ha pagado</v>
      </c>
      <c r="X485" s="3"/>
      <c r="Y485" s="3"/>
      <c r="Z485" s="3"/>
      <c r="AA485" s="3"/>
      <c r="AB485" s="3"/>
      <c r="AC485" s="3"/>
      <c r="AD485" s="3"/>
      <c r="AE485" s="3"/>
      <c r="AG485"/>
      <c r="AH485"/>
      <c r="AI485"/>
      <c r="AJ485"/>
      <c r="AK485"/>
      <c r="AL485"/>
      <c r="AM485"/>
      <c r="AN485"/>
    </row>
    <row r="486" spans="1:40" x14ac:dyDescent="0.25">
      <c r="A486" s="6">
        <v>44721</v>
      </c>
      <c r="B486" t="str">
        <f t="shared" si="50"/>
        <v>Junio</v>
      </c>
      <c r="C486" s="1" t="s">
        <v>34</v>
      </c>
      <c r="D486" s="58" t="str">
        <f>VLOOKUP(Datos!$C486,$AQ$2:$AR$41,2,0)</f>
        <v>Norte</v>
      </c>
      <c r="E486" s="1">
        <v>23566</v>
      </c>
      <c r="F486" s="1" t="str">
        <f t="array" ref="F486">_xlfn.IFS(H486=0,"Alta sin facturar",H486&gt;2,"Cliente",H486&gt;0,"Cliente nuevo")</f>
        <v>Alta sin facturar</v>
      </c>
      <c r="G486" s="1"/>
      <c r="H486" s="1">
        <f t="shared" si="54"/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89">
        <v>0</v>
      </c>
      <c r="O486" s="89">
        <v>0</v>
      </c>
      <c r="P486" s="89">
        <v>0</v>
      </c>
      <c r="Q486" s="54">
        <f t="shared" si="51"/>
        <v>0</v>
      </c>
      <c r="R486" s="89"/>
      <c r="S486" s="92">
        <f t="shared" si="55"/>
        <v>0</v>
      </c>
      <c r="T486" s="59">
        <f t="shared" si="52"/>
        <v>0</v>
      </c>
      <c r="U486" s="60">
        <f t="shared" si="53"/>
        <v>0</v>
      </c>
      <c r="V486" s="59" t="str">
        <f t="array" ref="V486">_xlfn.IFS(S486=0,"Alta sin facturar",S486&gt;2,"Cliente",S486&gt;0,"Cliente nuevo")</f>
        <v>Alta sin facturar</v>
      </c>
      <c r="W486" s="59" t="str">
        <f t="shared" si="56"/>
        <v>Sin pago</v>
      </c>
      <c r="X486" s="3"/>
      <c r="Y486" s="3"/>
      <c r="Z486" s="3"/>
      <c r="AA486" s="3"/>
      <c r="AB486" s="3"/>
      <c r="AC486" s="3"/>
      <c r="AD486" s="3"/>
      <c r="AE486" s="3"/>
      <c r="AG486"/>
      <c r="AH486"/>
      <c r="AI486"/>
      <c r="AJ486"/>
      <c r="AK486"/>
      <c r="AL486"/>
      <c r="AM486"/>
      <c r="AN486"/>
    </row>
    <row r="487" spans="1:40" x14ac:dyDescent="0.25">
      <c r="A487" s="6">
        <v>44721</v>
      </c>
      <c r="B487" t="str">
        <f t="shared" si="50"/>
        <v>Junio</v>
      </c>
      <c r="C487" s="1" t="s">
        <v>40</v>
      </c>
      <c r="D487" s="58" t="str">
        <f>VLOOKUP(Datos!$C487,$AQ$2:$AR$41,2,0)</f>
        <v>Centro</v>
      </c>
      <c r="E487" s="1">
        <v>23567</v>
      </c>
      <c r="F487" s="1" t="str">
        <f t="array" ref="F487">_xlfn.IFS(H487=0,"Alta sin facturar",H487&gt;2,"Cliente",H487&gt;0,"Cliente nuevo")</f>
        <v>Cliente</v>
      </c>
      <c r="G487" s="1"/>
      <c r="H487" s="1">
        <f t="shared" si="54"/>
        <v>3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89">
        <v>2859.4</v>
      </c>
      <c r="O487" s="89">
        <v>4344.2</v>
      </c>
      <c r="P487" s="89">
        <v>4381.32</v>
      </c>
      <c r="Q487" s="54">
        <f t="shared" si="51"/>
        <v>11584.92</v>
      </c>
      <c r="R487" s="89">
        <v>980.2</v>
      </c>
      <c r="S487" s="92">
        <f t="shared" si="55"/>
        <v>3</v>
      </c>
      <c r="T487" s="59">
        <f t="shared" si="52"/>
        <v>10604.72</v>
      </c>
      <c r="U487" s="60">
        <f t="shared" si="53"/>
        <v>8.4609992990888158E-2</v>
      </c>
      <c r="V487" s="59" t="str">
        <f t="array" ref="V487">_xlfn.IFS(S487=0,"Alta sin facturar",S487&gt;2,"Cliente",S487&gt;0,"Cliente nuevo")</f>
        <v>Cliente</v>
      </c>
      <c r="W487" s="59" t="str">
        <f t="shared" si="56"/>
        <v>Ha pagado</v>
      </c>
      <c r="X487" s="3"/>
      <c r="Y487" s="3"/>
      <c r="Z487" s="3"/>
      <c r="AA487" s="3"/>
      <c r="AB487" s="3"/>
      <c r="AC487" s="3"/>
      <c r="AD487" s="3"/>
      <c r="AE487" s="3"/>
      <c r="AG487"/>
      <c r="AH487"/>
      <c r="AI487"/>
      <c r="AJ487"/>
      <c r="AK487"/>
      <c r="AL487"/>
      <c r="AM487"/>
      <c r="AN487"/>
    </row>
    <row r="488" spans="1:40" x14ac:dyDescent="0.25">
      <c r="A488" s="6">
        <v>44721</v>
      </c>
      <c r="B488" t="str">
        <f t="shared" si="50"/>
        <v>Junio</v>
      </c>
      <c r="C488" s="1" t="s">
        <v>66</v>
      </c>
      <c r="D488" s="58" t="str">
        <f>VLOOKUP(Datos!$C488,$AQ$2:$AR$41,2,0)</f>
        <v>Sur</v>
      </c>
      <c r="E488" s="1">
        <v>23568</v>
      </c>
      <c r="F488" s="1" t="str">
        <f t="array" ref="F488">_xlfn.IFS(H488=0,"Alta sin facturar",H488&gt;2,"Cliente",H488&gt;0,"Cliente nuevo")</f>
        <v>Alta sin facturar</v>
      </c>
      <c r="G488" s="1"/>
      <c r="H488" s="1">
        <f t="shared" si="54"/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89">
        <v>0</v>
      </c>
      <c r="O488" s="89">
        <v>0</v>
      </c>
      <c r="P488" s="89">
        <v>0</v>
      </c>
      <c r="Q488" s="54">
        <f t="shared" si="51"/>
        <v>0</v>
      </c>
      <c r="R488" s="89"/>
      <c r="S488" s="92">
        <f t="shared" si="55"/>
        <v>0</v>
      </c>
      <c r="T488" s="59">
        <f t="shared" si="52"/>
        <v>0</v>
      </c>
      <c r="U488" s="60">
        <f t="shared" si="53"/>
        <v>0</v>
      </c>
      <c r="V488" s="59" t="str">
        <f t="array" ref="V488">_xlfn.IFS(S488=0,"Alta sin facturar",S488&gt;2,"Cliente",S488&gt;0,"Cliente nuevo")</f>
        <v>Alta sin facturar</v>
      </c>
      <c r="W488" s="59" t="str">
        <f t="shared" si="56"/>
        <v>Sin pago</v>
      </c>
      <c r="X488" s="3"/>
      <c r="Y488" s="3"/>
      <c r="Z488" s="3"/>
      <c r="AA488" s="3"/>
      <c r="AB488" s="3"/>
      <c r="AC488" s="3"/>
      <c r="AD488" s="3"/>
      <c r="AE488" s="3"/>
      <c r="AG488"/>
      <c r="AH488"/>
      <c r="AI488"/>
      <c r="AJ488"/>
      <c r="AK488"/>
      <c r="AL488"/>
      <c r="AM488"/>
      <c r="AN488"/>
    </row>
    <row r="489" spans="1:40" x14ac:dyDescent="0.25">
      <c r="A489" s="6">
        <v>44721</v>
      </c>
      <c r="B489" t="str">
        <f t="shared" si="50"/>
        <v>Junio</v>
      </c>
      <c r="C489" s="1" t="s">
        <v>36</v>
      </c>
      <c r="D489" s="58" t="str">
        <f>VLOOKUP(Datos!$C489,$AQ$2:$AR$41,2,0)</f>
        <v>Magallanes</v>
      </c>
      <c r="E489" s="1">
        <v>23569</v>
      </c>
      <c r="F489" s="1" t="str">
        <f t="array" ref="F489">_xlfn.IFS(H489=0,"Alta sin facturar",H489&gt;2,"Cliente",H489&gt;0,"Cliente nuevo")</f>
        <v>Alta sin facturar</v>
      </c>
      <c r="G489" s="1"/>
      <c r="H489" s="1">
        <f t="shared" si="54"/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89">
        <v>0</v>
      </c>
      <c r="O489" s="89">
        <v>0</v>
      </c>
      <c r="P489" s="89">
        <v>0</v>
      </c>
      <c r="Q489" s="54">
        <f t="shared" si="51"/>
        <v>0</v>
      </c>
      <c r="R489" s="89"/>
      <c r="S489" s="92">
        <f t="shared" si="55"/>
        <v>0</v>
      </c>
      <c r="T489" s="59">
        <f t="shared" si="52"/>
        <v>0</v>
      </c>
      <c r="U489" s="60">
        <f t="shared" si="53"/>
        <v>0</v>
      </c>
      <c r="V489" s="59" t="str">
        <f t="array" ref="V489">_xlfn.IFS(S489=0,"Alta sin facturar",S489&gt;2,"Cliente",S489&gt;0,"Cliente nuevo")</f>
        <v>Alta sin facturar</v>
      </c>
      <c r="W489" s="59" t="str">
        <f t="shared" si="56"/>
        <v>Sin pago</v>
      </c>
      <c r="X489" s="3"/>
      <c r="Y489" s="3"/>
      <c r="Z489" s="3"/>
      <c r="AA489" s="3"/>
      <c r="AB489" s="3"/>
      <c r="AC489" s="3"/>
      <c r="AD489" s="3"/>
      <c r="AE489" s="3"/>
      <c r="AG489"/>
      <c r="AH489"/>
      <c r="AI489"/>
      <c r="AJ489"/>
      <c r="AK489"/>
      <c r="AL489"/>
      <c r="AM489"/>
      <c r="AN489"/>
    </row>
    <row r="490" spans="1:40" x14ac:dyDescent="0.25">
      <c r="A490" s="6">
        <v>44721</v>
      </c>
      <c r="B490" t="str">
        <f t="shared" si="50"/>
        <v>Junio</v>
      </c>
      <c r="C490" s="1" t="s">
        <v>36</v>
      </c>
      <c r="D490" s="58" t="str">
        <f>VLOOKUP(Datos!$C490,$AQ$2:$AR$41,2,0)</f>
        <v>Magallanes</v>
      </c>
      <c r="E490" s="1">
        <v>23570</v>
      </c>
      <c r="F490" s="1" t="str">
        <f t="array" ref="F490">_xlfn.IFS(H490=0,"Alta sin facturar",H490&gt;2,"Cliente",H490&gt;0,"Cliente nuevo")</f>
        <v>Cliente nuevo</v>
      </c>
      <c r="G490" s="1"/>
      <c r="H490" s="1">
        <f t="shared" si="54"/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89">
        <v>199.52</v>
      </c>
      <c r="O490" s="89">
        <v>0</v>
      </c>
      <c r="P490" s="89">
        <v>0</v>
      </c>
      <c r="Q490" s="54">
        <f t="shared" si="51"/>
        <v>199.52</v>
      </c>
      <c r="R490" s="89">
        <v>0</v>
      </c>
      <c r="S490" s="92">
        <f t="shared" si="55"/>
        <v>1</v>
      </c>
      <c r="T490" s="59">
        <f t="shared" si="52"/>
        <v>199.52</v>
      </c>
      <c r="U490" s="60">
        <f t="shared" si="53"/>
        <v>0</v>
      </c>
      <c r="V490" s="59" t="str">
        <f t="array" ref="V490">_xlfn.IFS(S490=0,"Alta sin facturar",S490&gt;2,"Cliente",S490&gt;0,"Cliente nuevo")</f>
        <v>Cliente nuevo</v>
      </c>
      <c r="W490" s="59" t="str">
        <f t="shared" si="56"/>
        <v>Ha pagado</v>
      </c>
      <c r="X490" s="3"/>
      <c r="Y490" s="3"/>
      <c r="Z490" s="3"/>
      <c r="AA490" s="3"/>
      <c r="AB490" s="3"/>
      <c r="AC490" s="3"/>
      <c r="AD490" s="3"/>
      <c r="AE490" s="3"/>
      <c r="AG490"/>
      <c r="AH490"/>
      <c r="AI490"/>
      <c r="AJ490"/>
      <c r="AK490"/>
      <c r="AL490"/>
      <c r="AM490"/>
      <c r="AN490"/>
    </row>
    <row r="491" spans="1:40" x14ac:dyDescent="0.25">
      <c r="A491" s="6">
        <v>44722</v>
      </c>
      <c r="B491" t="str">
        <f t="shared" si="50"/>
        <v>Junio</v>
      </c>
      <c r="C491" s="1" t="s">
        <v>36</v>
      </c>
      <c r="D491" s="58" t="str">
        <f>VLOOKUP(Datos!$C491,$AQ$2:$AR$41,2,0)</f>
        <v>Magallanes</v>
      </c>
      <c r="E491" s="1">
        <v>23571</v>
      </c>
      <c r="F491" s="1" t="str">
        <f t="array" ref="F491">_xlfn.IFS(H491=0,"Alta sin facturar",H491&gt;2,"Cliente",H491&gt;0,"Cliente nuevo")</f>
        <v>Cliente</v>
      </c>
      <c r="G491" s="1"/>
      <c r="H491" s="1">
        <f t="shared" si="54"/>
        <v>3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89">
        <v>812</v>
      </c>
      <c r="O491" s="89">
        <v>745.88</v>
      </c>
      <c r="P491" s="89">
        <v>1197.1199999999999</v>
      </c>
      <c r="Q491" s="54">
        <f t="shared" si="51"/>
        <v>2755</v>
      </c>
      <c r="R491" s="89">
        <v>480.24</v>
      </c>
      <c r="S491" s="92">
        <f t="shared" si="55"/>
        <v>3</v>
      </c>
      <c r="T491" s="59">
        <f t="shared" si="52"/>
        <v>2274.7600000000002</v>
      </c>
      <c r="U491" s="60">
        <f t="shared" si="53"/>
        <v>0.1743157894736842</v>
      </c>
      <c r="V491" s="59" t="str">
        <f t="array" ref="V491">_xlfn.IFS(S491=0,"Alta sin facturar",S491&gt;2,"Cliente",S491&gt;0,"Cliente nuevo")</f>
        <v>Cliente</v>
      </c>
      <c r="W491" s="59" t="str">
        <f t="shared" si="56"/>
        <v>Ha pagado</v>
      </c>
      <c r="X491" s="3"/>
      <c r="Y491" s="3"/>
      <c r="Z491" s="3"/>
      <c r="AA491" s="3"/>
      <c r="AB491" s="3"/>
      <c r="AC491" s="3"/>
      <c r="AD491" s="3"/>
      <c r="AE491" s="3"/>
      <c r="AG491"/>
      <c r="AH491"/>
      <c r="AI491"/>
      <c r="AJ491"/>
      <c r="AK491"/>
      <c r="AL491"/>
      <c r="AM491"/>
      <c r="AN491"/>
    </row>
    <row r="492" spans="1:40" x14ac:dyDescent="0.25">
      <c r="A492" s="6">
        <v>44722</v>
      </c>
      <c r="B492" t="str">
        <f t="shared" si="50"/>
        <v>Junio</v>
      </c>
      <c r="C492" s="1" t="s">
        <v>36</v>
      </c>
      <c r="D492" s="58" t="str">
        <f>VLOOKUP(Datos!$C492,$AQ$2:$AR$41,2,0)</f>
        <v>Magallanes</v>
      </c>
      <c r="E492" s="1">
        <v>23572</v>
      </c>
      <c r="F492" s="1" t="str">
        <f t="array" ref="F492">_xlfn.IFS(H492=0,"Alta sin facturar",H492&gt;2,"Cliente",H492&gt;0,"Cliente nuevo")</f>
        <v>Alta sin facturar</v>
      </c>
      <c r="G492" s="1"/>
      <c r="H492" s="1">
        <f t="shared" si="54"/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89">
        <v>0</v>
      </c>
      <c r="O492" s="89">
        <v>0</v>
      </c>
      <c r="P492" s="89">
        <v>0</v>
      </c>
      <c r="Q492" s="54">
        <f t="shared" si="51"/>
        <v>0</v>
      </c>
      <c r="R492" s="89"/>
      <c r="S492" s="92">
        <f t="shared" si="55"/>
        <v>0</v>
      </c>
      <c r="T492" s="59">
        <f t="shared" si="52"/>
        <v>0</v>
      </c>
      <c r="U492" s="60">
        <f t="shared" si="53"/>
        <v>0</v>
      </c>
      <c r="V492" s="59" t="str">
        <f t="array" ref="V492">_xlfn.IFS(S492=0,"Alta sin facturar",S492&gt;2,"Cliente",S492&gt;0,"Cliente nuevo")</f>
        <v>Alta sin facturar</v>
      </c>
      <c r="W492" s="59" t="str">
        <f t="shared" si="56"/>
        <v>Sin pago</v>
      </c>
      <c r="X492" s="3"/>
      <c r="Y492" s="3"/>
      <c r="Z492" s="3"/>
      <c r="AA492" s="3"/>
      <c r="AB492" s="3"/>
      <c r="AC492" s="3"/>
      <c r="AD492" s="3"/>
      <c r="AE492" s="3"/>
      <c r="AG492"/>
      <c r="AH492"/>
      <c r="AI492"/>
      <c r="AJ492"/>
      <c r="AK492"/>
      <c r="AL492"/>
      <c r="AM492"/>
      <c r="AN492"/>
    </row>
    <row r="493" spans="1:40" x14ac:dyDescent="0.25">
      <c r="A493" s="6">
        <v>44722</v>
      </c>
      <c r="B493" t="str">
        <f t="shared" si="50"/>
        <v>Junio</v>
      </c>
      <c r="C493" s="1" t="s">
        <v>33</v>
      </c>
      <c r="D493" s="58" t="str">
        <f>VLOOKUP(Datos!$C493,$AQ$2:$AR$41,2,0)</f>
        <v>Magallanes</v>
      </c>
      <c r="E493" s="1">
        <v>23573</v>
      </c>
      <c r="F493" s="1" t="str">
        <f t="array" ref="F493">_xlfn.IFS(H493=0,"Alta sin facturar",H493&gt;2,"Cliente",H493&gt;0,"Cliente nuevo")</f>
        <v>Alta sin facturar</v>
      </c>
      <c r="G493" s="1"/>
      <c r="H493" s="1">
        <f t="shared" si="54"/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89">
        <v>0</v>
      </c>
      <c r="O493" s="89">
        <v>0</v>
      </c>
      <c r="P493" s="89">
        <v>0</v>
      </c>
      <c r="Q493" s="54">
        <f t="shared" si="51"/>
        <v>0</v>
      </c>
      <c r="R493" s="89">
        <v>320.16000000000003</v>
      </c>
      <c r="S493" s="92">
        <f t="shared" si="55"/>
        <v>0</v>
      </c>
      <c r="T493" s="59">
        <f t="shared" si="52"/>
        <v>-320.16000000000003</v>
      </c>
      <c r="U493" s="60">
        <f t="shared" si="53"/>
        <v>0</v>
      </c>
      <c r="V493" s="59" t="str">
        <f t="array" ref="V493">_xlfn.IFS(S493=0,"Alta sin facturar",S493&gt;2,"Cliente",S493&gt;0,"Cliente nuevo")</f>
        <v>Alta sin facturar</v>
      </c>
      <c r="W493" s="59" t="str">
        <f t="shared" si="56"/>
        <v>Sin pago</v>
      </c>
      <c r="X493" s="3"/>
      <c r="Y493" s="3"/>
      <c r="Z493" s="3"/>
      <c r="AA493" s="3"/>
      <c r="AB493" s="3"/>
      <c r="AC493" s="3"/>
      <c r="AD493" s="3"/>
      <c r="AE493" s="3"/>
      <c r="AG493"/>
      <c r="AH493"/>
      <c r="AI493"/>
      <c r="AJ493"/>
      <c r="AK493"/>
      <c r="AL493"/>
      <c r="AM493"/>
      <c r="AN493"/>
    </row>
    <row r="494" spans="1:40" x14ac:dyDescent="0.25">
      <c r="A494" s="6">
        <v>44722</v>
      </c>
      <c r="B494" t="str">
        <f t="shared" si="50"/>
        <v>Junio</v>
      </c>
      <c r="C494" s="1" t="s">
        <v>102</v>
      </c>
      <c r="D494" s="58" t="str">
        <f>VLOOKUP(Datos!$C494,$AQ$2:$AR$41,2,0)</f>
        <v>Sur</v>
      </c>
      <c r="E494" s="1">
        <v>23574</v>
      </c>
      <c r="F494" s="1" t="str">
        <f t="array" ref="F494">_xlfn.IFS(H494=0,"Alta sin facturar",H494&gt;2,"Cliente",H494&gt;0,"Cliente nuevo")</f>
        <v>Cliente</v>
      </c>
      <c r="G494" s="1"/>
      <c r="H494" s="1">
        <f t="shared" si="54"/>
        <v>3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89">
        <v>3041.52</v>
      </c>
      <c r="O494" s="89">
        <v>6210.6400000000012</v>
      </c>
      <c r="P494" s="89">
        <v>7727.9200000000028</v>
      </c>
      <c r="Q494" s="54">
        <f t="shared" si="51"/>
        <v>16980.080000000005</v>
      </c>
      <c r="R494" s="89">
        <v>3234.08</v>
      </c>
      <c r="S494" s="92">
        <f t="shared" si="55"/>
        <v>3</v>
      </c>
      <c r="T494" s="59">
        <f t="shared" si="52"/>
        <v>13746.000000000005</v>
      </c>
      <c r="U494" s="60">
        <f t="shared" si="53"/>
        <v>0.19046317802978543</v>
      </c>
      <c r="V494" s="59" t="str">
        <f t="array" ref="V494">_xlfn.IFS(S494=0,"Alta sin facturar",S494&gt;2,"Cliente",S494&gt;0,"Cliente nuevo")</f>
        <v>Cliente</v>
      </c>
      <c r="W494" s="59" t="str">
        <f t="shared" si="56"/>
        <v>Ha pagado</v>
      </c>
      <c r="X494" s="3"/>
      <c r="Y494" s="3"/>
      <c r="Z494" s="3"/>
      <c r="AA494" s="3"/>
      <c r="AB494" s="3"/>
      <c r="AC494" s="3"/>
      <c r="AD494" s="3"/>
      <c r="AE494" s="3"/>
      <c r="AG494"/>
      <c r="AH494"/>
      <c r="AI494"/>
      <c r="AJ494"/>
      <c r="AK494"/>
      <c r="AL494"/>
      <c r="AM494"/>
      <c r="AN494"/>
    </row>
    <row r="495" spans="1:40" x14ac:dyDescent="0.25">
      <c r="A495" s="6">
        <v>44722</v>
      </c>
      <c r="B495" t="str">
        <f t="shared" si="50"/>
        <v>Junio</v>
      </c>
      <c r="C495" s="1" t="s">
        <v>43</v>
      </c>
      <c r="D495" s="58" t="str">
        <f>VLOOKUP(Datos!$C495,$AQ$2:$AR$41,2,0)</f>
        <v>Centro</v>
      </c>
      <c r="E495" s="1">
        <v>23575</v>
      </c>
      <c r="F495" s="1" t="str">
        <f t="array" ref="F495">_xlfn.IFS(H495=0,"Alta sin facturar",H495&gt;2,"Cliente",H495&gt;0,"Cliente nuevo")</f>
        <v>Cliente nuevo</v>
      </c>
      <c r="G495" s="1"/>
      <c r="H495" s="1">
        <f t="shared" si="54"/>
        <v>2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89">
        <v>2441.8000000000002</v>
      </c>
      <c r="O495" s="89">
        <v>0</v>
      </c>
      <c r="P495" s="89">
        <v>341.03999999999996</v>
      </c>
      <c r="Q495" s="54">
        <f t="shared" si="51"/>
        <v>2782.84</v>
      </c>
      <c r="R495" s="89">
        <v>580</v>
      </c>
      <c r="S495" s="92">
        <f t="shared" si="55"/>
        <v>2</v>
      </c>
      <c r="T495" s="59">
        <f t="shared" si="52"/>
        <v>2202.84</v>
      </c>
      <c r="U495" s="60">
        <f t="shared" si="53"/>
        <v>0.20842017507294705</v>
      </c>
      <c r="V495" s="59" t="str">
        <f t="array" ref="V495">_xlfn.IFS(S495=0,"Alta sin facturar",S495&gt;2,"Cliente",S495&gt;0,"Cliente nuevo")</f>
        <v>Cliente nuevo</v>
      </c>
      <c r="W495" s="59" t="str">
        <f t="shared" si="56"/>
        <v>Ha pagado</v>
      </c>
      <c r="X495" s="3"/>
      <c r="Y495" s="3"/>
      <c r="Z495" s="3"/>
      <c r="AA495" s="3"/>
      <c r="AB495" s="3"/>
      <c r="AC495" s="3"/>
      <c r="AD495" s="3"/>
      <c r="AE495" s="3"/>
      <c r="AG495"/>
      <c r="AH495"/>
      <c r="AI495"/>
      <c r="AJ495"/>
      <c r="AK495"/>
      <c r="AL495"/>
      <c r="AM495"/>
      <c r="AN495"/>
    </row>
    <row r="496" spans="1:40" x14ac:dyDescent="0.25">
      <c r="A496" s="6">
        <v>44723</v>
      </c>
      <c r="B496" t="str">
        <f t="shared" si="50"/>
        <v>Junio</v>
      </c>
      <c r="C496" s="1" t="s">
        <v>39</v>
      </c>
      <c r="D496" s="58" t="str">
        <f>VLOOKUP(Datos!$C496,$AQ$2:$AR$41,2,0)</f>
        <v>Sur</v>
      </c>
      <c r="E496" s="1">
        <v>23576</v>
      </c>
      <c r="F496" s="1" t="str">
        <f t="array" ref="F496">_xlfn.IFS(H496=0,"Alta sin facturar",H496&gt;2,"Cliente",H496&gt;0,"Cliente nuevo")</f>
        <v>Cliente</v>
      </c>
      <c r="G496" s="1"/>
      <c r="H496" s="1">
        <f t="shared" si="54"/>
        <v>3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89">
        <v>1571.8</v>
      </c>
      <c r="O496" s="89">
        <v>4346.5199999999995</v>
      </c>
      <c r="P496" s="89">
        <v>1992.8799999999997</v>
      </c>
      <c r="Q496" s="54">
        <f t="shared" si="51"/>
        <v>7911.1999999999989</v>
      </c>
      <c r="R496" s="89">
        <v>0</v>
      </c>
      <c r="S496" s="92">
        <f t="shared" si="55"/>
        <v>3</v>
      </c>
      <c r="T496" s="59">
        <f t="shared" si="52"/>
        <v>7911.1999999999989</v>
      </c>
      <c r="U496" s="60">
        <f t="shared" si="53"/>
        <v>0</v>
      </c>
      <c r="V496" s="59" t="str">
        <f t="array" ref="V496">_xlfn.IFS(S496=0,"Alta sin facturar",S496&gt;2,"Cliente",S496&gt;0,"Cliente nuevo")</f>
        <v>Cliente</v>
      </c>
      <c r="W496" s="59" t="str">
        <f t="shared" si="56"/>
        <v>Ha pagado</v>
      </c>
      <c r="X496" s="3"/>
      <c r="Y496" s="3"/>
      <c r="Z496" s="3"/>
      <c r="AA496" s="3"/>
      <c r="AB496" s="3"/>
      <c r="AC496" s="3"/>
      <c r="AD496" s="3"/>
      <c r="AE496" s="3"/>
      <c r="AG496"/>
      <c r="AH496"/>
      <c r="AI496"/>
      <c r="AJ496"/>
      <c r="AK496"/>
      <c r="AL496"/>
      <c r="AM496"/>
      <c r="AN496"/>
    </row>
    <row r="497" spans="1:40" x14ac:dyDescent="0.25">
      <c r="A497" s="6">
        <v>44723</v>
      </c>
      <c r="B497" t="str">
        <f t="shared" si="50"/>
        <v>Junio</v>
      </c>
      <c r="C497" s="1" t="s">
        <v>66</v>
      </c>
      <c r="D497" s="58" t="str">
        <f>VLOOKUP(Datos!$C497,$AQ$2:$AR$41,2,0)</f>
        <v>Sur</v>
      </c>
      <c r="E497" s="1">
        <v>23577</v>
      </c>
      <c r="F497" s="1" t="str">
        <f t="array" ref="F497">_xlfn.IFS(H497=0,"Alta sin facturar",H497&gt;2,"Cliente",H497&gt;0,"Cliente nuevo")</f>
        <v>Cliente nuevo</v>
      </c>
      <c r="G497" s="1"/>
      <c r="H497" s="1">
        <f t="shared" si="54"/>
        <v>2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89">
        <v>904.8</v>
      </c>
      <c r="O497" s="89">
        <v>0</v>
      </c>
      <c r="P497" s="89">
        <v>4985.6799999999985</v>
      </c>
      <c r="Q497" s="54">
        <f t="shared" si="51"/>
        <v>5890.4799999999987</v>
      </c>
      <c r="R497" s="89">
        <v>0</v>
      </c>
      <c r="S497" s="92">
        <f t="shared" si="55"/>
        <v>2</v>
      </c>
      <c r="T497" s="59">
        <f t="shared" si="52"/>
        <v>5890.4799999999987</v>
      </c>
      <c r="U497" s="60">
        <f t="shared" si="53"/>
        <v>0</v>
      </c>
      <c r="V497" s="59" t="str">
        <f t="array" ref="V497">_xlfn.IFS(S497=0,"Alta sin facturar",S497&gt;2,"Cliente",S497&gt;0,"Cliente nuevo")</f>
        <v>Cliente nuevo</v>
      </c>
      <c r="W497" s="59" t="str">
        <f t="shared" si="56"/>
        <v>Ha pagado</v>
      </c>
      <c r="X497" s="3"/>
      <c r="Y497" s="3"/>
      <c r="Z497" s="3"/>
      <c r="AA497" s="3"/>
      <c r="AB497" s="3"/>
      <c r="AC497" s="3"/>
      <c r="AD497" s="3"/>
      <c r="AE497" s="3"/>
      <c r="AG497"/>
      <c r="AH497"/>
      <c r="AI497"/>
      <c r="AJ497"/>
      <c r="AK497"/>
      <c r="AL497"/>
      <c r="AM497"/>
      <c r="AN497"/>
    </row>
    <row r="498" spans="1:40" x14ac:dyDescent="0.25">
      <c r="A498" s="6">
        <v>44723</v>
      </c>
      <c r="B498" t="str">
        <f t="shared" si="50"/>
        <v>Junio</v>
      </c>
      <c r="C498" s="1" t="s">
        <v>75</v>
      </c>
      <c r="D498" s="58" t="str">
        <f>VLOOKUP(Datos!$C498,$AQ$2:$AR$41,2,0)</f>
        <v>Centro</v>
      </c>
      <c r="E498" s="1">
        <v>23578</v>
      </c>
      <c r="F498" s="1" t="str">
        <f t="array" ref="F498">_xlfn.IFS(H498=0,"Alta sin facturar",H498&gt;2,"Cliente",H498&gt;0,"Cliente nuevo")</f>
        <v>Cliente nuevo</v>
      </c>
      <c r="G498" s="1"/>
      <c r="H498" s="1">
        <f t="shared" si="54"/>
        <v>2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89">
        <v>607.84</v>
      </c>
      <c r="O498" s="89">
        <v>0</v>
      </c>
      <c r="P498" s="89">
        <v>227.36</v>
      </c>
      <c r="Q498" s="54">
        <f t="shared" si="51"/>
        <v>835.2</v>
      </c>
      <c r="R498" s="89">
        <v>498.8</v>
      </c>
      <c r="S498" s="92">
        <f t="shared" si="55"/>
        <v>2</v>
      </c>
      <c r="T498" s="59">
        <f t="shared" si="52"/>
        <v>336.40000000000003</v>
      </c>
      <c r="U498" s="60">
        <f t="shared" si="53"/>
        <v>0.59722222222222221</v>
      </c>
      <c r="V498" s="59" t="str">
        <f t="array" ref="V498">_xlfn.IFS(S498=0,"Alta sin facturar",S498&gt;2,"Cliente",S498&gt;0,"Cliente nuevo")</f>
        <v>Cliente nuevo</v>
      </c>
      <c r="W498" s="59" t="str">
        <f t="shared" si="56"/>
        <v>Ha pagado</v>
      </c>
      <c r="X498" s="3"/>
      <c r="Y498" s="3"/>
      <c r="Z498" s="3"/>
      <c r="AA498" s="3"/>
      <c r="AB498" s="3"/>
      <c r="AC498" s="3"/>
      <c r="AD498" s="3"/>
      <c r="AE498" s="3"/>
      <c r="AG498"/>
      <c r="AH498"/>
      <c r="AI498"/>
      <c r="AJ498"/>
      <c r="AK498"/>
      <c r="AL498"/>
      <c r="AM498"/>
      <c r="AN498"/>
    </row>
    <row r="499" spans="1:40" x14ac:dyDescent="0.25">
      <c r="A499" s="6">
        <v>44723</v>
      </c>
      <c r="B499" t="str">
        <f t="shared" si="50"/>
        <v>Junio</v>
      </c>
      <c r="C499" s="1" t="s">
        <v>36</v>
      </c>
      <c r="D499" s="58" t="str">
        <f>VLOOKUP(Datos!$C499,$AQ$2:$AR$41,2,0)</f>
        <v>Magallanes</v>
      </c>
      <c r="E499" s="1">
        <v>23579</v>
      </c>
      <c r="F499" s="1" t="str">
        <f t="array" ref="F499">_xlfn.IFS(H499=0,"Alta sin facturar",H499&gt;2,"Cliente",H499&gt;0,"Cliente nuevo")</f>
        <v>Cliente nuevo</v>
      </c>
      <c r="G499" s="1"/>
      <c r="H499" s="1">
        <f t="shared" si="54"/>
        <v>2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89">
        <v>0</v>
      </c>
      <c r="O499" s="89">
        <v>149.63999999999999</v>
      </c>
      <c r="P499" s="89">
        <v>1494.0800000000002</v>
      </c>
      <c r="Q499" s="54">
        <f t="shared" si="51"/>
        <v>1643.7200000000003</v>
      </c>
      <c r="R499" s="89">
        <v>0</v>
      </c>
      <c r="S499" s="92">
        <f t="shared" si="55"/>
        <v>2</v>
      </c>
      <c r="T499" s="59">
        <f t="shared" si="52"/>
        <v>1643.7200000000003</v>
      </c>
      <c r="U499" s="60">
        <f t="shared" si="53"/>
        <v>0</v>
      </c>
      <c r="V499" s="59" t="str">
        <f t="array" ref="V499">_xlfn.IFS(S499=0,"Alta sin facturar",S499&gt;2,"Cliente",S499&gt;0,"Cliente nuevo")</f>
        <v>Cliente nuevo</v>
      </c>
      <c r="W499" s="59" t="str">
        <f t="shared" si="56"/>
        <v>Ha pagado</v>
      </c>
      <c r="X499" s="3"/>
      <c r="Y499" s="3"/>
      <c r="Z499" s="3"/>
      <c r="AA499" s="3"/>
      <c r="AB499" s="3"/>
      <c r="AC499" s="3"/>
      <c r="AD499" s="3"/>
      <c r="AE499" s="3"/>
      <c r="AG499"/>
      <c r="AH499"/>
      <c r="AI499"/>
      <c r="AJ499"/>
      <c r="AK499"/>
      <c r="AL499"/>
      <c r="AM499"/>
      <c r="AN499"/>
    </row>
    <row r="500" spans="1:40" x14ac:dyDescent="0.25">
      <c r="A500" s="6">
        <v>44725</v>
      </c>
      <c r="B500" t="str">
        <f t="shared" si="50"/>
        <v>Junio</v>
      </c>
      <c r="C500" s="1" t="s">
        <v>33</v>
      </c>
      <c r="D500" s="58" t="str">
        <f>VLOOKUP(Datos!$C500,$AQ$2:$AR$41,2,0)</f>
        <v>Magallanes</v>
      </c>
      <c r="E500" s="1">
        <v>23580</v>
      </c>
      <c r="F500" s="1" t="str">
        <f t="array" ref="F500">_xlfn.IFS(H500=0,"Alta sin facturar",H500&gt;2,"Cliente",H500&gt;0,"Cliente nuevo")</f>
        <v>Cliente nuevo</v>
      </c>
      <c r="G500" s="1"/>
      <c r="H500" s="1">
        <f t="shared" si="54"/>
        <v>2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89">
        <v>1722.6</v>
      </c>
      <c r="O500" s="89">
        <v>0</v>
      </c>
      <c r="P500" s="89">
        <v>4440.4800000000005</v>
      </c>
      <c r="Q500" s="54">
        <f t="shared" si="51"/>
        <v>6163.08</v>
      </c>
      <c r="R500" s="89">
        <v>0</v>
      </c>
      <c r="S500" s="92">
        <f t="shared" si="55"/>
        <v>2</v>
      </c>
      <c r="T500" s="59">
        <f t="shared" si="52"/>
        <v>6163.08</v>
      </c>
      <c r="U500" s="60">
        <f t="shared" si="53"/>
        <v>0</v>
      </c>
      <c r="V500" s="59" t="str">
        <f t="array" ref="V500">_xlfn.IFS(S500=0,"Alta sin facturar",S500&gt;2,"Cliente",S500&gt;0,"Cliente nuevo")</f>
        <v>Cliente nuevo</v>
      </c>
      <c r="W500" s="59" t="str">
        <f t="shared" si="56"/>
        <v>Ha pagado</v>
      </c>
      <c r="X500" s="3"/>
      <c r="Y500" s="3"/>
      <c r="Z500" s="3"/>
      <c r="AA500" s="3"/>
      <c r="AB500" s="3"/>
      <c r="AC500" s="3"/>
      <c r="AD500" s="3"/>
      <c r="AE500" s="3"/>
      <c r="AG500"/>
      <c r="AH500"/>
      <c r="AI500"/>
      <c r="AJ500"/>
      <c r="AK500"/>
      <c r="AL500"/>
      <c r="AM500"/>
      <c r="AN500"/>
    </row>
    <row r="501" spans="1:40" x14ac:dyDescent="0.25">
      <c r="A501" s="6">
        <v>44725</v>
      </c>
      <c r="B501" t="str">
        <f t="shared" si="50"/>
        <v>Junio</v>
      </c>
      <c r="C501" s="1" t="s">
        <v>97</v>
      </c>
      <c r="D501" s="58" t="str">
        <f>VLOOKUP(Datos!$C501,$AQ$2:$AR$41,2,0)</f>
        <v>Centro</v>
      </c>
      <c r="E501" s="1">
        <v>23581</v>
      </c>
      <c r="F501" s="1" t="str">
        <f t="array" ref="F501">_xlfn.IFS(H501=0,"Alta sin facturar",H501&gt;2,"Cliente",H501&gt;0,"Cliente nuevo")</f>
        <v>Cliente</v>
      </c>
      <c r="G501" s="1"/>
      <c r="H501" s="1">
        <f t="shared" si="54"/>
        <v>3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89">
        <v>6284.88</v>
      </c>
      <c r="O501" s="89">
        <v>8728.9999999999982</v>
      </c>
      <c r="P501" s="89">
        <v>4189.9199999999992</v>
      </c>
      <c r="Q501" s="54">
        <f t="shared" si="51"/>
        <v>19203.799999999996</v>
      </c>
      <c r="R501" s="89">
        <v>0</v>
      </c>
      <c r="S501" s="92">
        <f t="shared" si="55"/>
        <v>3</v>
      </c>
      <c r="T501" s="59">
        <f t="shared" si="52"/>
        <v>19203.799999999996</v>
      </c>
      <c r="U501" s="60">
        <f t="shared" si="53"/>
        <v>0</v>
      </c>
      <c r="V501" s="59" t="str">
        <f t="array" ref="V501">_xlfn.IFS(S501=0,"Alta sin facturar",S501&gt;2,"Cliente",S501&gt;0,"Cliente nuevo")</f>
        <v>Cliente</v>
      </c>
      <c r="W501" s="59" t="str">
        <f t="shared" si="56"/>
        <v>Ha pagado</v>
      </c>
      <c r="X501" s="3"/>
      <c r="Y501" s="3"/>
      <c r="Z501" s="3"/>
      <c r="AA501" s="3"/>
      <c r="AB501" s="3"/>
      <c r="AC501" s="3"/>
      <c r="AD501" s="3"/>
      <c r="AE501" s="3"/>
      <c r="AG501"/>
      <c r="AH501"/>
      <c r="AI501"/>
      <c r="AJ501"/>
      <c r="AK501"/>
      <c r="AL501"/>
      <c r="AM501"/>
      <c r="AN501"/>
    </row>
    <row r="502" spans="1:40" x14ac:dyDescent="0.25">
      <c r="A502" s="6">
        <v>44725</v>
      </c>
      <c r="B502" t="str">
        <f t="shared" si="50"/>
        <v>Junio</v>
      </c>
      <c r="C502" s="1" t="s">
        <v>97</v>
      </c>
      <c r="D502" s="58" t="str">
        <f>VLOOKUP(Datos!$C502,$AQ$2:$AR$41,2,0)</f>
        <v>Centro</v>
      </c>
      <c r="E502" s="1">
        <v>23582</v>
      </c>
      <c r="F502" s="1" t="str">
        <f t="array" ref="F502">_xlfn.IFS(H502=0,"Alta sin facturar",H502&gt;2,"Cliente",H502&gt;0,"Cliente nuevo")</f>
        <v>Cliente nuevo</v>
      </c>
      <c r="G502" s="1"/>
      <c r="H502" s="1">
        <f t="shared" si="54"/>
        <v>1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89">
        <v>1856</v>
      </c>
      <c r="O502" s="89">
        <v>0</v>
      </c>
      <c r="P502" s="89">
        <v>0</v>
      </c>
      <c r="Q502" s="54">
        <f t="shared" si="51"/>
        <v>1856</v>
      </c>
      <c r="R502" s="89">
        <v>0</v>
      </c>
      <c r="S502" s="92">
        <f t="shared" si="55"/>
        <v>1</v>
      </c>
      <c r="T502" s="59">
        <f t="shared" si="52"/>
        <v>1856</v>
      </c>
      <c r="U502" s="60">
        <f t="shared" si="53"/>
        <v>0</v>
      </c>
      <c r="V502" s="59" t="str">
        <f t="array" ref="V502">_xlfn.IFS(S502=0,"Alta sin facturar",S502&gt;2,"Cliente",S502&gt;0,"Cliente nuevo")</f>
        <v>Cliente nuevo</v>
      </c>
      <c r="W502" s="59" t="str">
        <f t="shared" si="56"/>
        <v>Ha pagado</v>
      </c>
      <c r="X502" s="3"/>
      <c r="Y502" s="3"/>
      <c r="Z502" s="3"/>
      <c r="AA502" s="3"/>
      <c r="AB502" s="3"/>
      <c r="AC502" s="3"/>
      <c r="AD502" s="3"/>
      <c r="AE502" s="3"/>
      <c r="AG502"/>
      <c r="AH502"/>
      <c r="AI502"/>
      <c r="AJ502"/>
      <c r="AK502"/>
      <c r="AL502"/>
      <c r="AM502"/>
      <c r="AN502"/>
    </row>
    <row r="503" spans="1:40" x14ac:dyDescent="0.25">
      <c r="A503" s="6">
        <v>44726</v>
      </c>
      <c r="B503" t="str">
        <f t="shared" si="50"/>
        <v>Junio</v>
      </c>
      <c r="C503" s="1" t="s">
        <v>34</v>
      </c>
      <c r="D503" s="58" t="str">
        <f>VLOOKUP(Datos!$C503,$AQ$2:$AR$41,2,0)</f>
        <v>Norte</v>
      </c>
      <c r="E503" s="1">
        <v>23583</v>
      </c>
      <c r="F503" s="1" t="str">
        <f t="array" ref="F503">_xlfn.IFS(H503=0,"Alta sin facturar",H503&gt;2,"Cliente",H503&gt;0,"Cliente nuevo")</f>
        <v>Cliente</v>
      </c>
      <c r="G503" s="1"/>
      <c r="H503" s="1">
        <f t="shared" si="54"/>
        <v>3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89">
        <v>677.44</v>
      </c>
      <c r="O503" s="89">
        <v>3457.9599999999996</v>
      </c>
      <c r="P503" s="89">
        <v>1800.32</v>
      </c>
      <c r="Q503" s="54">
        <f t="shared" si="51"/>
        <v>5935.7199999999993</v>
      </c>
      <c r="R503" s="89">
        <v>0</v>
      </c>
      <c r="S503" s="92">
        <f t="shared" si="55"/>
        <v>3</v>
      </c>
      <c r="T503" s="59">
        <f t="shared" si="52"/>
        <v>5935.7199999999993</v>
      </c>
      <c r="U503" s="60">
        <f t="shared" si="53"/>
        <v>0</v>
      </c>
      <c r="V503" s="59" t="str">
        <f t="array" ref="V503">_xlfn.IFS(S503=0,"Alta sin facturar",S503&gt;2,"Cliente",S503&gt;0,"Cliente nuevo")</f>
        <v>Cliente</v>
      </c>
      <c r="W503" s="59" t="str">
        <f t="shared" si="56"/>
        <v>Ha pagado</v>
      </c>
      <c r="X503" s="3"/>
      <c r="Y503" s="3"/>
      <c r="Z503" s="3"/>
      <c r="AA503" s="3"/>
      <c r="AB503" s="3"/>
      <c r="AC503" s="3"/>
      <c r="AD503" s="3"/>
      <c r="AE503" s="3"/>
      <c r="AG503"/>
      <c r="AH503"/>
      <c r="AI503"/>
      <c r="AJ503"/>
      <c r="AK503"/>
      <c r="AL503"/>
      <c r="AM503"/>
      <c r="AN503"/>
    </row>
    <row r="504" spans="1:40" x14ac:dyDescent="0.25">
      <c r="A504" s="6">
        <v>44726</v>
      </c>
      <c r="B504" t="str">
        <f t="shared" si="50"/>
        <v>Junio</v>
      </c>
      <c r="C504" s="1" t="s">
        <v>78</v>
      </c>
      <c r="D504" s="58" t="str">
        <f>VLOOKUP(Datos!$C504,$AQ$2:$AR$41,2,0)</f>
        <v>Centro</v>
      </c>
      <c r="E504" s="1">
        <v>23584</v>
      </c>
      <c r="F504" s="1" t="str">
        <f t="array" ref="F504">_xlfn.IFS(H504=0,"Alta sin facturar",H504&gt;2,"Cliente",H504&gt;0,"Cliente nuevo")</f>
        <v>Cliente</v>
      </c>
      <c r="G504" s="1"/>
      <c r="H504" s="1">
        <f t="shared" si="54"/>
        <v>3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89">
        <v>513.88</v>
      </c>
      <c r="O504" s="89">
        <v>2028.8400000000001</v>
      </c>
      <c r="P504" s="89">
        <v>2990.4800000000005</v>
      </c>
      <c r="Q504" s="54">
        <f t="shared" si="51"/>
        <v>5533.2000000000007</v>
      </c>
      <c r="R504" s="89">
        <v>201.84</v>
      </c>
      <c r="S504" s="92">
        <f t="shared" si="55"/>
        <v>3</v>
      </c>
      <c r="T504" s="59">
        <f t="shared" si="52"/>
        <v>5331.3600000000006</v>
      </c>
      <c r="U504" s="60">
        <f t="shared" si="53"/>
        <v>3.6477987421383647E-2</v>
      </c>
      <c r="V504" s="59" t="str">
        <f t="array" ref="V504">_xlfn.IFS(S504=0,"Alta sin facturar",S504&gt;2,"Cliente",S504&gt;0,"Cliente nuevo")</f>
        <v>Cliente</v>
      </c>
      <c r="W504" s="59" t="str">
        <f t="shared" si="56"/>
        <v>Ha pagado</v>
      </c>
      <c r="X504" s="3"/>
      <c r="Y504" s="3"/>
      <c r="Z504" s="3"/>
      <c r="AA504" s="3"/>
      <c r="AB504" s="3"/>
      <c r="AC504" s="3"/>
      <c r="AD504" s="3"/>
      <c r="AE504" s="3"/>
      <c r="AG504"/>
      <c r="AH504"/>
      <c r="AI504"/>
      <c r="AJ504"/>
      <c r="AK504"/>
      <c r="AL504"/>
      <c r="AM504"/>
      <c r="AN504"/>
    </row>
    <row r="505" spans="1:40" x14ac:dyDescent="0.25">
      <c r="A505" s="6">
        <v>44726</v>
      </c>
      <c r="B505" t="str">
        <f t="shared" si="50"/>
        <v>Junio</v>
      </c>
      <c r="C505" s="1" t="s">
        <v>42</v>
      </c>
      <c r="D505" s="58" t="str">
        <f>VLOOKUP(Datos!$C505,$AQ$2:$AR$41,2,0)</f>
        <v>Norte</v>
      </c>
      <c r="E505" s="1">
        <v>23585</v>
      </c>
      <c r="F505" s="1" t="str">
        <f t="array" ref="F505">_xlfn.IFS(H505=0,"Alta sin facturar",H505&gt;2,"Cliente",H505&gt;0,"Cliente nuevo")</f>
        <v>Cliente nuevo</v>
      </c>
      <c r="G505" s="1"/>
      <c r="H505" s="1">
        <f t="shared" si="54"/>
        <v>1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89">
        <v>928</v>
      </c>
      <c r="O505" s="89">
        <v>0</v>
      </c>
      <c r="P505" s="89">
        <v>0</v>
      </c>
      <c r="Q505" s="54">
        <f t="shared" si="51"/>
        <v>928</v>
      </c>
      <c r="R505" s="89">
        <v>1856</v>
      </c>
      <c r="S505" s="92">
        <f t="shared" si="55"/>
        <v>1</v>
      </c>
      <c r="T505" s="59">
        <f t="shared" si="52"/>
        <v>-928</v>
      </c>
      <c r="U505" s="60">
        <f t="shared" si="53"/>
        <v>2</v>
      </c>
      <c r="V505" s="59" t="str">
        <f t="array" ref="V505">_xlfn.IFS(S505=0,"Alta sin facturar",S505&gt;2,"Cliente",S505&gt;0,"Cliente nuevo")</f>
        <v>Cliente nuevo</v>
      </c>
      <c r="W505" s="59" t="str">
        <f t="shared" si="56"/>
        <v>Sin pago</v>
      </c>
      <c r="X505" s="3"/>
      <c r="Y505" s="3"/>
      <c r="Z505" s="3"/>
      <c r="AA505" s="3"/>
      <c r="AB505" s="3"/>
      <c r="AC505" s="3"/>
      <c r="AD505" s="3"/>
      <c r="AE505" s="3"/>
      <c r="AG505"/>
      <c r="AH505"/>
      <c r="AI505"/>
      <c r="AJ505"/>
      <c r="AK505"/>
      <c r="AL505"/>
      <c r="AM505"/>
      <c r="AN505"/>
    </row>
    <row r="506" spans="1:40" x14ac:dyDescent="0.25">
      <c r="A506" s="6">
        <v>44726</v>
      </c>
      <c r="B506" t="str">
        <f t="shared" si="50"/>
        <v>Junio</v>
      </c>
      <c r="C506" s="1" t="s">
        <v>34</v>
      </c>
      <c r="D506" s="58" t="str">
        <f>VLOOKUP(Datos!$C506,$AQ$2:$AR$41,2,0)</f>
        <v>Norte</v>
      </c>
      <c r="E506" s="1">
        <v>23586</v>
      </c>
      <c r="F506" s="1" t="str">
        <f t="array" ref="F506">_xlfn.IFS(H506=0,"Alta sin facturar",H506&gt;2,"Cliente",H506&gt;0,"Cliente nuevo")</f>
        <v>Cliente</v>
      </c>
      <c r="G506" s="1"/>
      <c r="H506" s="1">
        <f t="shared" si="54"/>
        <v>3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89">
        <v>537.08000000000004</v>
      </c>
      <c r="O506" s="89">
        <v>5624.84</v>
      </c>
      <c r="P506" s="89">
        <v>15182.080000000002</v>
      </c>
      <c r="Q506" s="54">
        <f t="shared" si="51"/>
        <v>21344</v>
      </c>
      <c r="R506" s="89">
        <v>749.36</v>
      </c>
      <c r="S506" s="92">
        <f t="shared" si="55"/>
        <v>3</v>
      </c>
      <c r="T506" s="59">
        <f t="shared" si="52"/>
        <v>20594.64</v>
      </c>
      <c r="U506" s="60">
        <f t="shared" si="53"/>
        <v>3.5108695652173914E-2</v>
      </c>
      <c r="V506" s="59" t="str">
        <f t="array" ref="V506">_xlfn.IFS(S506=0,"Alta sin facturar",S506&gt;2,"Cliente",S506&gt;0,"Cliente nuevo")</f>
        <v>Cliente</v>
      </c>
      <c r="W506" s="59" t="str">
        <f t="shared" si="56"/>
        <v>Ha pagado</v>
      </c>
      <c r="X506" s="3"/>
      <c r="Y506" s="3"/>
      <c r="Z506" s="3"/>
      <c r="AA506" s="3"/>
      <c r="AB506" s="3"/>
      <c r="AC506" s="3"/>
      <c r="AD506" s="3"/>
      <c r="AE506" s="3"/>
      <c r="AG506"/>
      <c r="AH506"/>
      <c r="AI506"/>
      <c r="AJ506"/>
      <c r="AK506"/>
      <c r="AL506"/>
      <c r="AM506"/>
      <c r="AN506"/>
    </row>
    <row r="507" spans="1:40" x14ac:dyDescent="0.25">
      <c r="A507" s="6">
        <v>44727</v>
      </c>
      <c r="B507" t="str">
        <f t="shared" si="50"/>
        <v>Junio</v>
      </c>
      <c r="C507" s="1" t="s">
        <v>36</v>
      </c>
      <c r="D507" s="58" t="str">
        <f>VLOOKUP(Datos!$C507,$AQ$2:$AR$41,2,0)</f>
        <v>Magallanes</v>
      </c>
      <c r="E507" s="1">
        <v>23587</v>
      </c>
      <c r="F507" s="1" t="str">
        <f t="array" ref="F507">_xlfn.IFS(H507=0,"Alta sin facturar",H507&gt;2,"Cliente",H507&gt;0,"Cliente nuevo")</f>
        <v>Cliente nuevo</v>
      </c>
      <c r="G507" s="1"/>
      <c r="H507" s="1">
        <f t="shared" si="54"/>
        <v>2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89">
        <v>958.16</v>
      </c>
      <c r="O507" s="89">
        <v>0</v>
      </c>
      <c r="P507" s="89">
        <v>1739.9999999999998</v>
      </c>
      <c r="Q507" s="54">
        <f t="shared" si="51"/>
        <v>2698.16</v>
      </c>
      <c r="R507" s="89">
        <v>0</v>
      </c>
      <c r="S507" s="92">
        <f t="shared" si="55"/>
        <v>2</v>
      </c>
      <c r="T507" s="59">
        <f t="shared" si="52"/>
        <v>2698.16</v>
      </c>
      <c r="U507" s="60">
        <f t="shared" si="53"/>
        <v>0</v>
      </c>
      <c r="V507" s="59" t="str">
        <f t="array" ref="V507">_xlfn.IFS(S507=0,"Alta sin facturar",S507&gt;2,"Cliente",S507&gt;0,"Cliente nuevo")</f>
        <v>Cliente nuevo</v>
      </c>
      <c r="W507" s="59" t="str">
        <f t="shared" si="56"/>
        <v>Ha pagado</v>
      </c>
      <c r="X507" s="3"/>
      <c r="Y507" s="3"/>
      <c r="Z507" s="3"/>
      <c r="AA507" s="3"/>
      <c r="AB507" s="3"/>
      <c r="AC507" s="3"/>
      <c r="AD507" s="3"/>
      <c r="AE507" s="3"/>
      <c r="AG507"/>
      <c r="AH507"/>
      <c r="AI507"/>
      <c r="AJ507"/>
      <c r="AK507"/>
      <c r="AL507"/>
      <c r="AM507"/>
      <c r="AN507"/>
    </row>
    <row r="508" spans="1:40" x14ac:dyDescent="0.25">
      <c r="A508" s="6">
        <v>44727</v>
      </c>
      <c r="B508" t="str">
        <f t="shared" si="50"/>
        <v>Junio</v>
      </c>
      <c r="C508" s="1" t="s">
        <v>97</v>
      </c>
      <c r="D508" s="58" t="str">
        <f>VLOOKUP(Datos!$C508,$AQ$2:$AR$41,2,0)</f>
        <v>Centro</v>
      </c>
      <c r="E508" s="1">
        <v>23589</v>
      </c>
      <c r="F508" s="1" t="str">
        <f t="array" ref="F508">_xlfn.IFS(H508=0,"Alta sin facturar",H508&gt;2,"Cliente",H508&gt;0,"Cliente nuevo")</f>
        <v>Cliente</v>
      </c>
      <c r="G508" s="1"/>
      <c r="H508" s="1">
        <f t="shared" si="54"/>
        <v>3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89">
        <v>4646.96</v>
      </c>
      <c r="O508" s="89">
        <v>3209.7200000000003</v>
      </c>
      <c r="P508" s="89">
        <v>3049.64</v>
      </c>
      <c r="Q508" s="54">
        <f t="shared" si="51"/>
        <v>10906.32</v>
      </c>
      <c r="R508" s="89">
        <v>0</v>
      </c>
      <c r="S508" s="92">
        <f t="shared" si="55"/>
        <v>3</v>
      </c>
      <c r="T508" s="59">
        <f t="shared" si="52"/>
        <v>10906.32</v>
      </c>
      <c r="U508" s="60">
        <f t="shared" si="53"/>
        <v>0</v>
      </c>
      <c r="V508" s="59" t="str">
        <f t="array" ref="V508">_xlfn.IFS(S508=0,"Alta sin facturar",S508&gt;2,"Cliente",S508&gt;0,"Cliente nuevo")</f>
        <v>Cliente</v>
      </c>
      <c r="W508" s="59" t="str">
        <f t="shared" si="56"/>
        <v>Ha pagado</v>
      </c>
      <c r="X508" s="3"/>
      <c r="Y508" s="3"/>
      <c r="Z508" s="3"/>
      <c r="AA508" s="3"/>
      <c r="AB508" s="3"/>
      <c r="AC508" s="3"/>
      <c r="AD508" s="3"/>
      <c r="AE508" s="3"/>
      <c r="AG508"/>
      <c r="AH508"/>
      <c r="AI508"/>
      <c r="AJ508"/>
      <c r="AK508"/>
      <c r="AL508"/>
      <c r="AM508"/>
      <c r="AN508"/>
    </row>
    <row r="509" spans="1:40" x14ac:dyDescent="0.25">
      <c r="A509" s="6">
        <v>44728</v>
      </c>
      <c r="B509" t="str">
        <f t="shared" si="50"/>
        <v>Junio</v>
      </c>
      <c r="C509" s="1" t="s">
        <v>75</v>
      </c>
      <c r="D509" s="58" t="str">
        <f>VLOOKUP(Datos!$C509,$AQ$2:$AR$41,2,0)</f>
        <v>Centro</v>
      </c>
      <c r="E509" s="1">
        <v>23590</v>
      </c>
      <c r="F509" s="1" t="str">
        <f t="array" ref="F509">_xlfn.IFS(H509=0,"Alta sin facturar",H509&gt;2,"Cliente",H509&gt;0,"Cliente nuevo")</f>
        <v>Alta sin facturar</v>
      </c>
      <c r="G509" s="1"/>
      <c r="H509" s="1">
        <f t="shared" si="54"/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89">
        <v>0</v>
      </c>
      <c r="O509" s="89">
        <v>0</v>
      </c>
      <c r="P509" s="89">
        <v>0</v>
      </c>
      <c r="Q509" s="54">
        <f t="shared" si="51"/>
        <v>0</v>
      </c>
      <c r="R509" s="89"/>
      <c r="S509" s="92">
        <f t="shared" si="55"/>
        <v>0</v>
      </c>
      <c r="T509" s="59">
        <f t="shared" si="52"/>
        <v>0</v>
      </c>
      <c r="U509" s="60">
        <f t="shared" si="53"/>
        <v>0</v>
      </c>
      <c r="V509" s="59" t="str">
        <f t="array" ref="V509">_xlfn.IFS(S509=0,"Alta sin facturar",S509&gt;2,"Cliente",S509&gt;0,"Cliente nuevo")</f>
        <v>Alta sin facturar</v>
      </c>
      <c r="W509" s="59" t="str">
        <f t="shared" si="56"/>
        <v>Sin pago</v>
      </c>
      <c r="X509" s="3"/>
      <c r="Y509" s="3"/>
      <c r="Z509" s="3"/>
      <c r="AA509" s="3"/>
      <c r="AB509" s="3"/>
      <c r="AC509" s="3"/>
      <c r="AD509" s="3"/>
      <c r="AE509" s="3"/>
      <c r="AG509"/>
      <c r="AH509"/>
      <c r="AI509"/>
      <c r="AJ509"/>
      <c r="AK509"/>
      <c r="AL509"/>
      <c r="AM509"/>
      <c r="AN509"/>
    </row>
    <row r="510" spans="1:40" x14ac:dyDescent="0.25">
      <c r="A510" s="6">
        <v>44728</v>
      </c>
      <c r="B510" t="str">
        <f t="shared" si="50"/>
        <v>Junio</v>
      </c>
      <c r="C510" s="1" t="s">
        <v>39</v>
      </c>
      <c r="D510" s="58" t="str">
        <f>VLOOKUP(Datos!$C510,$AQ$2:$AR$41,2,0)</f>
        <v>Sur</v>
      </c>
      <c r="E510" s="1">
        <v>23591</v>
      </c>
      <c r="F510" s="1" t="str">
        <f t="array" ref="F510">_xlfn.IFS(H510=0,"Alta sin facturar",H510&gt;2,"Cliente",H510&gt;0,"Cliente nuevo")</f>
        <v>Cliente</v>
      </c>
      <c r="G510" s="1"/>
      <c r="H510" s="1">
        <f t="shared" si="54"/>
        <v>3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89">
        <v>1017.32</v>
      </c>
      <c r="O510" s="89">
        <v>1837.4399999999998</v>
      </c>
      <c r="P510" s="89">
        <v>1621.68</v>
      </c>
      <c r="Q510" s="54">
        <f t="shared" si="51"/>
        <v>4476.4399999999996</v>
      </c>
      <c r="R510" s="89">
        <v>1139.1199999999999</v>
      </c>
      <c r="S510" s="92">
        <f t="shared" si="55"/>
        <v>3</v>
      </c>
      <c r="T510" s="59">
        <f t="shared" si="52"/>
        <v>3337.3199999999997</v>
      </c>
      <c r="U510" s="60">
        <f t="shared" si="53"/>
        <v>0.2544700699663125</v>
      </c>
      <c r="V510" s="59" t="str">
        <f t="array" ref="V510">_xlfn.IFS(S510=0,"Alta sin facturar",S510&gt;2,"Cliente",S510&gt;0,"Cliente nuevo")</f>
        <v>Cliente</v>
      </c>
      <c r="W510" s="59" t="str">
        <f t="shared" si="56"/>
        <v>Ha pagado</v>
      </c>
      <c r="X510" s="3"/>
      <c r="Y510" s="3"/>
      <c r="Z510" s="3"/>
      <c r="AA510" s="3"/>
      <c r="AB510" s="3"/>
      <c r="AC510" s="3"/>
      <c r="AD510" s="3"/>
      <c r="AE510" s="3"/>
      <c r="AG510"/>
      <c r="AH510"/>
      <c r="AI510"/>
      <c r="AJ510"/>
      <c r="AK510"/>
      <c r="AL510"/>
      <c r="AM510"/>
      <c r="AN510"/>
    </row>
    <row r="511" spans="1:40" x14ac:dyDescent="0.25">
      <c r="A511" s="6">
        <v>44728</v>
      </c>
      <c r="B511" t="str">
        <f t="shared" si="50"/>
        <v>Junio</v>
      </c>
      <c r="C511" s="1" t="s">
        <v>34</v>
      </c>
      <c r="D511" s="58" t="str">
        <f>VLOOKUP(Datos!$C511,$AQ$2:$AR$41,2,0)</f>
        <v>Norte</v>
      </c>
      <c r="E511" s="1">
        <v>23592</v>
      </c>
      <c r="F511" s="1" t="str">
        <f t="array" ref="F511">_xlfn.IFS(H511=0,"Alta sin facturar",H511&gt;2,"Cliente",H511&gt;0,"Cliente nuevo")</f>
        <v>Cliente</v>
      </c>
      <c r="G511" s="1"/>
      <c r="H511" s="1">
        <f t="shared" si="54"/>
        <v>3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89">
        <v>9419.2000000000007</v>
      </c>
      <c r="O511" s="89">
        <v>28820.199999999993</v>
      </c>
      <c r="P511" s="89">
        <v>16415.160000000003</v>
      </c>
      <c r="Q511" s="54">
        <f t="shared" si="51"/>
        <v>54654.559999999998</v>
      </c>
      <c r="R511" s="89">
        <v>33733.96</v>
      </c>
      <c r="S511" s="92">
        <f t="shared" si="55"/>
        <v>3</v>
      </c>
      <c r="T511" s="59">
        <f t="shared" si="52"/>
        <v>20920.599999999999</v>
      </c>
      <c r="U511" s="60">
        <f t="shared" si="53"/>
        <v>0.61722132608880209</v>
      </c>
      <c r="V511" s="59" t="str">
        <f t="array" ref="V511">_xlfn.IFS(S511=0,"Alta sin facturar",S511&gt;2,"Cliente",S511&gt;0,"Cliente nuevo")</f>
        <v>Cliente</v>
      </c>
      <c r="W511" s="59" t="str">
        <f t="shared" si="56"/>
        <v>Ha pagado</v>
      </c>
      <c r="X511" s="3"/>
      <c r="Y511" s="3"/>
      <c r="Z511" s="3"/>
      <c r="AA511" s="3"/>
      <c r="AB511" s="3"/>
      <c r="AC511" s="3"/>
      <c r="AD511" s="3"/>
      <c r="AE511" s="3"/>
      <c r="AG511"/>
      <c r="AH511"/>
      <c r="AI511"/>
      <c r="AJ511"/>
      <c r="AK511"/>
      <c r="AL511"/>
      <c r="AM511"/>
      <c r="AN511"/>
    </row>
    <row r="512" spans="1:40" x14ac:dyDescent="0.25">
      <c r="A512" s="6">
        <v>44728</v>
      </c>
      <c r="B512" t="str">
        <f t="shared" si="50"/>
        <v>Junio</v>
      </c>
      <c r="C512" s="1" t="s">
        <v>31</v>
      </c>
      <c r="D512" s="58" t="str">
        <f>VLOOKUP(Datos!$C512,$AQ$2:$AR$41,2,0)</f>
        <v>Centro</v>
      </c>
      <c r="E512" s="1">
        <v>23593</v>
      </c>
      <c r="F512" s="1" t="str">
        <f t="array" ref="F512">_xlfn.IFS(H512=0,"Alta sin facturar",H512&gt;2,"Cliente",H512&gt;0,"Cliente nuevo")</f>
        <v>Cliente nuevo</v>
      </c>
      <c r="G512" s="1"/>
      <c r="H512" s="1">
        <f t="shared" si="54"/>
        <v>1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89">
        <v>0</v>
      </c>
      <c r="O512" s="89">
        <v>18086.719999999979</v>
      </c>
      <c r="P512" s="89">
        <v>0</v>
      </c>
      <c r="Q512" s="54">
        <f t="shared" si="51"/>
        <v>18086.719999999979</v>
      </c>
      <c r="R512" s="89">
        <v>0</v>
      </c>
      <c r="S512" s="92">
        <f t="shared" si="55"/>
        <v>1</v>
      </c>
      <c r="T512" s="59">
        <f t="shared" si="52"/>
        <v>18086.719999999979</v>
      </c>
      <c r="U512" s="60">
        <f t="shared" si="53"/>
        <v>0</v>
      </c>
      <c r="V512" s="59" t="str">
        <f t="array" ref="V512">_xlfn.IFS(S512=0,"Alta sin facturar",S512&gt;2,"Cliente",S512&gt;0,"Cliente nuevo")</f>
        <v>Cliente nuevo</v>
      </c>
      <c r="W512" s="59" t="str">
        <f t="shared" si="56"/>
        <v>Ha pagado</v>
      </c>
      <c r="X512" s="3"/>
      <c r="Y512" s="3"/>
      <c r="Z512" s="3"/>
      <c r="AA512" s="3"/>
      <c r="AB512" s="3"/>
      <c r="AC512" s="3"/>
      <c r="AD512" s="3"/>
      <c r="AE512" s="3"/>
      <c r="AG512"/>
      <c r="AH512"/>
      <c r="AI512"/>
      <c r="AJ512"/>
      <c r="AK512"/>
      <c r="AL512"/>
      <c r="AM512"/>
      <c r="AN512"/>
    </row>
    <row r="513" spans="1:40" x14ac:dyDescent="0.25">
      <c r="A513" s="6">
        <v>44728</v>
      </c>
      <c r="B513" t="str">
        <f t="shared" si="50"/>
        <v>Junio</v>
      </c>
      <c r="C513" s="1" t="s">
        <v>31</v>
      </c>
      <c r="D513" s="58" t="str">
        <f>VLOOKUP(Datos!$C513,$AQ$2:$AR$41,2,0)</f>
        <v>Centro</v>
      </c>
      <c r="E513" s="1">
        <v>23594</v>
      </c>
      <c r="F513" s="1" t="str">
        <f t="array" ref="F513">_xlfn.IFS(H513=0,"Alta sin facturar",H513&gt;2,"Cliente",H513&gt;0,"Cliente nuevo")</f>
        <v>Cliente</v>
      </c>
      <c r="G513" s="1"/>
      <c r="H513" s="1">
        <f t="shared" si="54"/>
        <v>3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89">
        <v>812</v>
      </c>
      <c r="O513" s="89">
        <v>1508</v>
      </c>
      <c r="P513" s="89">
        <v>580</v>
      </c>
      <c r="Q513" s="54">
        <f t="shared" si="51"/>
        <v>2900</v>
      </c>
      <c r="R513" s="89">
        <v>5974</v>
      </c>
      <c r="S513" s="92">
        <f t="shared" si="55"/>
        <v>3</v>
      </c>
      <c r="T513" s="59">
        <f t="shared" si="52"/>
        <v>-3074</v>
      </c>
      <c r="U513" s="60">
        <f t="shared" si="53"/>
        <v>2.06</v>
      </c>
      <c r="V513" s="59" t="str">
        <f t="array" ref="V513">_xlfn.IFS(S513=0,"Alta sin facturar",S513&gt;2,"Cliente",S513&gt;0,"Cliente nuevo")</f>
        <v>Cliente</v>
      </c>
      <c r="W513" s="59" t="str">
        <f t="shared" si="56"/>
        <v>Sin pago</v>
      </c>
      <c r="X513" s="3"/>
      <c r="Y513" s="3"/>
      <c r="Z513" s="3"/>
      <c r="AA513" s="3"/>
      <c r="AB513" s="3"/>
      <c r="AC513" s="3"/>
      <c r="AD513" s="3"/>
      <c r="AE513" s="3"/>
      <c r="AG513"/>
      <c r="AH513"/>
      <c r="AI513"/>
      <c r="AJ513"/>
      <c r="AK513"/>
      <c r="AL513"/>
      <c r="AM513"/>
      <c r="AN513"/>
    </row>
    <row r="514" spans="1:40" x14ac:dyDescent="0.25">
      <c r="A514" s="6">
        <v>44729</v>
      </c>
      <c r="B514" t="str">
        <f t="shared" ref="B514:B577" si="57">PROPER(TEXT(A514,"mmmm"))</f>
        <v>Junio</v>
      </c>
      <c r="C514" s="1" t="s">
        <v>97</v>
      </c>
      <c r="D514" s="58" t="str">
        <f>VLOOKUP(Datos!$C514,$AQ$2:$AR$41,2,0)</f>
        <v>Centro</v>
      </c>
      <c r="E514" s="1">
        <v>23595</v>
      </c>
      <c r="F514" s="1" t="str">
        <f t="array" ref="F514">_xlfn.IFS(H514=0,"Alta sin facturar",H514&gt;2,"Cliente",H514&gt;0,"Cliente nuevo")</f>
        <v>Cliente nuevo</v>
      </c>
      <c r="G514" s="1"/>
      <c r="H514" s="1">
        <f t="shared" si="54"/>
        <v>2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89">
        <v>0</v>
      </c>
      <c r="O514" s="89">
        <v>3154.04</v>
      </c>
      <c r="P514" s="89">
        <v>2235.3199999999997</v>
      </c>
      <c r="Q514" s="54">
        <f t="shared" ref="Q514:Q577" si="58">SUBTOTAL(109,I514:P514)</f>
        <v>5389.36</v>
      </c>
      <c r="R514" s="89">
        <v>1448.84</v>
      </c>
      <c r="S514" s="92">
        <f t="shared" si="55"/>
        <v>2</v>
      </c>
      <c r="T514" s="59">
        <f t="shared" ref="T514:T577" si="59">Q514-R514</f>
        <v>3940.5199999999995</v>
      </c>
      <c r="U514" s="60">
        <f t="shared" ref="U514:U577" si="60">IF(Q514=0,0,R514/Q514)</f>
        <v>0.26883340507963838</v>
      </c>
      <c r="V514" s="59" t="str">
        <f t="array" ref="V514">_xlfn.IFS(S514=0,"Alta sin facturar",S514&gt;2,"Cliente",S514&gt;0,"Cliente nuevo")</f>
        <v>Cliente nuevo</v>
      </c>
      <c r="W514" s="59" t="str">
        <f t="shared" si="56"/>
        <v>Ha pagado</v>
      </c>
      <c r="X514" s="3"/>
      <c r="Y514" s="3"/>
      <c r="Z514" s="3"/>
      <c r="AA514" s="3"/>
      <c r="AB514" s="3"/>
      <c r="AC514" s="3"/>
      <c r="AD514" s="3"/>
      <c r="AE514" s="3"/>
      <c r="AG514"/>
      <c r="AH514"/>
      <c r="AI514"/>
      <c r="AJ514"/>
      <c r="AK514"/>
      <c r="AL514"/>
      <c r="AM514"/>
      <c r="AN514"/>
    </row>
    <row r="515" spans="1:40" x14ac:dyDescent="0.25">
      <c r="A515" s="6">
        <v>44729</v>
      </c>
      <c r="B515" t="str">
        <f t="shared" si="57"/>
        <v>Junio</v>
      </c>
      <c r="C515" s="1" t="s">
        <v>39</v>
      </c>
      <c r="D515" s="58" t="str">
        <f>VLOOKUP(Datos!$C515,$AQ$2:$AR$41,2,0)</f>
        <v>Sur</v>
      </c>
      <c r="E515" s="1">
        <v>23596</v>
      </c>
      <c r="F515" s="1" t="str">
        <f t="array" ref="F515">_xlfn.IFS(H515=0,"Alta sin facturar",H515&gt;2,"Cliente",H515&gt;0,"Cliente nuevo")</f>
        <v>Alta sin facturar</v>
      </c>
      <c r="G515" s="1"/>
      <c r="H515" s="1">
        <f t="shared" ref="H515:H578" si="61">COUNTIF(I515:P515,"&gt;0")</f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89">
        <v>0</v>
      </c>
      <c r="O515" s="89">
        <v>0</v>
      </c>
      <c r="P515" s="89">
        <v>0</v>
      </c>
      <c r="Q515" s="54">
        <f t="shared" si="58"/>
        <v>0</v>
      </c>
      <c r="R515" s="89"/>
      <c r="S515" s="92">
        <f t="shared" ref="S515:S578" si="62">COUNTIF(I515:P515,"&gt;0")</f>
        <v>0</v>
      </c>
      <c r="T515" s="59">
        <f t="shared" si="59"/>
        <v>0</v>
      </c>
      <c r="U515" s="60">
        <f t="shared" si="60"/>
        <v>0</v>
      </c>
      <c r="V515" s="59" t="str">
        <f t="array" ref="V515">_xlfn.IFS(S515=0,"Alta sin facturar",S515&gt;2,"Cliente",S515&gt;0,"Cliente nuevo")</f>
        <v>Alta sin facturar</v>
      </c>
      <c r="W515" s="59" t="str">
        <f t="shared" ref="W515:W578" si="63">IF(T515&lt;1,"Sin pago","Ha pagado")</f>
        <v>Sin pago</v>
      </c>
      <c r="X515" s="3"/>
      <c r="Y515" s="3"/>
      <c r="Z515" s="3"/>
      <c r="AA515" s="3"/>
      <c r="AB515" s="3"/>
      <c r="AC515" s="3"/>
      <c r="AD515" s="3"/>
      <c r="AE515" s="3"/>
      <c r="AG515"/>
      <c r="AH515"/>
      <c r="AI515"/>
      <c r="AJ515"/>
      <c r="AK515"/>
      <c r="AL515"/>
      <c r="AM515"/>
      <c r="AN515"/>
    </row>
    <row r="516" spans="1:40" x14ac:dyDescent="0.25">
      <c r="A516" s="6">
        <v>44730</v>
      </c>
      <c r="B516" t="str">
        <f t="shared" si="57"/>
        <v>Junio</v>
      </c>
      <c r="C516" s="1" t="s">
        <v>67</v>
      </c>
      <c r="D516" s="58" t="str">
        <f>VLOOKUP(Datos!$C516,$AQ$2:$AR$41,2,0)</f>
        <v>Norte</v>
      </c>
      <c r="E516" s="1">
        <v>23597</v>
      </c>
      <c r="F516" s="1" t="str">
        <f t="array" ref="F516">_xlfn.IFS(H516=0,"Alta sin facturar",H516&gt;2,"Cliente",H516&gt;0,"Cliente nuevo")</f>
        <v>Cliente nuevo</v>
      </c>
      <c r="G516" s="1"/>
      <c r="H516" s="1">
        <f t="shared" si="61"/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89">
        <v>0</v>
      </c>
      <c r="O516" s="89">
        <v>13527.920000000033</v>
      </c>
      <c r="P516" s="89">
        <v>0</v>
      </c>
      <c r="Q516" s="54">
        <f t="shared" si="58"/>
        <v>13527.920000000033</v>
      </c>
      <c r="R516" s="89">
        <v>0</v>
      </c>
      <c r="S516" s="92">
        <f t="shared" si="62"/>
        <v>1</v>
      </c>
      <c r="T516" s="59">
        <f t="shared" si="59"/>
        <v>13527.920000000033</v>
      </c>
      <c r="U516" s="60">
        <f t="shared" si="60"/>
        <v>0</v>
      </c>
      <c r="V516" s="59" t="str">
        <f t="array" ref="V516">_xlfn.IFS(S516=0,"Alta sin facturar",S516&gt;2,"Cliente",S516&gt;0,"Cliente nuevo")</f>
        <v>Cliente nuevo</v>
      </c>
      <c r="W516" s="59" t="str">
        <f t="shared" si="63"/>
        <v>Ha pagado</v>
      </c>
      <c r="X516" s="3"/>
      <c r="Y516" s="3"/>
      <c r="Z516" s="3"/>
      <c r="AA516" s="3"/>
      <c r="AB516" s="3"/>
      <c r="AC516" s="3"/>
      <c r="AD516" s="3"/>
      <c r="AE516" s="3"/>
      <c r="AG516"/>
      <c r="AH516"/>
      <c r="AI516"/>
      <c r="AJ516"/>
      <c r="AK516"/>
      <c r="AL516"/>
      <c r="AM516"/>
      <c r="AN516"/>
    </row>
    <row r="517" spans="1:40" x14ac:dyDescent="0.25">
      <c r="A517" s="6">
        <v>44730</v>
      </c>
      <c r="B517" t="str">
        <f t="shared" si="57"/>
        <v>Junio</v>
      </c>
      <c r="C517" s="1" t="s">
        <v>97</v>
      </c>
      <c r="D517" s="58" t="str">
        <f>VLOOKUP(Datos!$C517,$AQ$2:$AR$41,2,0)</f>
        <v>Centro</v>
      </c>
      <c r="E517" s="1">
        <v>23598</v>
      </c>
      <c r="F517" s="1" t="str">
        <f t="array" ref="F517">_xlfn.IFS(H517=0,"Alta sin facturar",H517&gt;2,"Cliente",H517&gt;0,"Cliente nuevo")</f>
        <v>Alta sin facturar</v>
      </c>
      <c r="G517" s="1"/>
      <c r="H517" s="1">
        <f t="shared" si="61"/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89">
        <v>0</v>
      </c>
      <c r="O517" s="89">
        <v>0</v>
      </c>
      <c r="P517" s="89">
        <v>0</v>
      </c>
      <c r="Q517" s="54">
        <f t="shared" si="58"/>
        <v>0</v>
      </c>
      <c r="R517" s="89"/>
      <c r="S517" s="92">
        <f t="shared" si="62"/>
        <v>0</v>
      </c>
      <c r="T517" s="59">
        <f t="shared" si="59"/>
        <v>0</v>
      </c>
      <c r="U517" s="60">
        <f t="shared" si="60"/>
        <v>0</v>
      </c>
      <c r="V517" s="59" t="str">
        <f t="array" ref="V517">_xlfn.IFS(S517=0,"Alta sin facturar",S517&gt;2,"Cliente",S517&gt;0,"Cliente nuevo")</f>
        <v>Alta sin facturar</v>
      </c>
      <c r="W517" s="59" t="str">
        <f t="shared" si="63"/>
        <v>Sin pago</v>
      </c>
      <c r="X517" s="3"/>
      <c r="Y517" s="3"/>
      <c r="Z517" s="3"/>
      <c r="AA517" s="3"/>
      <c r="AB517" s="3"/>
      <c r="AC517" s="3"/>
      <c r="AD517" s="3"/>
      <c r="AE517" s="3"/>
      <c r="AG517"/>
      <c r="AH517"/>
      <c r="AI517"/>
      <c r="AJ517"/>
      <c r="AK517"/>
      <c r="AL517"/>
      <c r="AM517"/>
      <c r="AN517"/>
    </row>
    <row r="518" spans="1:40" x14ac:dyDescent="0.25">
      <c r="A518" s="6">
        <v>44730</v>
      </c>
      <c r="B518" t="str">
        <f t="shared" si="57"/>
        <v>Junio</v>
      </c>
      <c r="C518" s="1" t="s">
        <v>97</v>
      </c>
      <c r="D518" s="58" t="str">
        <f>VLOOKUP(Datos!$C518,$AQ$2:$AR$41,2,0)</f>
        <v>Centro</v>
      </c>
      <c r="E518" s="1">
        <v>23599</v>
      </c>
      <c r="F518" s="1" t="str">
        <f t="array" ref="F518">_xlfn.IFS(H518=0,"Alta sin facturar",H518&gt;2,"Cliente",H518&gt;0,"Cliente nuevo")</f>
        <v>Alta sin facturar</v>
      </c>
      <c r="G518" s="1"/>
      <c r="H518" s="1">
        <f t="shared" si="61"/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89">
        <v>0</v>
      </c>
      <c r="O518" s="89">
        <v>0</v>
      </c>
      <c r="P518" s="89">
        <v>0</v>
      </c>
      <c r="Q518" s="54">
        <f t="shared" si="58"/>
        <v>0</v>
      </c>
      <c r="R518" s="89"/>
      <c r="S518" s="92">
        <f t="shared" si="62"/>
        <v>0</v>
      </c>
      <c r="T518" s="59">
        <f t="shared" si="59"/>
        <v>0</v>
      </c>
      <c r="U518" s="60">
        <f t="shared" si="60"/>
        <v>0</v>
      </c>
      <c r="V518" s="59" t="str">
        <f t="array" ref="V518">_xlfn.IFS(S518=0,"Alta sin facturar",S518&gt;2,"Cliente",S518&gt;0,"Cliente nuevo")</f>
        <v>Alta sin facturar</v>
      </c>
      <c r="W518" s="59" t="str">
        <f t="shared" si="63"/>
        <v>Sin pago</v>
      </c>
      <c r="X518" s="3"/>
      <c r="Y518" s="3"/>
      <c r="Z518" s="3"/>
      <c r="AA518" s="3"/>
      <c r="AB518" s="3"/>
      <c r="AC518" s="3"/>
      <c r="AD518" s="3"/>
      <c r="AE518" s="3"/>
      <c r="AG518"/>
      <c r="AH518"/>
      <c r="AI518"/>
      <c r="AJ518"/>
      <c r="AK518"/>
      <c r="AL518"/>
      <c r="AM518"/>
      <c r="AN518"/>
    </row>
    <row r="519" spans="1:40" x14ac:dyDescent="0.25">
      <c r="A519" s="6">
        <v>44730</v>
      </c>
      <c r="B519" t="str">
        <f t="shared" si="57"/>
        <v>Junio</v>
      </c>
      <c r="C519" s="1" t="s">
        <v>97</v>
      </c>
      <c r="D519" s="58" t="str">
        <f>VLOOKUP(Datos!$C519,$AQ$2:$AR$41,2,0)</f>
        <v>Centro</v>
      </c>
      <c r="E519" s="1">
        <v>23600</v>
      </c>
      <c r="F519" s="1" t="str">
        <f t="array" ref="F519">_xlfn.IFS(H519=0,"Alta sin facturar",H519&gt;2,"Cliente",H519&gt;0,"Cliente nuevo")</f>
        <v>Cliente nuevo</v>
      </c>
      <c r="G519" s="1"/>
      <c r="H519" s="1">
        <f t="shared" si="61"/>
        <v>1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89">
        <v>0</v>
      </c>
      <c r="O519" s="89">
        <v>0</v>
      </c>
      <c r="P519" s="89">
        <v>243.6</v>
      </c>
      <c r="Q519" s="54">
        <f t="shared" si="58"/>
        <v>243.6</v>
      </c>
      <c r="R519" s="89"/>
      <c r="S519" s="92">
        <f t="shared" si="62"/>
        <v>1</v>
      </c>
      <c r="T519" s="59">
        <f t="shared" si="59"/>
        <v>243.6</v>
      </c>
      <c r="U519" s="60">
        <f t="shared" si="60"/>
        <v>0</v>
      </c>
      <c r="V519" s="59" t="str">
        <f t="array" ref="V519">_xlfn.IFS(S519=0,"Alta sin facturar",S519&gt;2,"Cliente",S519&gt;0,"Cliente nuevo")</f>
        <v>Cliente nuevo</v>
      </c>
      <c r="W519" s="59" t="str">
        <f t="shared" si="63"/>
        <v>Ha pagado</v>
      </c>
      <c r="X519" s="3"/>
      <c r="Y519" s="3"/>
      <c r="Z519" s="3"/>
      <c r="AA519" s="3"/>
      <c r="AB519" s="3"/>
      <c r="AC519" s="3"/>
      <c r="AD519" s="3"/>
      <c r="AE519" s="3"/>
      <c r="AG519"/>
      <c r="AH519"/>
      <c r="AI519"/>
      <c r="AJ519"/>
      <c r="AK519"/>
      <c r="AL519"/>
      <c r="AM519"/>
      <c r="AN519"/>
    </row>
    <row r="520" spans="1:40" x14ac:dyDescent="0.25">
      <c r="A520" s="6">
        <v>44730</v>
      </c>
      <c r="B520" t="str">
        <f t="shared" si="57"/>
        <v>Junio</v>
      </c>
      <c r="C520" s="1" t="s">
        <v>97</v>
      </c>
      <c r="D520" s="58" t="str">
        <f>VLOOKUP(Datos!$C520,$AQ$2:$AR$41,2,0)</f>
        <v>Centro</v>
      </c>
      <c r="E520" s="1">
        <v>23601</v>
      </c>
      <c r="F520" s="1" t="str">
        <f t="array" ref="F520">_xlfn.IFS(H520=0,"Alta sin facturar",H520&gt;2,"Cliente",H520&gt;0,"Cliente nuevo")</f>
        <v>Alta sin facturar</v>
      </c>
      <c r="G520" s="1"/>
      <c r="H520" s="1">
        <f t="shared" si="61"/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89">
        <v>0</v>
      </c>
      <c r="O520" s="89">
        <v>0</v>
      </c>
      <c r="P520" s="89">
        <v>0</v>
      </c>
      <c r="Q520" s="54">
        <f t="shared" si="58"/>
        <v>0</v>
      </c>
      <c r="R520" s="89"/>
      <c r="S520" s="92">
        <f t="shared" si="62"/>
        <v>0</v>
      </c>
      <c r="T520" s="59">
        <f t="shared" si="59"/>
        <v>0</v>
      </c>
      <c r="U520" s="60">
        <f t="shared" si="60"/>
        <v>0</v>
      </c>
      <c r="V520" s="59" t="str">
        <f t="array" ref="V520">_xlfn.IFS(S520=0,"Alta sin facturar",S520&gt;2,"Cliente",S520&gt;0,"Cliente nuevo")</f>
        <v>Alta sin facturar</v>
      </c>
      <c r="W520" s="59" t="str">
        <f t="shared" si="63"/>
        <v>Sin pago</v>
      </c>
      <c r="X520" s="3"/>
      <c r="Y520" s="3"/>
      <c r="Z520" s="3"/>
      <c r="AA520" s="3"/>
      <c r="AB520" s="3"/>
      <c r="AC520" s="3"/>
      <c r="AD520" s="3"/>
      <c r="AE520" s="3"/>
      <c r="AG520"/>
      <c r="AH520"/>
      <c r="AI520"/>
      <c r="AJ520"/>
      <c r="AK520"/>
      <c r="AL520"/>
      <c r="AM520"/>
      <c r="AN520"/>
    </row>
    <row r="521" spans="1:40" x14ac:dyDescent="0.25">
      <c r="A521" s="6">
        <v>44730</v>
      </c>
      <c r="B521" t="str">
        <f t="shared" si="57"/>
        <v>Junio</v>
      </c>
      <c r="C521" s="1" t="s">
        <v>39</v>
      </c>
      <c r="D521" s="58" t="str">
        <f>VLOOKUP(Datos!$C521,$AQ$2:$AR$41,2,0)</f>
        <v>Sur</v>
      </c>
      <c r="E521" s="1">
        <v>23602</v>
      </c>
      <c r="F521" s="1" t="str">
        <f t="array" ref="F521">_xlfn.IFS(H521=0,"Alta sin facturar",H521&gt;2,"Cliente",H521&gt;0,"Cliente nuevo")</f>
        <v>Cliente nuevo</v>
      </c>
      <c r="G521" s="1"/>
      <c r="H521" s="1">
        <f t="shared" si="61"/>
        <v>2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89">
        <v>0</v>
      </c>
      <c r="O521" s="89">
        <v>261</v>
      </c>
      <c r="P521" s="89">
        <v>1178.56</v>
      </c>
      <c r="Q521" s="54">
        <f t="shared" si="58"/>
        <v>1439.56</v>
      </c>
      <c r="R521" s="89">
        <v>0</v>
      </c>
      <c r="S521" s="92">
        <f t="shared" si="62"/>
        <v>2</v>
      </c>
      <c r="T521" s="59">
        <f t="shared" si="59"/>
        <v>1439.56</v>
      </c>
      <c r="U521" s="60">
        <f t="shared" si="60"/>
        <v>0</v>
      </c>
      <c r="V521" s="59" t="str">
        <f t="array" ref="V521">_xlfn.IFS(S521=0,"Alta sin facturar",S521&gt;2,"Cliente",S521&gt;0,"Cliente nuevo")</f>
        <v>Cliente nuevo</v>
      </c>
      <c r="W521" s="59" t="str">
        <f t="shared" si="63"/>
        <v>Ha pagado</v>
      </c>
      <c r="X521" s="3"/>
      <c r="Y521" s="3"/>
      <c r="Z521" s="3"/>
      <c r="AA521" s="3"/>
      <c r="AB521" s="3"/>
      <c r="AC521" s="3"/>
      <c r="AD521" s="3"/>
      <c r="AE521" s="3"/>
      <c r="AG521"/>
      <c r="AH521"/>
      <c r="AI521"/>
      <c r="AJ521"/>
      <c r="AK521"/>
      <c r="AL521"/>
      <c r="AM521"/>
      <c r="AN521"/>
    </row>
    <row r="522" spans="1:40" x14ac:dyDescent="0.25">
      <c r="A522" s="6">
        <v>44732</v>
      </c>
      <c r="B522" t="str">
        <f t="shared" si="57"/>
        <v>Junio</v>
      </c>
      <c r="C522" s="1" t="s">
        <v>38</v>
      </c>
      <c r="D522" s="58" t="str">
        <f>VLOOKUP(Datos!$C522,$AQ$2:$AR$41,2,0)</f>
        <v>Centro</v>
      </c>
      <c r="E522" s="1">
        <v>23603</v>
      </c>
      <c r="F522" s="1" t="str">
        <f t="array" ref="F522">_xlfn.IFS(H522=0,"Alta sin facturar",H522&gt;2,"Cliente",H522&gt;0,"Cliente nuevo")</f>
        <v>Cliente</v>
      </c>
      <c r="G522" s="1"/>
      <c r="H522" s="1">
        <f t="shared" si="61"/>
        <v>3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89">
        <v>324.8</v>
      </c>
      <c r="O522" s="89">
        <v>1842.0800000000011</v>
      </c>
      <c r="P522" s="89">
        <v>1188.9999999999995</v>
      </c>
      <c r="Q522" s="54">
        <f t="shared" si="58"/>
        <v>3355.8800000000006</v>
      </c>
      <c r="R522" s="89">
        <v>649.59999999999991</v>
      </c>
      <c r="S522" s="92">
        <f t="shared" si="62"/>
        <v>3</v>
      </c>
      <c r="T522" s="59">
        <f t="shared" si="59"/>
        <v>2706.2800000000007</v>
      </c>
      <c r="U522" s="60">
        <f t="shared" si="60"/>
        <v>0.19357068786726575</v>
      </c>
      <c r="V522" s="59" t="str">
        <f t="array" ref="V522">_xlfn.IFS(S522=0,"Alta sin facturar",S522&gt;2,"Cliente",S522&gt;0,"Cliente nuevo")</f>
        <v>Cliente</v>
      </c>
      <c r="W522" s="59" t="str">
        <f t="shared" si="63"/>
        <v>Ha pagado</v>
      </c>
      <c r="X522" s="3"/>
      <c r="Y522" s="3"/>
      <c r="Z522" s="3"/>
      <c r="AA522" s="3"/>
      <c r="AB522" s="3"/>
      <c r="AC522" s="3"/>
      <c r="AD522" s="3"/>
      <c r="AE522" s="3"/>
      <c r="AG522"/>
      <c r="AH522"/>
      <c r="AI522"/>
      <c r="AJ522"/>
      <c r="AK522"/>
      <c r="AL522"/>
      <c r="AM522"/>
      <c r="AN522"/>
    </row>
    <row r="523" spans="1:40" x14ac:dyDescent="0.25">
      <c r="A523" s="6">
        <v>44732</v>
      </c>
      <c r="B523" t="str">
        <f t="shared" si="57"/>
        <v>Junio</v>
      </c>
      <c r="C523" s="1" t="s">
        <v>66</v>
      </c>
      <c r="D523" s="58" t="str">
        <f>VLOOKUP(Datos!$C523,$AQ$2:$AR$41,2,0)</f>
        <v>Sur</v>
      </c>
      <c r="E523" s="1">
        <v>23604</v>
      </c>
      <c r="F523" s="1" t="str">
        <f t="array" ref="F523">_xlfn.IFS(H523=0,"Alta sin facturar",H523&gt;2,"Cliente",H523&gt;0,"Cliente nuevo")</f>
        <v>Cliente nuevo</v>
      </c>
      <c r="G523" s="1"/>
      <c r="H523" s="1">
        <f t="shared" si="61"/>
        <v>2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89">
        <v>363.08</v>
      </c>
      <c r="O523" s="89">
        <v>0</v>
      </c>
      <c r="P523" s="89">
        <v>13754.119999999981</v>
      </c>
      <c r="Q523" s="54">
        <f t="shared" si="58"/>
        <v>14117.199999999981</v>
      </c>
      <c r="R523" s="89">
        <v>3438.24</v>
      </c>
      <c r="S523" s="92">
        <f t="shared" si="62"/>
        <v>2</v>
      </c>
      <c r="T523" s="59">
        <f t="shared" si="59"/>
        <v>10678.959999999981</v>
      </c>
      <c r="U523" s="60">
        <f t="shared" si="60"/>
        <v>0.24354971240755988</v>
      </c>
      <c r="V523" s="59" t="str">
        <f t="array" ref="V523">_xlfn.IFS(S523=0,"Alta sin facturar",S523&gt;2,"Cliente",S523&gt;0,"Cliente nuevo")</f>
        <v>Cliente nuevo</v>
      </c>
      <c r="W523" s="59" t="str">
        <f t="shared" si="63"/>
        <v>Ha pagado</v>
      </c>
      <c r="X523" s="3"/>
      <c r="Y523" s="3"/>
      <c r="Z523" s="3"/>
      <c r="AA523" s="3"/>
      <c r="AB523" s="3"/>
      <c r="AC523" s="3"/>
      <c r="AD523" s="3"/>
      <c r="AE523" s="3"/>
      <c r="AG523"/>
      <c r="AH523"/>
      <c r="AI523"/>
      <c r="AJ523"/>
      <c r="AK523"/>
      <c r="AL523"/>
      <c r="AM523"/>
      <c r="AN523"/>
    </row>
    <row r="524" spans="1:40" x14ac:dyDescent="0.25">
      <c r="A524" s="6">
        <v>44732</v>
      </c>
      <c r="B524" t="str">
        <f t="shared" si="57"/>
        <v>Junio</v>
      </c>
      <c r="C524" s="1" t="s">
        <v>97</v>
      </c>
      <c r="D524" s="58" t="str">
        <f>VLOOKUP(Datos!$C524,$AQ$2:$AR$41,2,0)</f>
        <v>Centro</v>
      </c>
      <c r="E524" s="1">
        <v>23605</v>
      </c>
      <c r="F524" s="1" t="str">
        <f t="array" ref="F524">_xlfn.IFS(H524=0,"Alta sin facturar",H524&gt;2,"Cliente",H524&gt;0,"Cliente nuevo")</f>
        <v>Cliente</v>
      </c>
      <c r="G524" s="1"/>
      <c r="H524" s="1">
        <f t="shared" si="61"/>
        <v>3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89">
        <v>635.67999999999995</v>
      </c>
      <c r="O524" s="89">
        <v>5094.7199999999957</v>
      </c>
      <c r="P524" s="89">
        <v>3556.5599999999977</v>
      </c>
      <c r="Q524" s="54">
        <f t="shared" si="58"/>
        <v>9286.9599999999937</v>
      </c>
      <c r="R524" s="89">
        <v>1930.24</v>
      </c>
      <c r="S524" s="92">
        <f t="shared" si="62"/>
        <v>3</v>
      </c>
      <c r="T524" s="59">
        <f t="shared" si="59"/>
        <v>7356.7199999999939</v>
      </c>
      <c r="U524" s="60">
        <f t="shared" si="60"/>
        <v>0.20784411691231591</v>
      </c>
      <c r="V524" s="59" t="str">
        <f t="array" ref="V524">_xlfn.IFS(S524=0,"Alta sin facturar",S524&gt;2,"Cliente",S524&gt;0,"Cliente nuevo")</f>
        <v>Cliente</v>
      </c>
      <c r="W524" s="59" t="str">
        <f t="shared" si="63"/>
        <v>Ha pagado</v>
      </c>
      <c r="X524" s="3"/>
      <c r="Y524" s="3"/>
      <c r="Z524" s="3"/>
      <c r="AA524" s="3"/>
      <c r="AB524" s="3"/>
      <c r="AC524" s="3"/>
      <c r="AD524" s="3"/>
      <c r="AE524" s="3"/>
      <c r="AG524"/>
      <c r="AH524"/>
      <c r="AI524"/>
      <c r="AJ524"/>
      <c r="AK524"/>
      <c r="AL524"/>
      <c r="AM524"/>
      <c r="AN524"/>
    </row>
    <row r="525" spans="1:40" x14ac:dyDescent="0.25">
      <c r="A525" s="6">
        <v>44732</v>
      </c>
      <c r="B525" t="str">
        <f t="shared" si="57"/>
        <v>Junio</v>
      </c>
      <c r="C525" s="1" t="s">
        <v>97</v>
      </c>
      <c r="D525" s="58" t="str">
        <f>VLOOKUP(Datos!$C525,$AQ$2:$AR$41,2,0)</f>
        <v>Centro</v>
      </c>
      <c r="E525" s="1">
        <v>23606</v>
      </c>
      <c r="F525" s="1" t="str">
        <f t="array" ref="F525">_xlfn.IFS(H525=0,"Alta sin facturar",H525&gt;2,"Cliente",H525&gt;0,"Cliente nuevo")</f>
        <v>Alta sin facturar</v>
      </c>
      <c r="G525" s="1"/>
      <c r="H525" s="1">
        <f t="shared" si="61"/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89">
        <v>0</v>
      </c>
      <c r="O525" s="89">
        <v>0</v>
      </c>
      <c r="P525" s="89">
        <v>0</v>
      </c>
      <c r="Q525" s="54">
        <f t="shared" si="58"/>
        <v>0</v>
      </c>
      <c r="R525" s="89"/>
      <c r="S525" s="92">
        <f t="shared" si="62"/>
        <v>0</v>
      </c>
      <c r="T525" s="59">
        <f t="shared" si="59"/>
        <v>0</v>
      </c>
      <c r="U525" s="60">
        <f t="shared" si="60"/>
        <v>0</v>
      </c>
      <c r="V525" s="59" t="str">
        <f t="array" ref="V525">_xlfn.IFS(S525=0,"Alta sin facturar",S525&gt;2,"Cliente",S525&gt;0,"Cliente nuevo")</f>
        <v>Alta sin facturar</v>
      </c>
      <c r="W525" s="59" t="str">
        <f t="shared" si="63"/>
        <v>Sin pago</v>
      </c>
      <c r="X525" s="3"/>
      <c r="Y525" s="3"/>
      <c r="Z525" s="3"/>
      <c r="AA525" s="3"/>
      <c r="AB525" s="3"/>
      <c r="AC525" s="3"/>
      <c r="AD525" s="3"/>
      <c r="AE525" s="3"/>
      <c r="AG525"/>
      <c r="AH525"/>
      <c r="AI525"/>
      <c r="AJ525"/>
      <c r="AK525"/>
      <c r="AL525"/>
      <c r="AM525"/>
      <c r="AN525"/>
    </row>
    <row r="526" spans="1:40" x14ac:dyDescent="0.25">
      <c r="A526" s="6">
        <v>44732</v>
      </c>
      <c r="B526" t="str">
        <f t="shared" si="57"/>
        <v>Junio</v>
      </c>
      <c r="C526" s="1" t="s">
        <v>89</v>
      </c>
      <c r="D526" s="58" t="str">
        <f>VLOOKUP(Datos!$C526,$AQ$2:$AR$41,2,0)</f>
        <v>Centro</v>
      </c>
      <c r="E526" s="1">
        <v>23607</v>
      </c>
      <c r="F526" s="1" t="str">
        <f t="array" ref="F526">_xlfn.IFS(H526=0,"Alta sin facturar",H526&gt;2,"Cliente",H526&gt;0,"Cliente nuevo")</f>
        <v>Cliente</v>
      </c>
      <c r="G526" s="1"/>
      <c r="H526" s="1">
        <f t="shared" si="61"/>
        <v>3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89">
        <v>1567.16</v>
      </c>
      <c r="O526" s="89">
        <v>11362.200000000006</v>
      </c>
      <c r="P526" s="89">
        <v>10305.44000000001</v>
      </c>
      <c r="Q526" s="54">
        <f t="shared" si="58"/>
        <v>23234.800000000017</v>
      </c>
      <c r="R526" s="89">
        <v>0</v>
      </c>
      <c r="S526" s="92">
        <f t="shared" si="62"/>
        <v>3</v>
      </c>
      <c r="T526" s="59">
        <f t="shared" si="59"/>
        <v>23234.800000000017</v>
      </c>
      <c r="U526" s="60">
        <f t="shared" si="60"/>
        <v>0</v>
      </c>
      <c r="V526" s="59" t="str">
        <f t="array" ref="V526">_xlfn.IFS(S526=0,"Alta sin facturar",S526&gt;2,"Cliente",S526&gt;0,"Cliente nuevo")</f>
        <v>Cliente</v>
      </c>
      <c r="W526" s="59" t="str">
        <f t="shared" si="63"/>
        <v>Ha pagado</v>
      </c>
      <c r="X526" s="3"/>
      <c r="Y526" s="3"/>
      <c r="Z526" s="3"/>
      <c r="AA526" s="3"/>
      <c r="AB526" s="3"/>
      <c r="AC526" s="3"/>
      <c r="AD526" s="3"/>
      <c r="AE526" s="3"/>
      <c r="AG526"/>
      <c r="AH526"/>
      <c r="AI526"/>
      <c r="AJ526"/>
      <c r="AK526"/>
      <c r="AL526"/>
      <c r="AM526"/>
      <c r="AN526"/>
    </row>
    <row r="527" spans="1:40" x14ac:dyDescent="0.25">
      <c r="A527" s="6">
        <v>44733</v>
      </c>
      <c r="B527" t="str">
        <f t="shared" si="57"/>
        <v>Junio</v>
      </c>
      <c r="C527" s="1" t="s">
        <v>97</v>
      </c>
      <c r="D527" s="58" t="str">
        <f>VLOOKUP(Datos!$C527,$AQ$2:$AR$41,2,0)</f>
        <v>Centro</v>
      </c>
      <c r="E527" s="1">
        <v>23608</v>
      </c>
      <c r="F527" s="1" t="str">
        <f t="array" ref="F527">_xlfn.IFS(H527=0,"Alta sin facturar",H527&gt;2,"Cliente",H527&gt;0,"Cliente nuevo")</f>
        <v>Cliente nuevo</v>
      </c>
      <c r="G527" s="1"/>
      <c r="H527" s="1">
        <f t="shared" si="61"/>
        <v>1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89">
        <v>0</v>
      </c>
      <c r="O527" s="89">
        <v>0</v>
      </c>
      <c r="P527" s="89">
        <v>270.27999999999997</v>
      </c>
      <c r="Q527" s="54">
        <f t="shared" si="58"/>
        <v>270.27999999999997</v>
      </c>
      <c r="R527" s="89"/>
      <c r="S527" s="92">
        <f t="shared" si="62"/>
        <v>1</v>
      </c>
      <c r="T527" s="59">
        <f t="shared" si="59"/>
        <v>270.27999999999997</v>
      </c>
      <c r="U527" s="60">
        <f t="shared" si="60"/>
        <v>0</v>
      </c>
      <c r="V527" s="59" t="str">
        <f t="array" ref="V527">_xlfn.IFS(S527=0,"Alta sin facturar",S527&gt;2,"Cliente",S527&gt;0,"Cliente nuevo")</f>
        <v>Cliente nuevo</v>
      </c>
      <c r="W527" s="59" t="str">
        <f t="shared" si="63"/>
        <v>Ha pagado</v>
      </c>
      <c r="X527" s="3"/>
      <c r="Y527" s="3"/>
      <c r="Z527" s="3"/>
      <c r="AA527" s="3"/>
      <c r="AB527" s="3"/>
      <c r="AC527" s="3"/>
      <c r="AD527" s="3"/>
      <c r="AE527" s="3"/>
      <c r="AG527"/>
      <c r="AH527"/>
      <c r="AI527"/>
      <c r="AJ527"/>
      <c r="AK527"/>
      <c r="AL527"/>
      <c r="AM527"/>
      <c r="AN527"/>
    </row>
    <row r="528" spans="1:40" x14ac:dyDescent="0.25">
      <c r="A528" s="6">
        <v>44733</v>
      </c>
      <c r="B528" t="str">
        <f t="shared" si="57"/>
        <v>Junio</v>
      </c>
      <c r="C528" s="1" t="s">
        <v>97</v>
      </c>
      <c r="D528" s="58" t="str">
        <f>VLOOKUP(Datos!$C528,$AQ$2:$AR$41,2,0)</f>
        <v>Centro</v>
      </c>
      <c r="E528" s="1">
        <v>23609</v>
      </c>
      <c r="F528" s="1" t="str">
        <f t="array" ref="F528">_xlfn.IFS(H528=0,"Alta sin facturar",H528&gt;2,"Cliente",H528&gt;0,"Cliente nuevo")</f>
        <v>Alta sin facturar</v>
      </c>
      <c r="G528" s="1"/>
      <c r="H528" s="1">
        <f t="shared" si="61"/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89">
        <v>0</v>
      </c>
      <c r="O528" s="89">
        <v>0</v>
      </c>
      <c r="P528" s="89">
        <v>0</v>
      </c>
      <c r="Q528" s="54">
        <f t="shared" si="58"/>
        <v>0</v>
      </c>
      <c r="R528" s="89"/>
      <c r="S528" s="92">
        <f t="shared" si="62"/>
        <v>0</v>
      </c>
      <c r="T528" s="59">
        <f t="shared" si="59"/>
        <v>0</v>
      </c>
      <c r="U528" s="60">
        <f t="shared" si="60"/>
        <v>0</v>
      </c>
      <c r="V528" s="59" t="str">
        <f t="array" ref="V528">_xlfn.IFS(S528=0,"Alta sin facturar",S528&gt;2,"Cliente",S528&gt;0,"Cliente nuevo")</f>
        <v>Alta sin facturar</v>
      </c>
      <c r="W528" s="59" t="str">
        <f t="shared" si="63"/>
        <v>Sin pago</v>
      </c>
      <c r="X528" s="3"/>
      <c r="Y528" s="3"/>
      <c r="Z528" s="3"/>
      <c r="AA528" s="3"/>
      <c r="AB528" s="3"/>
      <c r="AC528" s="3"/>
      <c r="AD528" s="3"/>
      <c r="AE528" s="3"/>
      <c r="AG528"/>
      <c r="AH528"/>
      <c r="AI528"/>
      <c r="AJ528"/>
      <c r="AK528"/>
      <c r="AL528"/>
      <c r="AM528"/>
      <c r="AN528"/>
    </row>
    <row r="529" spans="1:40" x14ac:dyDescent="0.25">
      <c r="A529" s="6">
        <v>44733</v>
      </c>
      <c r="B529" t="str">
        <f t="shared" si="57"/>
        <v>Junio</v>
      </c>
      <c r="C529" s="1" t="s">
        <v>62</v>
      </c>
      <c r="D529" s="58" t="str">
        <f>VLOOKUP(Datos!$C529,$AQ$2:$AR$41,2,0)</f>
        <v>Norte</v>
      </c>
      <c r="E529" s="1">
        <v>23610</v>
      </c>
      <c r="F529" s="1" t="str">
        <f t="array" ref="F529">_xlfn.IFS(H529=0,"Alta sin facturar",H529&gt;2,"Cliente",H529&gt;0,"Cliente nuevo")</f>
        <v>Cliente nuevo</v>
      </c>
      <c r="G529" s="1"/>
      <c r="H529" s="1">
        <f t="shared" si="61"/>
        <v>1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89">
        <v>0</v>
      </c>
      <c r="O529" s="89">
        <v>0</v>
      </c>
      <c r="P529" s="89">
        <v>5104</v>
      </c>
      <c r="Q529" s="54">
        <f t="shared" si="58"/>
        <v>5104</v>
      </c>
      <c r="R529" s="89">
        <v>5974</v>
      </c>
      <c r="S529" s="92">
        <f t="shared" si="62"/>
        <v>1</v>
      </c>
      <c r="T529" s="59">
        <f t="shared" si="59"/>
        <v>-870</v>
      </c>
      <c r="U529" s="60">
        <f t="shared" si="60"/>
        <v>1.1704545454545454</v>
      </c>
      <c r="V529" s="59" t="str">
        <f t="array" ref="V529">_xlfn.IFS(S529=0,"Alta sin facturar",S529&gt;2,"Cliente",S529&gt;0,"Cliente nuevo")</f>
        <v>Cliente nuevo</v>
      </c>
      <c r="W529" s="59" t="str">
        <f t="shared" si="63"/>
        <v>Sin pago</v>
      </c>
      <c r="X529" s="3"/>
      <c r="Y529" s="3"/>
      <c r="Z529" s="3"/>
      <c r="AA529" s="3"/>
      <c r="AB529" s="3"/>
      <c r="AC529" s="3"/>
      <c r="AD529" s="3"/>
      <c r="AE529" s="3"/>
      <c r="AG529"/>
      <c r="AH529"/>
      <c r="AI529"/>
      <c r="AJ529"/>
      <c r="AK529"/>
      <c r="AL529"/>
      <c r="AM529"/>
      <c r="AN529"/>
    </row>
    <row r="530" spans="1:40" x14ac:dyDescent="0.25">
      <c r="A530" s="6">
        <v>44734</v>
      </c>
      <c r="B530" t="str">
        <f t="shared" si="57"/>
        <v>Junio</v>
      </c>
      <c r="C530" s="1" t="s">
        <v>33</v>
      </c>
      <c r="D530" s="58" t="str">
        <f>VLOOKUP(Datos!$C530,$AQ$2:$AR$41,2,0)</f>
        <v>Magallanes</v>
      </c>
      <c r="E530" s="1">
        <v>23611</v>
      </c>
      <c r="F530" s="1" t="str">
        <f t="array" ref="F530">_xlfn.IFS(H530=0,"Alta sin facturar",H530&gt;2,"Cliente",H530&gt;0,"Cliente nuevo")</f>
        <v>Cliente nuevo</v>
      </c>
      <c r="G530" s="1"/>
      <c r="H530" s="1">
        <f t="shared" si="61"/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89">
        <v>0</v>
      </c>
      <c r="O530" s="89">
        <v>0</v>
      </c>
      <c r="P530" s="89">
        <v>11133.680000000008</v>
      </c>
      <c r="Q530" s="54">
        <f t="shared" si="58"/>
        <v>11133.680000000008</v>
      </c>
      <c r="R530" s="89">
        <v>1491.76</v>
      </c>
      <c r="S530" s="92">
        <f t="shared" si="62"/>
        <v>1</v>
      </c>
      <c r="T530" s="59">
        <f t="shared" si="59"/>
        <v>9641.9200000000073</v>
      </c>
      <c r="U530" s="60">
        <f t="shared" si="60"/>
        <v>0.13398624713481966</v>
      </c>
      <c r="V530" s="59" t="str">
        <f t="array" ref="V530">_xlfn.IFS(S530=0,"Alta sin facturar",S530&gt;2,"Cliente",S530&gt;0,"Cliente nuevo")</f>
        <v>Cliente nuevo</v>
      </c>
      <c r="W530" s="59" t="str">
        <f t="shared" si="63"/>
        <v>Ha pagado</v>
      </c>
      <c r="X530" s="3"/>
      <c r="Y530" s="3"/>
      <c r="Z530" s="3"/>
      <c r="AA530" s="3"/>
      <c r="AB530" s="3"/>
      <c r="AC530" s="3"/>
      <c r="AD530" s="3"/>
      <c r="AE530" s="3"/>
      <c r="AG530"/>
      <c r="AH530"/>
      <c r="AI530"/>
      <c r="AJ530"/>
      <c r="AK530"/>
      <c r="AL530"/>
      <c r="AM530"/>
      <c r="AN530"/>
    </row>
    <row r="531" spans="1:40" x14ac:dyDescent="0.25">
      <c r="A531" s="6">
        <v>44734</v>
      </c>
      <c r="B531" t="str">
        <f t="shared" si="57"/>
        <v>Junio</v>
      </c>
      <c r="C531" s="1" t="s">
        <v>40</v>
      </c>
      <c r="D531" s="58" t="str">
        <f>VLOOKUP(Datos!$C531,$AQ$2:$AR$41,2,0)</f>
        <v>Centro</v>
      </c>
      <c r="E531" s="1">
        <v>23612</v>
      </c>
      <c r="F531" s="1" t="str">
        <f t="array" ref="F531">_xlfn.IFS(H531=0,"Alta sin facturar",H531&gt;2,"Cliente",H531&gt;0,"Cliente nuevo")</f>
        <v>Cliente</v>
      </c>
      <c r="G531" s="1"/>
      <c r="H531" s="1">
        <f t="shared" si="61"/>
        <v>3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89">
        <v>17216.72</v>
      </c>
      <c r="O531" s="89">
        <v>12634.72</v>
      </c>
      <c r="P531" s="89">
        <v>15126.399999999996</v>
      </c>
      <c r="Q531" s="54">
        <f t="shared" si="58"/>
        <v>44977.84</v>
      </c>
      <c r="R531" s="89">
        <v>0</v>
      </c>
      <c r="S531" s="92">
        <f t="shared" si="62"/>
        <v>3</v>
      </c>
      <c r="T531" s="59">
        <f t="shared" si="59"/>
        <v>44977.84</v>
      </c>
      <c r="U531" s="60">
        <f t="shared" si="60"/>
        <v>0</v>
      </c>
      <c r="V531" s="59" t="str">
        <f t="array" ref="V531">_xlfn.IFS(S531=0,"Alta sin facturar",S531&gt;2,"Cliente",S531&gt;0,"Cliente nuevo")</f>
        <v>Cliente</v>
      </c>
      <c r="W531" s="59" t="str">
        <f t="shared" si="63"/>
        <v>Ha pagado</v>
      </c>
      <c r="X531" s="3"/>
      <c r="Y531" s="3"/>
      <c r="Z531" s="3"/>
      <c r="AA531" s="3"/>
      <c r="AB531" s="3"/>
      <c r="AC531" s="3"/>
      <c r="AD531" s="3"/>
      <c r="AE531" s="3"/>
      <c r="AG531"/>
      <c r="AH531"/>
      <c r="AI531"/>
      <c r="AJ531"/>
      <c r="AK531"/>
      <c r="AL531"/>
      <c r="AM531"/>
      <c r="AN531"/>
    </row>
    <row r="532" spans="1:40" x14ac:dyDescent="0.25">
      <c r="A532" s="6">
        <v>44734</v>
      </c>
      <c r="B532" t="str">
        <f t="shared" si="57"/>
        <v>Junio</v>
      </c>
      <c r="C532" s="1" t="s">
        <v>34</v>
      </c>
      <c r="D532" s="58" t="str">
        <f>VLOOKUP(Datos!$C532,$AQ$2:$AR$41,2,0)</f>
        <v>Norte</v>
      </c>
      <c r="E532" s="1">
        <v>23613</v>
      </c>
      <c r="F532" s="1" t="str">
        <f t="array" ref="F532">_xlfn.IFS(H532=0,"Alta sin facturar",H532&gt;2,"Cliente",H532&gt;0,"Cliente nuevo")</f>
        <v>Alta sin facturar</v>
      </c>
      <c r="G532" s="1"/>
      <c r="H532" s="1">
        <f t="shared" si="61"/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89">
        <v>0</v>
      </c>
      <c r="O532" s="89">
        <v>0</v>
      </c>
      <c r="P532" s="89">
        <v>0</v>
      </c>
      <c r="Q532" s="54">
        <f t="shared" si="58"/>
        <v>0</v>
      </c>
      <c r="R532" s="89"/>
      <c r="S532" s="92">
        <f t="shared" si="62"/>
        <v>0</v>
      </c>
      <c r="T532" s="59">
        <f t="shared" si="59"/>
        <v>0</v>
      </c>
      <c r="U532" s="60">
        <f t="shared" si="60"/>
        <v>0</v>
      </c>
      <c r="V532" s="59" t="str">
        <f t="array" ref="V532">_xlfn.IFS(S532=0,"Alta sin facturar",S532&gt;2,"Cliente",S532&gt;0,"Cliente nuevo")</f>
        <v>Alta sin facturar</v>
      </c>
      <c r="W532" s="59" t="str">
        <f t="shared" si="63"/>
        <v>Sin pago</v>
      </c>
      <c r="X532" s="3"/>
      <c r="Y532" s="3"/>
      <c r="Z532" s="3"/>
      <c r="AA532" s="3"/>
      <c r="AB532" s="3"/>
      <c r="AC532" s="3"/>
      <c r="AD532" s="3"/>
      <c r="AE532" s="3"/>
      <c r="AG532"/>
      <c r="AH532"/>
      <c r="AI532"/>
      <c r="AJ532"/>
      <c r="AK532"/>
      <c r="AL532"/>
      <c r="AM532"/>
      <c r="AN532"/>
    </row>
    <row r="533" spans="1:40" x14ac:dyDescent="0.25">
      <c r="A533" s="6">
        <v>44734</v>
      </c>
      <c r="B533" t="str">
        <f t="shared" si="57"/>
        <v>Junio</v>
      </c>
      <c r="C533" s="1" t="s">
        <v>33</v>
      </c>
      <c r="D533" s="58" t="str">
        <f>VLOOKUP(Datos!$C533,$AQ$2:$AR$41,2,0)</f>
        <v>Magallanes</v>
      </c>
      <c r="E533" s="66">
        <v>23614</v>
      </c>
      <c r="F533" s="1" t="str">
        <f t="array" ref="F533">_xlfn.IFS(H533=0,"Alta sin facturar",H533&gt;2,"Cliente",H533&gt;0,"Cliente nuevo")</f>
        <v>Alta sin facturar</v>
      </c>
      <c r="G533" s="66"/>
      <c r="H533" s="1">
        <f t="shared" si="61"/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89">
        <v>0</v>
      </c>
      <c r="O533" s="89">
        <v>0</v>
      </c>
      <c r="P533" s="89">
        <v>0</v>
      </c>
      <c r="Q533" s="54">
        <f t="shared" si="58"/>
        <v>0</v>
      </c>
      <c r="R533" s="89">
        <v>0</v>
      </c>
      <c r="S533" s="92">
        <f t="shared" si="62"/>
        <v>0</v>
      </c>
      <c r="T533" s="59">
        <f t="shared" si="59"/>
        <v>0</v>
      </c>
      <c r="U533" s="60">
        <f t="shared" si="60"/>
        <v>0</v>
      </c>
      <c r="V533" s="59" t="str">
        <f t="array" ref="V533">_xlfn.IFS(S533=0,"Alta sin facturar",S533&gt;2,"Cliente",S533&gt;0,"Cliente nuevo")</f>
        <v>Alta sin facturar</v>
      </c>
      <c r="W533" s="59" t="str">
        <f t="shared" si="63"/>
        <v>Sin pago</v>
      </c>
      <c r="X533" s="3"/>
      <c r="Y533" s="3"/>
      <c r="Z533" s="3"/>
      <c r="AA533" s="3"/>
      <c r="AB533" s="3"/>
      <c r="AC533" s="3"/>
      <c r="AD533" s="3"/>
      <c r="AE533" s="3"/>
      <c r="AG533"/>
      <c r="AH533"/>
      <c r="AI533"/>
      <c r="AJ533"/>
      <c r="AK533"/>
      <c r="AL533"/>
      <c r="AM533"/>
      <c r="AN533"/>
    </row>
    <row r="534" spans="1:40" x14ac:dyDescent="0.25">
      <c r="A534" s="6">
        <v>44734</v>
      </c>
      <c r="B534" t="str">
        <f t="shared" si="57"/>
        <v>Junio</v>
      </c>
      <c r="C534" s="1" t="s">
        <v>62</v>
      </c>
      <c r="D534" s="58" t="str">
        <f>VLOOKUP(Datos!$C534,$AQ$2:$AR$41,2,0)</f>
        <v>Norte</v>
      </c>
      <c r="E534" s="1">
        <v>23615</v>
      </c>
      <c r="F534" s="1" t="str">
        <f t="array" ref="F534">_xlfn.IFS(H534=0,"Alta sin facturar",H534&gt;2,"Cliente",H534&gt;0,"Cliente nuevo")</f>
        <v>Alta sin facturar</v>
      </c>
      <c r="G534" s="1"/>
      <c r="H534" s="1">
        <f t="shared" si="61"/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89">
        <v>0</v>
      </c>
      <c r="O534" s="89">
        <v>0</v>
      </c>
      <c r="P534" s="89">
        <v>0</v>
      </c>
      <c r="Q534" s="54">
        <f t="shared" si="58"/>
        <v>0</v>
      </c>
      <c r="R534" s="89"/>
      <c r="S534" s="92">
        <f t="shared" si="62"/>
        <v>0</v>
      </c>
      <c r="T534" s="59">
        <f t="shared" si="59"/>
        <v>0</v>
      </c>
      <c r="U534" s="60">
        <f t="shared" si="60"/>
        <v>0</v>
      </c>
      <c r="V534" s="59" t="str">
        <f t="array" ref="V534">_xlfn.IFS(S534=0,"Alta sin facturar",S534&gt;2,"Cliente",S534&gt;0,"Cliente nuevo")</f>
        <v>Alta sin facturar</v>
      </c>
      <c r="W534" s="59" t="str">
        <f t="shared" si="63"/>
        <v>Sin pago</v>
      </c>
      <c r="X534" s="3"/>
      <c r="Y534" s="3"/>
      <c r="Z534" s="3"/>
      <c r="AA534" s="3"/>
      <c r="AB534" s="3"/>
      <c r="AC534" s="3"/>
      <c r="AD534" s="3"/>
      <c r="AE534" s="3"/>
      <c r="AG534"/>
      <c r="AH534"/>
      <c r="AI534"/>
      <c r="AJ534"/>
      <c r="AK534"/>
      <c r="AL534"/>
      <c r="AM534"/>
      <c r="AN534"/>
    </row>
    <row r="535" spans="1:40" x14ac:dyDescent="0.25">
      <c r="A535" s="6">
        <v>44734</v>
      </c>
      <c r="B535" t="str">
        <f t="shared" si="57"/>
        <v>Junio</v>
      </c>
      <c r="C535" s="1" t="s">
        <v>34</v>
      </c>
      <c r="D535" s="58" t="str">
        <f>VLOOKUP(Datos!$C535,$AQ$2:$AR$41,2,0)</f>
        <v>Norte</v>
      </c>
      <c r="E535" s="1">
        <v>23616</v>
      </c>
      <c r="F535" s="1" t="str">
        <f t="array" ref="F535">_xlfn.IFS(H535=0,"Alta sin facturar",H535&gt;2,"Cliente",H535&gt;0,"Cliente nuevo")</f>
        <v>Cliente nuevo</v>
      </c>
      <c r="G535" s="1"/>
      <c r="H535" s="1">
        <f t="shared" si="61"/>
        <v>2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89">
        <v>0</v>
      </c>
      <c r="O535" s="89">
        <v>3377.9199999999996</v>
      </c>
      <c r="P535" s="89">
        <v>574.19999999999993</v>
      </c>
      <c r="Q535" s="54">
        <f t="shared" si="58"/>
        <v>3952.1199999999994</v>
      </c>
      <c r="R535" s="89">
        <v>0</v>
      </c>
      <c r="S535" s="92">
        <f t="shared" si="62"/>
        <v>2</v>
      </c>
      <c r="T535" s="59">
        <f t="shared" si="59"/>
        <v>3952.1199999999994</v>
      </c>
      <c r="U535" s="60">
        <f t="shared" si="60"/>
        <v>0</v>
      </c>
      <c r="V535" s="59" t="str">
        <f t="array" ref="V535">_xlfn.IFS(S535=0,"Alta sin facturar",S535&gt;2,"Cliente",S535&gt;0,"Cliente nuevo")</f>
        <v>Cliente nuevo</v>
      </c>
      <c r="W535" s="59" t="str">
        <f t="shared" si="63"/>
        <v>Ha pagado</v>
      </c>
      <c r="X535" s="3"/>
      <c r="Y535" s="3"/>
      <c r="Z535" s="3"/>
      <c r="AA535" s="3"/>
      <c r="AB535" s="3"/>
      <c r="AC535" s="3"/>
      <c r="AD535" s="3"/>
      <c r="AE535" s="3"/>
      <c r="AG535"/>
      <c r="AH535"/>
      <c r="AI535"/>
      <c r="AJ535"/>
      <c r="AK535"/>
      <c r="AL535"/>
      <c r="AM535"/>
      <c r="AN535"/>
    </row>
    <row r="536" spans="1:40" x14ac:dyDescent="0.25">
      <c r="A536" s="6">
        <v>44735</v>
      </c>
      <c r="B536" t="str">
        <f t="shared" si="57"/>
        <v>Junio</v>
      </c>
      <c r="C536" s="1" t="s">
        <v>40</v>
      </c>
      <c r="D536" s="58" t="str">
        <f>VLOOKUP(Datos!$C536,$AQ$2:$AR$41,2,0)</f>
        <v>Centro</v>
      </c>
      <c r="E536" s="1">
        <v>23617</v>
      </c>
      <c r="F536" s="1" t="str">
        <f t="array" ref="F536">_xlfn.IFS(H536=0,"Alta sin facturar",H536&gt;2,"Cliente",H536&gt;0,"Cliente nuevo")</f>
        <v>Alta sin facturar</v>
      </c>
      <c r="G536" s="1"/>
      <c r="H536" s="1">
        <f t="shared" si="61"/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89">
        <v>0</v>
      </c>
      <c r="O536" s="89">
        <v>0</v>
      </c>
      <c r="P536" s="89">
        <v>0</v>
      </c>
      <c r="Q536" s="54">
        <f t="shared" si="58"/>
        <v>0</v>
      </c>
      <c r="R536" s="89"/>
      <c r="S536" s="92">
        <f t="shared" si="62"/>
        <v>0</v>
      </c>
      <c r="T536" s="59">
        <f t="shared" si="59"/>
        <v>0</v>
      </c>
      <c r="U536" s="60">
        <f t="shared" si="60"/>
        <v>0</v>
      </c>
      <c r="V536" s="59" t="str">
        <f t="array" ref="V536">_xlfn.IFS(S536=0,"Alta sin facturar",S536&gt;2,"Cliente",S536&gt;0,"Cliente nuevo")</f>
        <v>Alta sin facturar</v>
      </c>
      <c r="W536" s="59" t="str">
        <f t="shared" si="63"/>
        <v>Sin pago</v>
      </c>
      <c r="X536" s="3"/>
      <c r="Y536" s="3"/>
      <c r="Z536" s="3"/>
      <c r="AA536" s="3"/>
      <c r="AB536" s="3"/>
      <c r="AC536" s="3"/>
      <c r="AD536" s="3"/>
      <c r="AE536" s="3"/>
      <c r="AF536" s="51"/>
      <c r="AG536"/>
      <c r="AH536"/>
      <c r="AI536"/>
      <c r="AJ536"/>
      <c r="AK536"/>
      <c r="AL536"/>
      <c r="AM536"/>
      <c r="AN536"/>
    </row>
    <row r="537" spans="1:40" x14ac:dyDescent="0.25">
      <c r="A537" s="6">
        <v>44735</v>
      </c>
      <c r="B537" t="str">
        <f t="shared" si="57"/>
        <v>Junio</v>
      </c>
      <c r="C537" s="1" t="s">
        <v>65</v>
      </c>
      <c r="D537" s="58" t="str">
        <f>VLOOKUP(Datos!$C537,$AQ$2:$AR$41,2,0)</f>
        <v>Centro</v>
      </c>
      <c r="E537" s="1">
        <v>23618</v>
      </c>
      <c r="F537" s="1" t="str">
        <f t="array" ref="F537">_xlfn.IFS(H537=0,"Alta sin facturar",H537&gt;2,"Cliente",H537&gt;0,"Cliente nuevo")</f>
        <v>Cliente nuevo</v>
      </c>
      <c r="G537" s="1"/>
      <c r="H537" s="1">
        <f t="shared" si="61"/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89">
        <v>0</v>
      </c>
      <c r="O537" s="89">
        <v>433.84</v>
      </c>
      <c r="P537" s="89">
        <v>0</v>
      </c>
      <c r="Q537" s="54">
        <f t="shared" si="58"/>
        <v>433.84</v>
      </c>
      <c r="R537" s="89">
        <v>0</v>
      </c>
      <c r="S537" s="92">
        <f t="shared" si="62"/>
        <v>1</v>
      </c>
      <c r="T537" s="59">
        <f t="shared" si="59"/>
        <v>433.84</v>
      </c>
      <c r="U537" s="60">
        <f t="shared" si="60"/>
        <v>0</v>
      </c>
      <c r="V537" s="59" t="str">
        <f t="array" ref="V537">_xlfn.IFS(S537=0,"Alta sin facturar",S537&gt;2,"Cliente",S537&gt;0,"Cliente nuevo")</f>
        <v>Cliente nuevo</v>
      </c>
      <c r="W537" s="59" t="str">
        <f t="shared" si="63"/>
        <v>Ha pagado</v>
      </c>
      <c r="X537" s="3"/>
      <c r="Y537" s="3"/>
      <c r="Z537" s="3"/>
      <c r="AA537" s="3"/>
      <c r="AB537" s="3"/>
      <c r="AC537" s="3"/>
      <c r="AD537" s="3"/>
      <c r="AE537" s="3"/>
      <c r="AF537"/>
      <c r="AG537"/>
      <c r="AH537"/>
      <c r="AI537"/>
      <c r="AJ537"/>
      <c r="AK537"/>
      <c r="AL537"/>
      <c r="AM537"/>
      <c r="AN537"/>
    </row>
    <row r="538" spans="1:40" x14ac:dyDescent="0.25">
      <c r="A538" s="6">
        <v>44735</v>
      </c>
      <c r="B538" t="str">
        <f t="shared" si="57"/>
        <v>Junio</v>
      </c>
      <c r="C538" s="1" t="s">
        <v>38</v>
      </c>
      <c r="D538" s="58" t="str">
        <f>VLOOKUP(Datos!$C538,$AQ$2:$AR$41,2,0)</f>
        <v>Centro</v>
      </c>
      <c r="E538" s="1">
        <v>23619</v>
      </c>
      <c r="F538" s="1" t="str">
        <f t="array" ref="F538">_xlfn.IFS(H538=0,"Alta sin facturar",H538&gt;2,"Cliente",H538&gt;0,"Cliente nuevo")</f>
        <v>Cliente nuevo</v>
      </c>
      <c r="G538" s="1"/>
      <c r="H538" s="1">
        <f t="shared" si="61"/>
        <v>1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89">
        <v>0</v>
      </c>
      <c r="O538" s="89">
        <v>414.12</v>
      </c>
      <c r="P538" s="89">
        <v>0</v>
      </c>
      <c r="Q538" s="54">
        <f t="shared" si="58"/>
        <v>414.12</v>
      </c>
      <c r="R538" s="89">
        <v>276.08</v>
      </c>
      <c r="S538" s="92">
        <f t="shared" si="62"/>
        <v>1</v>
      </c>
      <c r="T538" s="59">
        <f t="shared" si="59"/>
        <v>138.04000000000002</v>
      </c>
      <c r="U538" s="60">
        <f t="shared" si="60"/>
        <v>0.66666666666666663</v>
      </c>
      <c r="V538" s="59" t="str">
        <f t="array" ref="V538">_xlfn.IFS(S538=0,"Alta sin facturar",S538&gt;2,"Cliente",S538&gt;0,"Cliente nuevo")</f>
        <v>Cliente nuevo</v>
      </c>
      <c r="W538" s="59" t="str">
        <f t="shared" si="63"/>
        <v>Ha pagado</v>
      </c>
      <c r="X538" s="3"/>
      <c r="Y538" s="3"/>
      <c r="Z538" s="3"/>
      <c r="AA538" s="3"/>
      <c r="AB538" s="3"/>
      <c r="AC538" s="3"/>
      <c r="AD538" s="3"/>
      <c r="AE538" s="3"/>
      <c r="AF538"/>
      <c r="AG538"/>
      <c r="AH538"/>
      <c r="AI538"/>
      <c r="AJ538"/>
      <c r="AK538"/>
      <c r="AL538"/>
      <c r="AM538"/>
      <c r="AN538"/>
    </row>
    <row r="539" spans="1:40" x14ac:dyDescent="0.25">
      <c r="A539" s="6">
        <v>44735</v>
      </c>
      <c r="B539" t="str">
        <f t="shared" si="57"/>
        <v>Junio</v>
      </c>
      <c r="C539" s="1" t="s">
        <v>59</v>
      </c>
      <c r="D539" s="58" t="str">
        <f>VLOOKUP(Datos!$C539,$AQ$2:$AR$41,2,0)</f>
        <v>Magallanes</v>
      </c>
      <c r="E539" s="1">
        <v>23620</v>
      </c>
      <c r="F539" s="1" t="str">
        <f t="array" ref="F539">_xlfn.IFS(H539=0,"Alta sin facturar",H539&gt;2,"Cliente",H539&gt;0,"Cliente nuevo")</f>
        <v>Cliente nuevo</v>
      </c>
      <c r="G539" s="1"/>
      <c r="H539" s="1">
        <f t="shared" si="61"/>
        <v>2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89">
        <v>0</v>
      </c>
      <c r="O539" s="89">
        <v>3422</v>
      </c>
      <c r="P539" s="89">
        <v>2531.12</v>
      </c>
      <c r="Q539" s="54">
        <f t="shared" si="58"/>
        <v>5953.12</v>
      </c>
      <c r="R539" s="89">
        <v>3422</v>
      </c>
      <c r="S539" s="92">
        <f t="shared" si="62"/>
        <v>2</v>
      </c>
      <c r="T539" s="59">
        <f t="shared" si="59"/>
        <v>2531.12</v>
      </c>
      <c r="U539" s="60">
        <f t="shared" si="60"/>
        <v>0.57482462977396731</v>
      </c>
      <c r="V539" s="59" t="str">
        <f t="array" ref="V539">_xlfn.IFS(S539=0,"Alta sin facturar",S539&gt;2,"Cliente",S539&gt;0,"Cliente nuevo")</f>
        <v>Cliente nuevo</v>
      </c>
      <c r="W539" s="59" t="str">
        <f t="shared" si="63"/>
        <v>Ha pagado</v>
      </c>
      <c r="X539" s="3"/>
      <c r="Y539" s="3"/>
      <c r="Z539" s="3"/>
      <c r="AA539" s="3"/>
      <c r="AB539" s="3"/>
      <c r="AC539" s="3"/>
      <c r="AD539" s="3"/>
      <c r="AE539" s="3"/>
      <c r="AF539"/>
      <c r="AG539"/>
      <c r="AH539"/>
      <c r="AI539"/>
      <c r="AJ539"/>
      <c r="AK539"/>
      <c r="AL539"/>
      <c r="AM539"/>
      <c r="AN539"/>
    </row>
    <row r="540" spans="1:40" x14ac:dyDescent="0.25">
      <c r="A540" s="6">
        <v>44735</v>
      </c>
      <c r="B540" t="str">
        <f t="shared" si="57"/>
        <v>Junio</v>
      </c>
      <c r="C540" s="1" t="s">
        <v>38</v>
      </c>
      <c r="D540" s="58" t="str">
        <f>VLOOKUP(Datos!$C540,$AQ$2:$AR$41,2,0)</f>
        <v>Centro</v>
      </c>
      <c r="E540" s="1">
        <v>23621</v>
      </c>
      <c r="F540" s="1" t="str">
        <f t="array" ref="F540">_xlfn.IFS(H540=0,"Alta sin facturar",H540&gt;2,"Cliente",H540&gt;0,"Cliente nuevo")</f>
        <v>Cliente nuevo</v>
      </c>
      <c r="G540" s="1"/>
      <c r="H540" s="1">
        <f t="shared" si="61"/>
        <v>2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89">
        <v>0</v>
      </c>
      <c r="O540" s="89">
        <v>1177.3999999999999</v>
      </c>
      <c r="P540" s="89">
        <v>625.2399999999999</v>
      </c>
      <c r="Q540" s="54">
        <f t="shared" si="58"/>
        <v>1802.6399999999999</v>
      </c>
      <c r="R540" s="89">
        <v>887.40000000000009</v>
      </c>
      <c r="S540" s="92">
        <f t="shared" si="62"/>
        <v>2</v>
      </c>
      <c r="T540" s="59">
        <f t="shared" si="59"/>
        <v>915.23999999999978</v>
      </c>
      <c r="U540" s="60">
        <f t="shared" si="60"/>
        <v>0.49227799227799235</v>
      </c>
      <c r="V540" s="59" t="str">
        <f t="array" ref="V540">_xlfn.IFS(S540=0,"Alta sin facturar",S540&gt;2,"Cliente",S540&gt;0,"Cliente nuevo")</f>
        <v>Cliente nuevo</v>
      </c>
      <c r="W540" s="59" t="str">
        <f t="shared" si="63"/>
        <v>Ha pagado</v>
      </c>
      <c r="X540" s="3"/>
      <c r="Y540" s="3"/>
      <c r="Z540" s="3"/>
      <c r="AA540" s="3"/>
      <c r="AB540" s="3"/>
      <c r="AC540" s="3"/>
      <c r="AD540" s="3"/>
      <c r="AE540" s="3"/>
      <c r="AF540"/>
      <c r="AG540"/>
      <c r="AH540"/>
      <c r="AI540"/>
      <c r="AJ540"/>
      <c r="AK540"/>
      <c r="AL540"/>
      <c r="AM540"/>
      <c r="AN540"/>
    </row>
    <row r="541" spans="1:40" x14ac:dyDescent="0.25">
      <c r="A541" s="6">
        <v>44735</v>
      </c>
      <c r="B541" t="str">
        <f t="shared" si="57"/>
        <v>Junio</v>
      </c>
      <c r="C541" s="1" t="s">
        <v>65</v>
      </c>
      <c r="D541" s="58" t="str">
        <f>VLOOKUP(Datos!$C541,$AQ$2:$AR$41,2,0)</f>
        <v>Centro</v>
      </c>
      <c r="E541" s="1">
        <v>23622</v>
      </c>
      <c r="F541" s="1" t="str">
        <f t="array" ref="F541">_xlfn.IFS(H541=0,"Alta sin facturar",H541&gt;2,"Cliente",H541&gt;0,"Cliente nuevo")</f>
        <v>Cliente</v>
      </c>
      <c r="G541" s="1"/>
      <c r="H541" s="1">
        <f t="shared" si="61"/>
        <v>3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89">
        <v>835.2</v>
      </c>
      <c r="O541" s="89">
        <v>2774.7200000000003</v>
      </c>
      <c r="P541" s="89">
        <v>1199.4399999999998</v>
      </c>
      <c r="Q541" s="54">
        <f t="shared" si="58"/>
        <v>4809.3599999999997</v>
      </c>
      <c r="R541" s="89">
        <v>0</v>
      </c>
      <c r="S541" s="92">
        <f t="shared" si="62"/>
        <v>3</v>
      </c>
      <c r="T541" s="59">
        <f t="shared" si="59"/>
        <v>4809.3599999999997</v>
      </c>
      <c r="U541" s="60">
        <f t="shared" si="60"/>
        <v>0</v>
      </c>
      <c r="V541" s="59" t="str">
        <f t="array" ref="V541">_xlfn.IFS(S541=0,"Alta sin facturar",S541&gt;2,"Cliente",S541&gt;0,"Cliente nuevo")</f>
        <v>Cliente</v>
      </c>
      <c r="W541" s="59" t="str">
        <f t="shared" si="63"/>
        <v>Ha pagado</v>
      </c>
      <c r="X541" s="3"/>
      <c r="Y541" s="3"/>
      <c r="Z541" s="3"/>
      <c r="AA541" s="3"/>
      <c r="AB541" s="3"/>
      <c r="AC541" s="3"/>
      <c r="AD541" s="3"/>
      <c r="AE541" s="3"/>
      <c r="AF541"/>
      <c r="AG541"/>
      <c r="AH541"/>
      <c r="AI541"/>
      <c r="AJ541"/>
      <c r="AK541"/>
      <c r="AL541"/>
      <c r="AM541"/>
      <c r="AN541"/>
    </row>
    <row r="542" spans="1:40" x14ac:dyDescent="0.25">
      <c r="A542" s="65">
        <v>44736</v>
      </c>
      <c r="B542" t="str">
        <f t="shared" si="57"/>
        <v>Junio</v>
      </c>
      <c r="C542" s="1" t="s">
        <v>102</v>
      </c>
      <c r="D542" s="58" t="str">
        <f>VLOOKUP(Datos!$C542,$AQ$2:$AR$41,2,0)</f>
        <v>Sur</v>
      </c>
      <c r="E542" s="1">
        <v>23623</v>
      </c>
      <c r="F542" s="1" t="str">
        <f t="array" ref="F542">_xlfn.IFS(H542=0,"Alta sin facturar",H542&gt;2,"Cliente",H542&gt;0,"Cliente nuevo")</f>
        <v>Cliente nuevo</v>
      </c>
      <c r="G542" s="1"/>
      <c r="H542" s="1">
        <f t="shared" si="61"/>
        <v>2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89">
        <v>0</v>
      </c>
      <c r="O542" s="89">
        <v>1932.5599999999997</v>
      </c>
      <c r="P542" s="89">
        <v>1207.56</v>
      </c>
      <c r="Q542" s="54">
        <f t="shared" si="58"/>
        <v>3140.12</v>
      </c>
      <c r="R542" s="89">
        <v>56.84</v>
      </c>
      <c r="S542" s="92">
        <f t="shared" si="62"/>
        <v>2</v>
      </c>
      <c r="T542" s="59">
        <f t="shared" si="59"/>
        <v>3083.2799999999997</v>
      </c>
      <c r="U542" s="60">
        <f t="shared" si="60"/>
        <v>1.810121906169191E-2</v>
      </c>
      <c r="V542" s="59" t="str">
        <f t="array" ref="V542">_xlfn.IFS(S542=0,"Alta sin facturar",S542&gt;2,"Cliente",S542&gt;0,"Cliente nuevo")</f>
        <v>Cliente nuevo</v>
      </c>
      <c r="W542" s="59" t="str">
        <f t="shared" si="63"/>
        <v>Ha pagado</v>
      </c>
      <c r="X542" s="3"/>
      <c r="Y542" s="3"/>
      <c r="Z542" s="3"/>
      <c r="AA542" s="3"/>
      <c r="AB542" s="3"/>
      <c r="AC542" s="3"/>
      <c r="AD542" s="3"/>
      <c r="AE542" s="3"/>
      <c r="AF542"/>
      <c r="AG542"/>
      <c r="AH542"/>
      <c r="AI542"/>
      <c r="AJ542"/>
      <c r="AK542"/>
      <c r="AL542"/>
      <c r="AM542"/>
      <c r="AN542"/>
    </row>
    <row r="543" spans="1:40" x14ac:dyDescent="0.25">
      <c r="A543" s="65">
        <v>44736</v>
      </c>
      <c r="B543" t="str">
        <f t="shared" si="57"/>
        <v>Junio</v>
      </c>
      <c r="C543" s="1" t="s">
        <v>102</v>
      </c>
      <c r="D543" s="58" t="str">
        <f>VLOOKUP(Datos!$C543,$AQ$2:$AR$41,2,0)</f>
        <v>Sur</v>
      </c>
      <c r="E543" s="1">
        <v>23624</v>
      </c>
      <c r="F543" s="1" t="str">
        <f t="array" ref="F543">_xlfn.IFS(H543=0,"Alta sin facturar",H543&gt;2,"Cliente",H543&gt;0,"Cliente nuevo")</f>
        <v>Alta sin facturar</v>
      </c>
      <c r="G543" s="1"/>
      <c r="H543" s="1">
        <f t="shared" si="61"/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89">
        <v>0</v>
      </c>
      <c r="O543" s="89">
        <v>0</v>
      </c>
      <c r="P543" s="89">
        <v>0</v>
      </c>
      <c r="Q543" s="54">
        <f t="shared" si="58"/>
        <v>0</v>
      </c>
      <c r="R543" s="89"/>
      <c r="S543" s="92">
        <f t="shared" si="62"/>
        <v>0</v>
      </c>
      <c r="T543" s="59">
        <f t="shared" si="59"/>
        <v>0</v>
      </c>
      <c r="U543" s="60">
        <f t="shared" si="60"/>
        <v>0</v>
      </c>
      <c r="V543" s="59" t="str">
        <f t="array" ref="V543">_xlfn.IFS(S543=0,"Alta sin facturar",S543&gt;2,"Cliente",S543&gt;0,"Cliente nuevo")</f>
        <v>Alta sin facturar</v>
      </c>
      <c r="W543" s="59" t="str">
        <f t="shared" si="63"/>
        <v>Sin pago</v>
      </c>
      <c r="X543" s="3"/>
      <c r="Y543" s="3"/>
      <c r="Z543" s="3"/>
      <c r="AA543" s="3"/>
      <c r="AB543" s="3"/>
      <c r="AC543" s="3"/>
      <c r="AD543" s="3"/>
      <c r="AE543" s="3"/>
      <c r="AF543"/>
      <c r="AG543"/>
      <c r="AH543"/>
      <c r="AI543"/>
      <c r="AJ543"/>
      <c r="AK543"/>
      <c r="AL543"/>
      <c r="AM543"/>
      <c r="AN543"/>
    </row>
    <row r="544" spans="1:40" x14ac:dyDescent="0.25">
      <c r="A544" s="65">
        <v>44737</v>
      </c>
      <c r="B544" t="str">
        <f t="shared" si="57"/>
        <v>Junio</v>
      </c>
      <c r="C544" s="1" t="s">
        <v>60</v>
      </c>
      <c r="D544" s="58" t="str">
        <f>VLOOKUP(Datos!$C544,$AQ$2:$AR$41,2,0)</f>
        <v>Norte</v>
      </c>
      <c r="E544" s="1">
        <v>23625</v>
      </c>
      <c r="F544" s="1" t="str">
        <f t="array" ref="F544">_xlfn.IFS(H544=0,"Alta sin facturar",H544&gt;2,"Cliente",H544&gt;0,"Cliente nuevo")</f>
        <v>Alta sin facturar</v>
      </c>
      <c r="G544" s="1"/>
      <c r="H544" s="1">
        <f t="shared" si="61"/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89">
        <v>0</v>
      </c>
      <c r="O544" s="89">
        <v>0</v>
      </c>
      <c r="P544" s="89">
        <v>0</v>
      </c>
      <c r="Q544" s="54">
        <f t="shared" si="58"/>
        <v>0</v>
      </c>
      <c r="R544" s="89"/>
      <c r="S544" s="92">
        <f t="shared" si="62"/>
        <v>0</v>
      </c>
      <c r="T544" s="59">
        <f t="shared" si="59"/>
        <v>0</v>
      </c>
      <c r="U544" s="60">
        <f t="shared" si="60"/>
        <v>0</v>
      </c>
      <c r="V544" s="59" t="str">
        <f t="array" ref="V544">_xlfn.IFS(S544=0,"Alta sin facturar",S544&gt;2,"Cliente",S544&gt;0,"Cliente nuevo")</f>
        <v>Alta sin facturar</v>
      </c>
      <c r="W544" s="59" t="str">
        <f t="shared" si="63"/>
        <v>Sin pago</v>
      </c>
      <c r="X544" s="3"/>
      <c r="Y544" s="3"/>
      <c r="Z544" s="3"/>
      <c r="AA544" s="3"/>
      <c r="AB544" s="3"/>
      <c r="AC544" s="3"/>
      <c r="AD544" s="3"/>
      <c r="AE544" s="3"/>
      <c r="AF544"/>
      <c r="AG544"/>
      <c r="AH544"/>
      <c r="AI544"/>
      <c r="AJ544"/>
      <c r="AK544"/>
      <c r="AL544"/>
      <c r="AM544"/>
      <c r="AN544"/>
    </row>
    <row r="545" spans="1:40" x14ac:dyDescent="0.25">
      <c r="A545" s="65">
        <v>44737</v>
      </c>
      <c r="B545" t="str">
        <f t="shared" si="57"/>
        <v>Junio</v>
      </c>
      <c r="C545" s="1" t="s">
        <v>36</v>
      </c>
      <c r="D545" s="58" t="str">
        <f>VLOOKUP(Datos!$C545,$AQ$2:$AR$41,2,0)</f>
        <v>Magallanes</v>
      </c>
      <c r="E545" s="1">
        <v>23626</v>
      </c>
      <c r="F545" s="1" t="str">
        <f t="array" ref="F545">_xlfn.IFS(H545=0,"Alta sin facturar",H545&gt;2,"Cliente",H545&gt;0,"Cliente nuevo")</f>
        <v>Cliente nuevo</v>
      </c>
      <c r="G545" s="1"/>
      <c r="H545" s="1">
        <f t="shared" si="61"/>
        <v>2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89">
        <v>0</v>
      </c>
      <c r="O545" s="89">
        <v>3267.7199999999993</v>
      </c>
      <c r="P545" s="89">
        <v>348</v>
      </c>
      <c r="Q545" s="54">
        <f t="shared" si="58"/>
        <v>3615.7199999999993</v>
      </c>
      <c r="R545" s="89">
        <v>0</v>
      </c>
      <c r="S545" s="92">
        <f t="shared" si="62"/>
        <v>2</v>
      </c>
      <c r="T545" s="59">
        <f t="shared" si="59"/>
        <v>3615.7199999999993</v>
      </c>
      <c r="U545" s="60">
        <f t="shared" si="60"/>
        <v>0</v>
      </c>
      <c r="V545" s="59" t="str">
        <f t="array" ref="V545">_xlfn.IFS(S545=0,"Alta sin facturar",S545&gt;2,"Cliente",S545&gt;0,"Cliente nuevo")</f>
        <v>Cliente nuevo</v>
      </c>
      <c r="W545" s="59" t="str">
        <f t="shared" si="63"/>
        <v>Ha pagado</v>
      </c>
      <c r="X545" s="3"/>
      <c r="Y545" s="3"/>
      <c r="Z545" s="3"/>
      <c r="AA545" s="3"/>
      <c r="AB545" s="3"/>
      <c r="AC545" s="3"/>
      <c r="AD545" s="3"/>
      <c r="AE545" s="3"/>
      <c r="AF545"/>
      <c r="AG545"/>
      <c r="AH545"/>
      <c r="AI545"/>
      <c r="AJ545"/>
      <c r="AK545"/>
      <c r="AL545"/>
      <c r="AM545"/>
      <c r="AN545"/>
    </row>
    <row r="546" spans="1:40" x14ac:dyDescent="0.25">
      <c r="A546" s="65">
        <v>44737</v>
      </c>
      <c r="B546" t="str">
        <f t="shared" si="57"/>
        <v>Junio</v>
      </c>
      <c r="C546" s="1" t="s">
        <v>36</v>
      </c>
      <c r="D546" s="58" t="str">
        <f>VLOOKUP(Datos!$C546,$AQ$2:$AR$41,2,0)</f>
        <v>Magallanes</v>
      </c>
      <c r="E546" s="1">
        <v>23627</v>
      </c>
      <c r="F546" s="1" t="str">
        <f t="array" ref="F546">_xlfn.IFS(H546=0,"Alta sin facturar",H546&gt;2,"Cliente",H546&gt;0,"Cliente nuevo")</f>
        <v>Cliente nuevo</v>
      </c>
      <c r="G546" s="1"/>
      <c r="H546" s="1">
        <f t="shared" si="61"/>
        <v>2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89">
        <v>0</v>
      </c>
      <c r="O546" s="89">
        <v>1491.7599999999998</v>
      </c>
      <c r="P546" s="89">
        <v>830.55999999999983</v>
      </c>
      <c r="Q546" s="54">
        <f t="shared" si="58"/>
        <v>2322.3199999999997</v>
      </c>
      <c r="R546" s="89">
        <v>156.6</v>
      </c>
      <c r="S546" s="92">
        <f t="shared" si="62"/>
        <v>2</v>
      </c>
      <c r="T546" s="59">
        <f t="shared" si="59"/>
        <v>2165.7199999999998</v>
      </c>
      <c r="U546" s="60">
        <f t="shared" si="60"/>
        <v>6.7432567432567439E-2</v>
      </c>
      <c r="V546" s="59" t="str">
        <f t="array" ref="V546">_xlfn.IFS(S546=0,"Alta sin facturar",S546&gt;2,"Cliente",S546&gt;0,"Cliente nuevo")</f>
        <v>Cliente nuevo</v>
      </c>
      <c r="W546" s="59" t="str">
        <f t="shared" si="63"/>
        <v>Ha pagado</v>
      </c>
      <c r="X546" s="3"/>
      <c r="Y546" s="3"/>
      <c r="Z546" s="3"/>
      <c r="AA546" s="3"/>
      <c r="AB546" s="3"/>
      <c r="AC546" s="3"/>
      <c r="AD546" s="3"/>
      <c r="AE546" s="3"/>
      <c r="AG546"/>
      <c r="AH546"/>
      <c r="AI546"/>
      <c r="AJ546"/>
      <c r="AK546"/>
      <c r="AL546"/>
      <c r="AM546"/>
      <c r="AN546"/>
    </row>
    <row r="547" spans="1:40" x14ac:dyDescent="0.25">
      <c r="A547" s="65">
        <v>44737</v>
      </c>
      <c r="B547" t="str">
        <f t="shared" si="57"/>
        <v>Junio</v>
      </c>
      <c r="C547" s="1" t="s">
        <v>62</v>
      </c>
      <c r="D547" s="58" t="str">
        <f>VLOOKUP(Datos!$C547,$AQ$2:$AR$41,2,0)</f>
        <v>Norte</v>
      </c>
      <c r="E547" s="1">
        <v>23628</v>
      </c>
      <c r="F547" s="1" t="str">
        <f t="array" ref="F547">_xlfn.IFS(H547=0,"Alta sin facturar",H547&gt;2,"Cliente",H547&gt;0,"Cliente nuevo")</f>
        <v>Cliente nuevo</v>
      </c>
      <c r="G547" s="1"/>
      <c r="H547" s="1">
        <f t="shared" si="61"/>
        <v>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89">
        <v>0</v>
      </c>
      <c r="O547" s="89">
        <v>0</v>
      </c>
      <c r="P547" s="89">
        <v>14171.719999999954</v>
      </c>
      <c r="Q547" s="54">
        <f t="shared" si="58"/>
        <v>14171.719999999954</v>
      </c>
      <c r="R547" s="89"/>
      <c r="S547" s="92">
        <f t="shared" si="62"/>
        <v>1</v>
      </c>
      <c r="T547" s="59">
        <f t="shared" si="59"/>
        <v>14171.719999999954</v>
      </c>
      <c r="U547" s="60">
        <f t="shared" si="60"/>
        <v>0</v>
      </c>
      <c r="V547" s="59" t="str">
        <f t="array" ref="V547">_xlfn.IFS(S547=0,"Alta sin facturar",S547&gt;2,"Cliente",S547&gt;0,"Cliente nuevo")</f>
        <v>Cliente nuevo</v>
      </c>
      <c r="W547" s="59" t="str">
        <f t="shared" si="63"/>
        <v>Ha pagado</v>
      </c>
      <c r="X547" s="3"/>
      <c r="Y547" s="3"/>
      <c r="Z547" s="3"/>
      <c r="AA547" s="3"/>
      <c r="AB547" s="3"/>
      <c r="AC547" s="3"/>
      <c r="AD547" s="3"/>
      <c r="AE547" s="3"/>
      <c r="AG547"/>
      <c r="AH547"/>
      <c r="AI547"/>
      <c r="AJ547"/>
      <c r="AK547"/>
      <c r="AL547"/>
      <c r="AM547"/>
      <c r="AN547"/>
    </row>
    <row r="548" spans="1:40" x14ac:dyDescent="0.25">
      <c r="A548" s="65">
        <v>44739</v>
      </c>
      <c r="B548" t="str">
        <f t="shared" si="57"/>
        <v>Junio</v>
      </c>
      <c r="C548" s="1" t="s">
        <v>89</v>
      </c>
      <c r="D548" s="58" t="str">
        <f>VLOOKUP(Datos!$C548,$AQ$2:$AR$41,2,0)</f>
        <v>Centro</v>
      </c>
      <c r="E548" s="1">
        <v>23629</v>
      </c>
      <c r="F548" s="1" t="str">
        <f t="array" ref="F548">_xlfn.IFS(H548=0,"Alta sin facturar",H548&gt;2,"Cliente",H548&gt;0,"Cliente nuevo")</f>
        <v>Alta sin facturar</v>
      </c>
      <c r="G548" s="1"/>
      <c r="H548" s="1">
        <f t="shared" si="61"/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89">
        <v>0</v>
      </c>
      <c r="O548" s="89">
        <v>0</v>
      </c>
      <c r="P548" s="89">
        <v>0</v>
      </c>
      <c r="Q548" s="54">
        <f t="shared" si="58"/>
        <v>0</v>
      </c>
      <c r="R548" s="89"/>
      <c r="S548" s="92">
        <f t="shared" si="62"/>
        <v>0</v>
      </c>
      <c r="T548" s="59">
        <f t="shared" si="59"/>
        <v>0</v>
      </c>
      <c r="U548" s="60">
        <f t="shared" si="60"/>
        <v>0</v>
      </c>
      <c r="V548" s="59" t="str">
        <f t="array" ref="V548">_xlfn.IFS(S548=0,"Alta sin facturar",S548&gt;2,"Cliente",S548&gt;0,"Cliente nuevo")</f>
        <v>Alta sin facturar</v>
      </c>
      <c r="W548" s="59" t="str">
        <f t="shared" si="63"/>
        <v>Sin pago</v>
      </c>
      <c r="X548" s="3"/>
      <c r="Y548" s="3"/>
      <c r="Z548" s="3"/>
      <c r="AA548" s="3"/>
      <c r="AB548" s="3"/>
      <c r="AC548" s="3"/>
      <c r="AD548" s="3"/>
      <c r="AE548" s="3"/>
      <c r="AG548"/>
      <c r="AH548"/>
      <c r="AI548"/>
      <c r="AJ548"/>
      <c r="AK548"/>
      <c r="AL548"/>
      <c r="AM548"/>
      <c r="AN548"/>
    </row>
    <row r="549" spans="1:40" x14ac:dyDescent="0.25">
      <c r="A549" s="65">
        <v>44739</v>
      </c>
      <c r="B549" t="str">
        <f t="shared" si="57"/>
        <v>Junio</v>
      </c>
      <c r="C549" s="1" t="s">
        <v>97</v>
      </c>
      <c r="D549" s="58" t="str">
        <f>VLOOKUP(Datos!$C549,$AQ$2:$AR$41,2,0)</f>
        <v>Centro</v>
      </c>
      <c r="E549" s="1">
        <v>23630</v>
      </c>
      <c r="F549" s="1" t="str">
        <f t="array" ref="F549">_xlfn.IFS(H549=0,"Alta sin facturar",H549&gt;2,"Cliente",H549&gt;0,"Cliente nuevo")</f>
        <v>Cliente nuevo</v>
      </c>
      <c r="G549" s="1"/>
      <c r="H549" s="1">
        <f t="shared" si="61"/>
        <v>2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89">
        <v>0</v>
      </c>
      <c r="O549" s="89">
        <v>5935.72</v>
      </c>
      <c r="P549" s="89">
        <v>2329.2799999999997</v>
      </c>
      <c r="Q549" s="54">
        <f t="shared" si="58"/>
        <v>8265</v>
      </c>
      <c r="R549" s="89">
        <v>0</v>
      </c>
      <c r="S549" s="92">
        <f t="shared" si="62"/>
        <v>2</v>
      </c>
      <c r="T549" s="59">
        <f t="shared" si="59"/>
        <v>8265</v>
      </c>
      <c r="U549" s="60">
        <f t="shared" si="60"/>
        <v>0</v>
      </c>
      <c r="V549" s="59" t="str">
        <f t="array" ref="V549">_xlfn.IFS(S549=0,"Alta sin facturar",S549&gt;2,"Cliente",S549&gt;0,"Cliente nuevo")</f>
        <v>Cliente nuevo</v>
      </c>
      <c r="W549" s="59" t="str">
        <f t="shared" si="63"/>
        <v>Ha pagado</v>
      </c>
      <c r="X549" s="3"/>
      <c r="Y549" s="3"/>
      <c r="Z549" s="3"/>
      <c r="AA549" s="3"/>
      <c r="AB549" s="3"/>
      <c r="AC549" s="3"/>
      <c r="AD549" s="3"/>
      <c r="AE549" s="3"/>
      <c r="AG549"/>
      <c r="AH549"/>
      <c r="AI549"/>
      <c r="AJ549"/>
      <c r="AK549"/>
      <c r="AL549"/>
      <c r="AM549"/>
      <c r="AN549"/>
    </row>
    <row r="550" spans="1:40" x14ac:dyDescent="0.25">
      <c r="A550" s="65">
        <v>44739</v>
      </c>
      <c r="B550" t="str">
        <f t="shared" si="57"/>
        <v>Junio</v>
      </c>
      <c r="C550" s="1" t="s">
        <v>66</v>
      </c>
      <c r="D550" s="58" t="str">
        <f>VLOOKUP(Datos!$C550,$AQ$2:$AR$41,2,0)</f>
        <v>Sur</v>
      </c>
      <c r="E550" s="1">
        <v>23631</v>
      </c>
      <c r="F550" s="1" t="str">
        <f t="array" ref="F550">_xlfn.IFS(H550=0,"Alta sin facturar",H550&gt;2,"Cliente",H550&gt;0,"Cliente nuevo")</f>
        <v>Cliente nuevo</v>
      </c>
      <c r="G550" s="1"/>
      <c r="H550" s="1">
        <f t="shared" si="61"/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89">
        <v>0</v>
      </c>
      <c r="O550" s="89">
        <v>0</v>
      </c>
      <c r="P550" s="89">
        <v>3676.0399999999995</v>
      </c>
      <c r="Q550" s="54">
        <f t="shared" si="58"/>
        <v>3676.0399999999995</v>
      </c>
      <c r="R550" s="89">
        <v>0</v>
      </c>
      <c r="S550" s="92">
        <f t="shared" si="62"/>
        <v>1</v>
      </c>
      <c r="T550" s="59">
        <f t="shared" si="59"/>
        <v>3676.0399999999995</v>
      </c>
      <c r="U550" s="60">
        <f t="shared" si="60"/>
        <v>0</v>
      </c>
      <c r="V550" s="59" t="str">
        <f t="array" ref="V550">_xlfn.IFS(S550=0,"Alta sin facturar",S550&gt;2,"Cliente",S550&gt;0,"Cliente nuevo")</f>
        <v>Cliente nuevo</v>
      </c>
      <c r="W550" s="59" t="str">
        <f t="shared" si="63"/>
        <v>Ha pagado</v>
      </c>
      <c r="X550" s="3"/>
      <c r="Y550" s="3"/>
      <c r="Z550" s="3"/>
      <c r="AA550" s="3"/>
      <c r="AB550" s="3"/>
      <c r="AC550" s="3"/>
      <c r="AD550" s="3"/>
      <c r="AE550" s="3"/>
      <c r="AG550"/>
      <c r="AH550"/>
      <c r="AI550"/>
      <c r="AJ550"/>
      <c r="AK550"/>
      <c r="AL550"/>
      <c r="AM550"/>
      <c r="AN550"/>
    </row>
    <row r="551" spans="1:40" x14ac:dyDescent="0.25">
      <c r="A551" s="65">
        <v>44740</v>
      </c>
      <c r="B551" t="str">
        <f t="shared" si="57"/>
        <v>Junio</v>
      </c>
      <c r="C551" s="1" t="s">
        <v>31</v>
      </c>
      <c r="D551" s="58" t="str">
        <f>VLOOKUP(Datos!$C551,$AQ$2:$AR$41,2,0)</f>
        <v>Centro</v>
      </c>
      <c r="E551" s="1">
        <v>23632</v>
      </c>
      <c r="F551" s="1" t="str">
        <f t="array" ref="F551">_xlfn.IFS(H551=0,"Alta sin facturar",H551&gt;2,"Cliente",H551&gt;0,"Cliente nuevo")</f>
        <v>Alta sin facturar</v>
      </c>
      <c r="G551" s="1"/>
      <c r="H551" s="1">
        <f t="shared" si="61"/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89">
        <v>0</v>
      </c>
      <c r="O551" s="89">
        <v>0</v>
      </c>
      <c r="P551" s="89">
        <v>0</v>
      </c>
      <c r="Q551" s="54">
        <f t="shared" si="58"/>
        <v>0</v>
      </c>
      <c r="R551" s="89"/>
      <c r="S551" s="92">
        <f t="shared" si="62"/>
        <v>0</v>
      </c>
      <c r="T551" s="59">
        <f t="shared" si="59"/>
        <v>0</v>
      </c>
      <c r="U551" s="60">
        <f t="shared" si="60"/>
        <v>0</v>
      </c>
      <c r="V551" s="59" t="str">
        <f t="array" ref="V551">_xlfn.IFS(S551=0,"Alta sin facturar",S551&gt;2,"Cliente",S551&gt;0,"Cliente nuevo")</f>
        <v>Alta sin facturar</v>
      </c>
      <c r="W551" s="59" t="str">
        <f t="shared" si="63"/>
        <v>Sin pago</v>
      </c>
      <c r="X551" s="3"/>
      <c r="Y551" s="3"/>
      <c r="Z551" s="3"/>
      <c r="AA551" s="3"/>
      <c r="AB551" s="3"/>
      <c r="AC551" s="3"/>
      <c r="AD551" s="3"/>
      <c r="AE551" s="3"/>
      <c r="AG551"/>
      <c r="AH551"/>
      <c r="AI551"/>
      <c r="AJ551"/>
      <c r="AK551"/>
      <c r="AL551"/>
      <c r="AM551"/>
      <c r="AN551"/>
    </row>
    <row r="552" spans="1:40" x14ac:dyDescent="0.25">
      <c r="A552" s="65">
        <v>44740</v>
      </c>
      <c r="B552" t="str">
        <f t="shared" si="57"/>
        <v>Junio</v>
      </c>
      <c r="C552" s="1" t="s">
        <v>31</v>
      </c>
      <c r="D552" s="58" t="str">
        <f>VLOOKUP(Datos!$C552,$AQ$2:$AR$41,2,0)</f>
        <v>Centro</v>
      </c>
      <c r="E552" s="1">
        <v>23633</v>
      </c>
      <c r="F552" s="1" t="str">
        <f t="array" ref="F552">_xlfn.IFS(H552=0,"Alta sin facturar",H552&gt;2,"Cliente",H552&gt;0,"Cliente nuevo")</f>
        <v>Alta sin facturar</v>
      </c>
      <c r="G552" s="1"/>
      <c r="H552" s="1">
        <f t="shared" si="61"/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89">
        <v>0</v>
      </c>
      <c r="O552" s="89">
        <v>0</v>
      </c>
      <c r="P552" s="89">
        <v>0</v>
      </c>
      <c r="Q552" s="54">
        <f t="shared" si="58"/>
        <v>0</v>
      </c>
      <c r="R552" s="89"/>
      <c r="S552" s="92">
        <f t="shared" si="62"/>
        <v>0</v>
      </c>
      <c r="T552" s="59">
        <f t="shared" si="59"/>
        <v>0</v>
      </c>
      <c r="U552" s="60">
        <f t="shared" si="60"/>
        <v>0</v>
      </c>
      <c r="V552" s="59" t="str">
        <f t="array" ref="V552">_xlfn.IFS(S552=0,"Alta sin facturar",S552&gt;2,"Cliente",S552&gt;0,"Cliente nuevo")</f>
        <v>Alta sin facturar</v>
      </c>
      <c r="W552" s="59" t="str">
        <f t="shared" si="63"/>
        <v>Sin pago</v>
      </c>
      <c r="X552" s="3"/>
      <c r="Y552" s="3"/>
      <c r="Z552" s="3"/>
      <c r="AA552" s="3"/>
      <c r="AB552" s="3"/>
      <c r="AC552" s="3"/>
      <c r="AD552" s="3"/>
      <c r="AE552" s="3"/>
      <c r="AG552"/>
      <c r="AH552"/>
      <c r="AI552"/>
      <c r="AJ552"/>
      <c r="AK552"/>
      <c r="AL552"/>
      <c r="AM552"/>
    </row>
    <row r="553" spans="1:40" x14ac:dyDescent="0.25">
      <c r="A553" s="65">
        <v>44741</v>
      </c>
      <c r="B553" t="str">
        <f t="shared" si="57"/>
        <v>Junio</v>
      </c>
      <c r="C553" s="1" t="s">
        <v>97</v>
      </c>
      <c r="D553" s="58" t="str">
        <f>VLOOKUP(Datos!$C553,$AQ$2:$AR$41,2,0)</f>
        <v>Centro</v>
      </c>
      <c r="E553" s="1">
        <v>23634</v>
      </c>
      <c r="F553" s="1" t="str">
        <f t="array" ref="F553">_xlfn.IFS(H553=0,"Alta sin facturar",H553&gt;2,"Cliente",H553&gt;0,"Cliente nuevo")</f>
        <v>Cliente nuevo</v>
      </c>
      <c r="G553" s="1"/>
      <c r="H553" s="1">
        <f t="shared" si="61"/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89">
        <v>0</v>
      </c>
      <c r="O553" s="89">
        <v>1.1599999999999999</v>
      </c>
      <c r="P553" s="89">
        <v>0</v>
      </c>
      <c r="Q553" s="54">
        <f t="shared" si="58"/>
        <v>1.1599999999999999</v>
      </c>
      <c r="R553" s="89">
        <v>2046.2399999999998</v>
      </c>
      <c r="S553" s="92">
        <f t="shared" si="62"/>
        <v>1</v>
      </c>
      <c r="T553" s="59">
        <f t="shared" si="59"/>
        <v>-2045.0799999999997</v>
      </c>
      <c r="U553" s="60">
        <f t="shared" si="60"/>
        <v>1764</v>
      </c>
      <c r="V553" s="59" t="str">
        <f t="array" ref="V553">_xlfn.IFS(S553=0,"Alta sin facturar",S553&gt;2,"Cliente",S553&gt;0,"Cliente nuevo")</f>
        <v>Cliente nuevo</v>
      </c>
      <c r="W553" s="59" t="str">
        <f t="shared" si="63"/>
        <v>Sin pago</v>
      </c>
      <c r="X553" s="3"/>
      <c r="Y553" s="3"/>
      <c r="Z553" s="3"/>
      <c r="AA553" s="3"/>
      <c r="AB553" s="3"/>
      <c r="AC553" s="3"/>
      <c r="AD553" s="3"/>
      <c r="AE553" s="3"/>
      <c r="AG553"/>
      <c r="AH553"/>
      <c r="AI553"/>
      <c r="AJ553"/>
      <c r="AK553"/>
      <c r="AL553"/>
      <c r="AM553"/>
    </row>
    <row r="554" spans="1:40" x14ac:dyDescent="0.25">
      <c r="A554" s="65">
        <v>44741</v>
      </c>
      <c r="B554" t="str">
        <f t="shared" si="57"/>
        <v>Junio</v>
      </c>
      <c r="C554" s="1" t="s">
        <v>74</v>
      </c>
      <c r="D554" s="58" t="str">
        <f>VLOOKUP(Datos!$C554,$AQ$2:$AR$41,2,0)</f>
        <v>Sur</v>
      </c>
      <c r="E554" s="1">
        <v>23635</v>
      </c>
      <c r="F554" s="1" t="str">
        <f t="array" ref="F554">_xlfn.IFS(H554=0,"Alta sin facturar",H554&gt;2,"Cliente",H554&gt;0,"Cliente nuevo")</f>
        <v>Cliente nuevo</v>
      </c>
      <c r="G554" s="1"/>
      <c r="H554" s="1">
        <f t="shared" si="61"/>
        <v>2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89">
        <v>0</v>
      </c>
      <c r="O554" s="89">
        <v>2367.5600000000009</v>
      </c>
      <c r="P554" s="89">
        <v>4278.0800000000008</v>
      </c>
      <c r="Q554" s="54">
        <f t="shared" si="58"/>
        <v>6645.6400000000012</v>
      </c>
      <c r="R554" s="89">
        <v>331.76</v>
      </c>
      <c r="S554" s="92">
        <f t="shared" si="62"/>
        <v>2</v>
      </c>
      <c r="T554" s="59">
        <f t="shared" si="59"/>
        <v>6313.880000000001</v>
      </c>
      <c r="U554" s="60">
        <f t="shared" si="60"/>
        <v>4.9921452260429384E-2</v>
      </c>
      <c r="V554" s="59" t="str">
        <f t="array" ref="V554">_xlfn.IFS(S554=0,"Alta sin facturar",S554&gt;2,"Cliente",S554&gt;0,"Cliente nuevo")</f>
        <v>Cliente nuevo</v>
      </c>
      <c r="W554" s="59" t="str">
        <f t="shared" si="63"/>
        <v>Ha pagado</v>
      </c>
      <c r="X554" s="3"/>
      <c r="Y554" s="3"/>
      <c r="Z554" s="3"/>
      <c r="AA554" s="3"/>
      <c r="AB554" s="3"/>
      <c r="AC554" s="3"/>
      <c r="AD554" s="3"/>
      <c r="AE554" s="3"/>
      <c r="AG554"/>
      <c r="AH554"/>
      <c r="AI554"/>
      <c r="AJ554"/>
      <c r="AK554"/>
      <c r="AL554"/>
      <c r="AM554"/>
    </row>
    <row r="555" spans="1:40" x14ac:dyDescent="0.25">
      <c r="A555" s="65">
        <v>44741</v>
      </c>
      <c r="B555" t="str">
        <f t="shared" si="57"/>
        <v>Junio</v>
      </c>
      <c r="C555" s="1" t="s">
        <v>74</v>
      </c>
      <c r="D555" s="58" t="str">
        <f>VLOOKUP(Datos!$C555,$AQ$2:$AR$41,2,0)</f>
        <v>Sur</v>
      </c>
      <c r="E555" s="1">
        <v>23636</v>
      </c>
      <c r="F555" s="1" t="str">
        <f t="array" ref="F555">_xlfn.IFS(H555=0,"Alta sin facturar",H555&gt;2,"Cliente",H555&gt;0,"Cliente nuevo")</f>
        <v>Cliente nuevo</v>
      </c>
      <c r="G555" s="1"/>
      <c r="H555" s="1">
        <f t="shared" si="61"/>
        <v>2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89">
        <v>0</v>
      </c>
      <c r="O555" s="89">
        <v>585.79999999999995</v>
      </c>
      <c r="P555" s="89">
        <v>331.76</v>
      </c>
      <c r="Q555" s="54">
        <f t="shared" si="58"/>
        <v>917.56</v>
      </c>
      <c r="R555" s="89">
        <v>464</v>
      </c>
      <c r="S555" s="92">
        <f t="shared" si="62"/>
        <v>2</v>
      </c>
      <c r="T555" s="59">
        <f t="shared" si="59"/>
        <v>453.55999999999995</v>
      </c>
      <c r="U555" s="60">
        <f t="shared" si="60"/>
        <v>0.50568900126422256</v>
      </c>
      <c r="V555" s="59" t="str">
        <f t="array" ref="V555">_xlfn.IFS(S555=0,"Alta sin facturar",S555&gt;2,"Cliente",S555&gt;0,"Cliente nuevo")</f>
        <v>Cliente nuevo</v>
      </c>
      <c r="W555" s="59" t="str">
        <f t="shared" si="63"/>
        <v>Ha pagado</v>
      </c>
      <c r="X555" s="3"/>
      <c r="Y555" s="3"/>
      <c r="Z555" s="3"/>
      <c r="AA555" s="3"/>
      <c r="AB555" s="3"/>
      <c r="AC555" s="3"/>
      <c r="AD555" s="3"/>
      <c r="AE555" s="3"/>
      <c r="AG555"/>
      <c r="AH555"/>
      <c r="AI555"/>
      <c r="AJ555"/>
      <c r="AK555"/>
      <c r="AL555"/>
      <c r="AM555"/>
    </row>
    <row r="556" spans="1:40" x14ac:dyDescent="0.25">
      <c r="A556" s="65">
        <v>44741</v>
      </c>
      <c r="B556" t="str">
        <f t="shared" si="57"/>
        <v>Junio</v>
      </c>
      <c r="C556" s="1" t="s">
        <v>33</v>
      </c>
      <c r="D556" s="58" t="str">
        <f>VLOOKUP(Datos!$C556,$AQ$2:$AR$41,2,0)</f>
        <v>Magallanes</v>
      </c>
      <c r="E556" s="1">
        <v>23637</v>
      </c>
      <c r="F556" s="1" t="str">
        <f t="array" ref="F556">_xlfn.IFS(H556=0,"Alta sin facturar",H556&gt;2,"Cliente",H556&gt;0,"Cliente nuevo")</f>
        <v>Cliente nuevo</v>
      </c>
      <c r="G556" s="1"/>
      <c r="H556" s="1">
        <f t="shared" si="61"/>
        <v>1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89">
        <v>0</v>
      </c>
      <c r="O556" s="89">
        <v>0</v>
      </c>
      <c r="P556" s="89">
        <v>12372.56</v>
      </c>
      <c r="Q556" s="54">
        <f t="shared" si="58"/>
        <v>12372.56</v>
      </c>
      <c r="R556" s="89">
        <v>0</v>
      </c>
      <c r="S556" s="92">
        <f t="shared" si="62"/>
        <v>1</v>
      </c>
      <c r="T556" s="59">
        <f t="shared" si="59"/>
        <v>12372.56</v>
      </c>
      <c r="U556" s="60">
        <f t="shared" si="60"/>
        <v>0</v>
      </c>
      <c r="V556" s="59" t="str">
        <f t="array" ref="V556">_xlfn.IFS(S556=0,"Alta sin facturar",S556&gt;2,"Cliente",S556&gt;0,"Cliente nuevo")</f>
        <v>Cliente nuevo</v>
      </c>
      <c r="W556" s="59" t="str">
        <f t="shared" si="63"/>
        <v>Ha pagado</v>
      </c>
      <c r="X556" s="3"/>
      <c r="Y556" s="3"/>
      <c r="Z556" s="3"/>
      <c r="AA556" s="3"/>
      <c r="AB556" s="3"/>
      <c r="AC556" s="3"/>
      <c r="AD556" s="3"/>
      <c r="AE556" s="3"/>
      <c r="AG556"/>
      <c r="AH556"/>
      <c r="AI556"/>
      <c r="AJ556"/>
      <c r="AK556"/>
      <c r="AL556"/>
      <c r="AM556"/>
    </row>
    <row r="557" spans="1:40" x14ac:dyDescent="0.25">
      <c r="A557" s="65">
        <v>44742</v>
      </c>
      <c r="B557" t="str">
        <f t="shared" si="57"/>
        <v>Junio</v>
      </c>
      <c r="C557" s="1" t="s">
        <v>62</v>
      </c>
      <c r="D557" s="58" t="str">
        <f>VLOOKUP(Datos!$C557,$AQ$2:$AR$41,2,0)</f>
        <v>Norte</v>
      </c>
      <c r="E557" s="1">
        <v>23638</v>
      </c>
      <c r="F557" s="1" t="str">
        <f t="array" ref="F557">_xlfn.IFS(H557=0,"Alta sin facturar",H557&gt;2,"Cliente",H557&gt;0,"Cliente nuevo")</f>
        <v>Cliente nuevo</v>
      </c>
      <c r="G557" s="1"/>
      <c r="H557" s="1">
        <f t="shared" si="61"/>
        <v>2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89">
        <v>0</v>
      </c>
      <c r="O557" s="89">
        <v>7339.3199999999979</v>
      </c>
      <c r="P557" s="89">
        <v>8854.2800000000025</v>
      </c>
      <c r="Q557" s="54">
        <f t="shared" si="58"/>
        <v>16193.6</v>
      </c>
      <c r="R557" s="89">
        <v>84.68</v>
      </c>
      <c r="S557" s="92">
        <f t="shared" si="62"/>
        <v>2</v>
      </c>
      <c r="T557" s="59">
        <f t="shared" si="59"/>
        <v>16108.92</v>
      </c>
      <c r="U557" s="60">
        <f t="shared" si="60"/>
        <v>5.2292263610315189E-3</v>
      </c>
      <c r="V557" s="59" t="str">
        <f t="array" ref="V557">_xlfn.IFS(S557=0,"Alta sin facturar",S557&gt;2,"Cliente",S557&gt;0,"Cliente nuevo")</f>
        <v>Cliente nuevo</v>
      </c>
      <c r="W557" s="59" t="str">
        <f t="shared" si="63"/>
        <v>Ha pagado</v>
      </c>
      <c r="X557" s="3"/>
      <c r="Y557" s="3"/>
      <c r="Z557" s="3"/>
      <c r="AA557" s="3"/>
      <c r="AB557" s="3"/>
      <c r="AC557" s="3"/>
      <c r="AD557" s="3"/>
      <c r="AE557" s="3"/>
      <c r="AG557"/>
      <c r="AH557"/>
      <c r="AI557"/>
      <c r="AJ557"/>
      <c r="AK557"/>
      <c r="AL557"/>
      <c r="AM557"/>
    </row>
    <row r="558" spans="1:40" x14ac:dyDescent="0.25">
      <c r="A558" s="86">
        <v>44742</v>
      </c>
      <c r="B558" t="str">
        <f t="shared" si="57"/>
        <v>Junio</v>
      </c>
      <c r="C558" s="1" t="s">
        <v>42</v>
      </c>
      <c r="D558" s="58" t="str">
        <f>VLOOKUP(Datos!$C558,$AQ$2:$AR$41,2,0)</f>
        <v>Norte</v>
      </c>
      <c r="E558" s="1">
        <v>23639</v>
      </c>
      <c r="F558" s="1" t="str">
        <f t="array" ref="F558">_xlfn.IFS(H558=0,"Alta sin facturar",H558&gt;2,"Cliente",H558&gt;0,"Cliente nuevo")</f>
        <v>Cliente nuevo</v>
      </c>
      <c r="G558" s="1"/>
      <c r="H558" s="1">
        <f t="shared" si="61"/>
        <v>2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89">
        <v>0</v>
      </c>
      <c r="O558" s="89">
        <v>84.679999999999993</v>
      </c>
      <c r="P558" s="89">
        <v>597.4</v>
      </c>
      <c r="Q558" s="54">
        <f t="shared" si="58"/>
        <v>682.07999999999993</v>
      </c>
      <c r="R558" s="89">
        <v>784.8</v>
      </c>
      <c r="S558" s="92">
        <f t="shared" si="62"/>
        <v>2</v>
      </c>
      <c r="T558" s="59">
        <f t="shared" si="59"/>
        <v>-102.72000000000003</v>
      </c>
      <c r="U558" s="60">
        <f t="shared" si="60"/>
        <v>1.1505981703026038</v>
      </c>
      <c r="V558" s="59" t="str">
        <f t="array" ref="V558">_xlfn.IFS(S558=0,"Alta sin facturar",S558&gt;2,"Cliente",S558&gt;0,"Cliente nuevo")</f>
        <v>Cliente nuevo</v>
      </c>
      <c r="W558" s="59" t="str">
        <f t="shared" si="63"/>
        <v>Sin pago</v>
      </c>
      <c r="X558" s="3"/>
      <c r="Y558" s="3"/>
      <c r="Z558" s="3"/>
      <c r="AA558" s="3"/>
      <c r="AB558" s="3"/>
      <c r="AC558" s="3"/>
      <c r="AD558" s="3"/>
      <c r="AE558" s="3"/>
      <c r="AG558"/>
      <c r="AH558"/>
      <c r="AI558"/>
      <c r="AJ558"/>
      <c r="AK558"/>
      <c r="AL558"/>
      <c r="AM558"/>
    </row>
    <row r="559" spans="1:40" x14ac:dyDescent="0.25">
      <c r="A559" s="86">
        <v>44742</v>
      </c>
      <c r="B559" t="str">
        <f t="shared" si="57"/>
        <v>Junio</v>
      </c>
      <c r="C559" s="1" t="s">
        <v>32</v>
      </c>
      <c r="D559" s="58" t="str">
        <f>VLOOKUP(Datos!$C559,$AQ$2:$AR$41,2,0)</f>
        <v>Norte</v>
      </c>
      <c r="E559" s="1">
        <v>23640</v>
      </c>
      <c r="F559" s="1" t="str">
        <f t="array" ref="F559">_xlfn.IFS(H559=0,"Alta sin facturar",H559&gt;2,"Cliente",H559&gt;0,"Cliente nuevo")</f>
        <v>Cliente nuevo</v>
      </c>
      <c r="G559" s="1"/>
      <c r="H559" s="1">
        <f t="shared" si="61"/>
        <v>2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89">
        <v>0</v>
      </c>
      <c r="O559" s="89">
        <v>991.79999999999984</v>
      </c>
      <c r="P559" s="89">
        <v>38.279999999999994</v>
      </c>
      <c r="Q559" s="54">
        <f t="shared" si="58"/>
        <v>1030.08</v>
      </c>
      <c r="R559" s="89">
        <v>0</v>
      </c>
      <c r="S559" s="92">
        <f t="shared" si="62"/>
        <v>2</v>
      </c>
      <c r="T559" s="59">
        <f t="shared" si="59"/>
        <v>1030.08</v>
      </c>
      <c r="U559" s="60">
        <f t="shared" si="60"/>
        <v>0</v>
      </c>
      <c r="V559" s="59" t="str">
        <f t="array" ref="V559">_xlfn.IFS(S559=0,"Alta sin facturar",S559&gt;2,"Cliente",S559&gt;0,"Cliente nuevo")</f>
        <v>Cliente nuevo</v>
      </c>
      <c r="W559" s="59" t="str">
        <f t="shared" si="63"/>
        <v>Ha pagado</v>
      </c>
      <c r="X559" s="3"/>
      <c r="Y559" s="3"/>
      <c r="Z559" s="3"/>
      <c r="AA559" s="3"/>
      <c r="AB559" s="3"/>
      <c r="AC559" s="3"/>
      <c r="AD559" s="3"/>
      <c r="AE559" s="3"/>
      <c r="AG559"/>
      <c r="AH559"/>
      <c r="AI559"/>
      <c r="AJ559"/>
      <c r="AK559"/>
    </row>
    <row r="560" spans="1:40" x14ac:dyDescent="0.25">
      <c r="A560" s="86">
        <v>44742</v>
      </c>
      <c r="B560" t="str">
        <f t="shared" si="57"/>
        <v>Junio</v>
      </c>
      <c r="C560" s="1" t="s">
        <v>32</v>
      </c>
      <c r="D560" s="58" t="str">
        <f>VLOOKUP(Datos!$C560,$AQ$2:$AR$41,2,0)</f>
        <v>Norte</v>
      </c>
      <c r="E560" s="1">
        <v>23641</v>
      </c>
      <c r="F560" s="1" t="str">
        <f t="array" ref="F560">_xlfn.IFS(H560=0,"Alta sin facturar",H560&gt;2,"Cliente",H560&gt;0,"Cliente nuevo")</f>
        <v>Cliente nuevo</v>
      </c>
      <c r="G560" s="1"/>
      <c r="H560" s="1">
        <f t="shared" si="61"/>
        <v>2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89">
        <v>0</v>
      </c>
      <c r="O560" s="89">
        <v>4795.4399999999978</v>
      </c>
      <c r="P560" s="89">
        <v>17331.55999999999</v>
      </c>
      <c r="Q560" s="54">
        <f t="shared" si="58"/>
        <v>22126.999999999989</v>
      </c>
      <c r="R560" s="89">
        <v>0</v>
      </c>
      <c r="S560" s="92">
        <f t="shared" si="62"/>
        <v>2</v>
      </c>
      <c r="T560" s="59">
        <f t="shared" si="59"/>
        <v>22126.999999999989</v>
      </c>
      <c r="U560" s="60">
        <f t="shared" si="60"/>
        <v>0</v>
      </c>
      <c r="V560" s="59" t="str">
        <f t="array" ref="V560">_xlfn.IFS(S560=0,"Alta sin facturar",S560&gt;2,"Cliente",S560&gt;0,"Cliente nuevo")</f>
        <v>Cliente nuevo</v>
      </c>
      <c r="W560" s="59" t="str">
        <f t="shared" si="63"/>
        <v>Ha pagado</v>
      </c>
      <c r="AG560"/>
      <c r="AH560"/>
      <c r="AI560"/>
      <c r="AJ560"/>
      <c r="AK560"/>
    </row>
    <row r="561" spans="1:37" x14ac:dyDescent="0.25">
      <c r="A561" s="86">
        <v>44743</v>
      </c>
      <c r="B561" t="str">
        <f t="shared" si="57"/>
        <v>Julio</v>
      </c>
      <c r="C561" s="1" t="s">
        <v>36</v>
      </c>
      <c r="D561" s="58" t="str">
        <f>VLOOKUP(Datos!$C561,$AQ$2:$AR$41,2,0)</f>
        <v>Magallanes</v>
      </c>
      <c r="E561" s="1">
        <v>23642</v>
      </c>
      <c r="F561" s="1" t="str">
        <f t="array" ref="F561">_xlfn.IFS(H561=0,"Alta sin facturar",H561&gt;2,"Cliente",H561&gt;0,"Cliente nuevo")</f>
        <v>Cliente nuevo</v>
      </c>
      <c r="G561" s="1"/>
      <c r="H561" s="1">
        <f t="shared" si="61"/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89">
        <v>0</v>
      </c>
      <c r="O561" s="89">
        <v>91.64</v>
      </c>
      <c r="P561" s="89">
        <v>0</v>
      </c>
      <c r="Q561" s="54">
        <f t="shared" si="58"/>
        <v>91.64</v>
      </c>
      <c r="R561" s="91"/>
      <c r="S561" s="92">
        <f t="shared" si="62"/>
        <v>1</v>
      </c>
      <c r="T561" s="59">
        <f t="shared" si="59"/>
        <v>91.64</v>
      </c>
      <c r="U561" s="60">
        <f t="shared" si="60"/>
        <v>0</v>
      </c>
      <c r="V561" s="59" t="str">
        <f t="array" ref="V561">_xlfn.IFS(S561=0,"Alta sin facturar",S561&gt;2,"Cliente",S561&gt;0,"Cliente nuevo")</f>
        <v>Cliente nuevo</v>
      </c>
      <c r="W561" s="59" t="str">
        <f t="shared" si="63"/>
        <v>Ha pagado</v>
      </c>
      <c r="AC561"/>
      <c r="AD561"/>
      <c r="AG561"/>
      <c r="AH561"/>
      <c r="AI561"/>
      <c r="AJ561"/>
      <c r="AK561"/>
    </row>
    <row r="562" spans="1:37" x14ac:dyDescent="0.25">
      <c r="A562" s="86">
        <v>44743</v>
      </c>
      <c r="B562" t="str">
        <f t="shared" si="57"/>
        <v>Julio</v>
      </c>
      <c r="C562" s="1" t="s">
        <v>36</v>
      </c>
      <c r="D562" s="58" t="str">
        <f>VLOOKUP(Datos!$C562,$AQ$2:$AR$41,2,0)</f>
        <v>Magallanes</v>
      </c>
      <c r="E562" s="1">
        <v>23643</v>
      </c>
      <c r="F562" s="1" t="str">
        <f t="array" ref="F562">_xlfn.IFS(H562=0,"Alta sin facturar",H562&gt;2,"Cliente",H562&gt;0,"Cliente nuevo")</f>
        <v>Cliente nuevo</v>
      </c>
      <c r="G562" s="1"/>
      <c r="H562" s="1">
        <f t="shared" si="61"/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89">
        <v>0</v>
      </c>
      <c r="O562" s="89">
        <v>0</v>
      </c>
      <c r="P562" s="89">
        <v>197.2</v>
      </c>
      <c r="Q562" s="54">
        <f t="shared" si="58"/>
        <v>197.2</v>
      </c>
      <c r="R562" s="91"/>
      <c r="S562" s="92">
        <f t="shared" si="62"/>
        <v>1</v>
      </c>
      <c r="T562" s="59">
        <f t="shared" si="59"/>
        <v>197.2</v>
      </c>
      <c r="U562" s="60">
        <f t="shared" si="60"/>
        <v>0</v>
      </c>
      <c r="V562" s="59" t="str">
        <f t="array" ref="V562">_xlfn.IFS(S562=0,"Alta sin facturar",S562&gt;2,"Cliente",S562&gt;0,"Cliente nuevo")</f>
        <v>Cliente nuevo</v>
      </c>
      <c r="W562" s="59" t="str">
        <f t="shared" si="63"/>
        <v>Ha pagado</v>
      </c>
      <c r="AC562"/>
      <c r="AD562"/>
      <c r="AG562"/>
    </row>
    <row r="563" spans="1:37" x14ac:dyDescent="0.25">
      <c r="A563" s="86">
        <v>44743</v>
      </c>
      <c r="B563" t="str">
        <f t="shared" si="57"/>
        <v>Julio</v>
      </c>
      <c r="C563" s="1" t="s">
        <v>38</v>
      </c>
      <c r="D563" s="58" t="str">
        <f>VLOOKUP(Datos!$C563,$AQ$2:$AR$41,2,0)</f>
        <v>Centro</v>
      </c>
      <c r="E563" s="1">
        <v>23644</v>
      </c>
      <c r="F563" s="1" t="str">
        <f t="array" ref="F563">_xlfn.IFS(H563=0,"Alta sin facturar",H563&gt;2,"Cliente",H563&gt;0,"Cliente nuevo")</f>
        <v>Alta sin facturar</v>
      </c>
      <c r="G563" s="1"/>
      <c r="H563" s="1">
        <f t="shared" si="61"/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89">
        <v>0</v>
      </c>
      <c r="O563" s="89">
        <v>0</v>
      </c>
      <c r="P563" s="89">
        <v>0</v>
      </c>
      <c r="Q563" s="54">
        <f t="shared" si="58"/>
        <v>0</v>
      </c>
      <c r="R563" s="91"/>
      <c r="S563" s="92">
        <f t="shared" si="62"/>
        <v>0</v>
      </c>
      <c r="T563" s="59">
        <f t="shared" si="59"/>
        <v>0</v>
      </c>
      <c r="U563" s="60">
        <f t="shared" si="60"/>
        <v>0</v>
      </c>
      <c r="V563" s="59" t="str">
        <f t="array" ref="V563">_xlfn.IFS(S563=0,"Alta sin facturar",S563&gt;2,"Cliente",S563&gt;0,"Cliente nuevo")</f>
        <v>Alta sin facturar</v>
      </c>
      <c r="W563" s="59" t="str">
        <f t="shared" si="63"/>
        <v>Sin pago</v>
      </c>
    </row>
    <row r="564" spans="1:37" x14ac:dyDescent="0.25">
      <c r="A564" s="86">
        <v>44743</v>
      </c>
      <c r="B564" t="str">
        <f t="shared" si="57"/>
        <v>Julio</v>
      </c>
      <c r="C564" s="1" t="s">
        <v>38</v>
      </c>
      <c r="D564" s="58" t="str">
        <f>VLOOKUP(Datos!$C564,$AQ$2:$AR$41,2,0)</f>
        <v>Centro</v>
      </c>
      <c r="E564" s="1">
        <v>23645</v>
      </c>
      <c r="F564" s="1" t="str">
        <f t="array" ref="F564">_xlfn.IFS(H564=0,"Alta sin facturar",H564&gt;2,"Cliente",H564&gt;0,"Cliente nuevo")</f>
        <v>Alta sin facturar</v>
      </c>
      <c r="G564" s="1"/>
      <c r="H564" s="1">
        <f t="shared" si="61"/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89">
        <v>0</v>
      </c>
      <c r="O564" s="89">
        <v>0</v>
      </c>
      <c r="P564" s="89">
        <v>0</v>
      </c>
      <c r="Q564" s="54">
        <f t="shared" si="58"/>
        <v>0</v>
      </c>
      <c r="R564" s="91"/>
      <c r="S564" s="92">
        <f t="shared" si="62"/>
        <v>0</v>
      </c>
      <c r="T564" s="59">
        <f t="shared" si="59"/>
        <v>0</v>
      </c>
      <c r="U564" s="60">
        <f t="shared" si="60"/>
        <v>0</v>
      </c>
      <c r="V564" s="59" t="str">
        <f t="array" ref="V564">_xlfn.IFS(S564=0,"Alta sin facturar",S564&gt;2,"Cliente",S564&gt;0,"Cliente nuevo")</f>
        <v>Alta sin facturar</v>
      </c>
      <c r="W564" s="59" t="str">
        <f t="shared" si="63"/>
        <v>Sin pago</v>
      </c>
    </row>
    <row r="565" spans="1:37" x14ac:dyDescent="0.25">
      <c r="A565" s="86">
        <v>44743</v>
      </c>
      <c r="B565" t="str">
        <f t="shared" si="57"/>
        <v>Julio</v>
      </c>
      <c r="C565" s="1" t="s">
        <v>34</v>
      </c>
      <c r="D565" s="58" t="str">
        <f>VLOOKUP(Datos!$C565,$AQ$2:$AR$41,2,0)</f>
        <v>Norte</v>
      </c>
      <c r="E565" s="1">
        <v>23646</v>
      </c>
      <c r="F565" s="1" t="str">
        <f t="array" ref="F565">_xlfn.IFS(H565=0,"Alta sin facturar",H565&gt;2,"Cliente",H565&gt;0,"Cliente nuevo")</f>
        <v>Alta sin facturar</v>
      </c>
      <c r="G565" s="1"/>
      <c r="H565" s="1">
        <f t="shared" si="61"/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89">
        <v>0</v>
      </c>
      <c r="O565" s="89">
        <v>0</v>
      </c>
      <c r="P565" s="89">
        <v>0</v>
      </c>
      <c r="Q565" s="54">
        <f t="shared" si="58"/>
        <v>0</v>
      </c>
      <c r="R565" s="91"/>
      <c r="S565" s="92">
        <f t="shared" si="62"/>
        <v>0</v>
      </c>
      <c r="T565" s="59">
        <f t="shared" si="59"/>
        <v>0</v>
      </c>
      <c r="U565" s="60">
        <f t="shared" si="60"/>
        <v>0</v>
      </c>
      <c r="V565" s="59" t="str">
        <f t="array" ref="V565">_xlfn.IFS(S565=0,"Alta sin facturar",S565&gt;2,"Cliente",S565&gt;0,"Cliente nuevo")</f>
        <v>Alta sin facturar</v>
      </c>
      <c r="W565" s="59" t="str">
        <f t="shared" si="63"/>
        <v>Sin pago</v>
      </c>
    </row>
    <row r="566" spans="1:37" x14ac:dyDescent="0.25">
      <c r="A566" s="86">
        <v>44743</v>
      </c>
      <c r="B566" t="str">
        <f t="shared" si="57"/>
        <v>Julio</v>
      </c>
      <c r="C566" s="1" t="s">
        <v>40</v>
      </c>
      <c r="D566" s="58" t="str">
        <f>VLOOKUP(Datos!$C566,$AQ$2:$AR$41,2,0)</f>
        <v>Centro</v>
      </c>
      <c r="E566" s="1">
        <v>23647</v>
      </c>
      <c r="F566" s="1" t="str">
        <f t="array" ref="F566">_xlfn.IFS(H566=0,"Alta sin facturar",H566&gt;2,"Cliente",H566&gt;0,"Cliente nuevo")</f>
        <v>Alta sin facturar</v>
      </c>
      <c r="G566" s="1"/>
      <c r="H566" s="1">
        <f t="shared" si="61"/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89">
        <v>0</v>
      </c>
      <c r="O566" s="89">
        <v>0</v>
      </c>
      <c r="P566" s="89">
        <v>0</v>
      </c>
      <c r="Q566" s="54">
        <f t="shared" si="58"/>
        <v>0</v>
      </c>
      <c r="R566" s="91"/>
      <c r="S566" s="92">
        <f t="shared" si="62"/>
        <v>0</v>
      </c>
      <c r="T566" s="59">
        <f t="shared" si="59"/>
        <v>0</v>
      </c>
      <c r="U566" s="60">
        <f t="shared" si="60"/>
        <v>0</v>
      </c>
      <c r="V566" s="59" t="str">
        <f t="array" ref="V566">_xlfn.IFS(S566=0,"Alta sin facturar",S566&gt;2,"Cliente",S566&gt;0,"Cliente nuevo")</f>
        <v>Alta sin facturar</v>
      </c>
      <c r="W566" s="59" t="str">
        <f t="shared" si="63"/>
        <v>Sin pago</v>
      </c>
    </row>
    <row r="567" spans="1:37" x14ac:dyDescent="0.25">
      <c r="A567" s="86">
        <v>44744</v>
      </c>
      <c r="B567" t="str">
        <f t="shared" si="57"/>
        <v>Julio</v>
      </c>
      <c r="C567" s="1" t="s">
        <v>38</v>
      </c>
      <c r="D567" s="58" t="str">
        <f>VLOOKUP(Datos!$C567,$AQ$2:$AR$41,2,0)</f>
        <v>Centro</v>
      </c>
      <c r="E567" s="1">
        <v>23648</v>
      </c>
      <c r="F567" s="1" t="str">
        <f t="array" ref="F567">_xlfn.IFS(H567=0,"Alta sin facturar",H567&gt;2,"Cliente",H567&gt;0,"Cliente nuevo")</f>
        <v>Cliente nuevo</v>
      </c>
      <c r="G567" s="1"/>
      <c r="H567" s="1">
        <f t="shared" si="61"/>
        <v>1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89">
        <v>0</v>
      </c>
      <c r="O567" s="89">
        <v>0</v>
      </c>
      <c r="P567" s="89">
        <v>795.75999999999976</v>
      </c>
      <c r="Q567" s="54">
        <f t="shared" si="58"/>
        <v>795.75999999999976</v>
      </c>
      <c r="R567" s="91"/>
      <c r="S567" s="92">
        <f t="shared" si="62"/>
        <v>1</v>
      </c>
      <c r="T567" s="59">
        <f t="shared" si="59"/>
        <v>795.75999999999976</v>
      </c>
      <c r="U567" s="60">
        <f t="shared" si="60"/>
        <v>0</v>
      </c>
      <c r="V567" s="59" t="str">
        <f t="array" ref="V567">_xlfn.IFS(S567=0,"Alta sin facturar",S567&gt;2,"Cliente",S567&gt;0,"Cliente nuevo")</f>
        <v>Cliente nuevo</v>
      </c>
      <c r="W567" s="59" t="str">
        <f t="shared" si="63"/>
        <v>Ha pagado</v>
      </c>
    </row>
    <row r="568" spans="1:37" x14ac:dyDescent="0.25">
      <c r="A568" s="86">
        <v>44744</v>
      </c>
      <c r="B568" t="str">
        <f t="shared" si="57"/>
        <v>Julio</v>
      </c>
      <c r="C568" s="1" t="s">
        <v>89</v>
      </c>
      <c r="D568" s="58" t="str">
        <f>VLOOKUP(Datos!$C568,$AQ$2:$AR$41,2,0)</f>
        <v>Centro</v>
      </c>
      <c r="E568" s="1">
        <v>23649</v>
      </c>
      <c r="F568" s="1" t="str">
        <f t="array" ref="F568">_xlfn.IFS(H568=0,"Alta sin facturar",H568&gt;2,"Cliente",H568&gt;0,"Cliente nuevo")</f>
        <v>Cliente nuevo</v>
      </c>
      <c r="G568" s="1"/>
      <c r="H568" s="1">
        <f t="shared" si="61"/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89">
        <v>0</v>
      </c>
      <c r="O568" s="89">
        <v>0</v>
      </c>
      <c r="P568" s="89">
        <v>1456.96</v>
      </c>
      <c r="Q568" s="54">
        <f t="shared" si="58"/>
        <v>1456.96</v>
      </c>
      <c r="R568" s="91">
        <v>735.44</v>
      </c>
      <c r="S568" s="92">
        <f t="shared" si="62"/>
        <v>1</v>
      </c>
      <c r="T568" s="59">
        <f t="shared" si="59"/>
        <v>721.52</v>
      </c>
      <c r="U568" s="60">
        <f t="shared" si="60"/>
        <v>0.50477707006369432</v>
      </c>
      <c r="V568" s="59" t="str">
        <f t="array" ref="V568">_xlfn.IFS(S568=0,"Alta sin facturar",S568&gt;2,"Cliente",S568&gt;0,"Cliente nuevo")</f>
        <v>Cliente nuevo</v>
      </c>
      <c r="W568" s="59" t="str">
        <f t="shared" si="63"/>
        <v>Ha pagado</v>
      </c>
    </row>
    <row r="569" spans="1:37" x14ac:dyDescent="0.25">
      <c r="A569" s="86">
        <v>44744</v>
      </c>
      <c r="B569" t="str">
        <f t="shared" si="57"/>
        <v>Julio</v>
      </c>
      <c r="C569" s="1" t="s">
        <v>74</v>
      </c>
      <c r="D569" s="58" t="str">
        <f>VLOOKUP(Datos!$C569,$AQ$2:$AR$41,2,0)</f>
        <v>Sur</v>
      </c>
      <c r="E569" s="1">
        <v>23650</v>
      </c>
      <c r="F569" s="1" t="str">
        <f t="array" ref="F569">_xlfn.IFS(H569=0,"Alta sin facturar",H569&gt;2,"Cliente",H569&gt;0,"Cliente nuevo")</f>
        <v>Cliente nuevo</v>
      </c>
      <c r="G569" s="1"/>
      <c r="H569" s="1">
        <f t="shared" si="61"/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89">
        <v>0</v>
      </c>
      <c r="O569" s="89">
        <v>0</v>
      </c>
      <c r="P569" s="89">
        <v>1459.2799999999997</v>
      </c>
      <c r="Q569" s="54">
        <f t="shared" si="58"/>
        <v>1459.2799999999997</v>
      </c>
      <c r="R569" s="91">
        <v>5162</v>
      </c>
      <c r="S569" s="92">
        <f t="shared" si="62"/>
        <v>1</v>
      </c>
      <c r="T569" s="59">
        <f t="shared" si="59"/>
        <v>-3702.7200000000003</v>
      </c>
      <c r="U569" s="60">
        <f t="shared" si="60"/>
        <v>3.5373608903020672</v>
      </c>
      <c r="V569" s="59" t="str">
        <f t="array" ref="V569">_xlfn.IFS(S569=0,"Alta sin facturar",S569&gt;2,"Cliente",S569&gt;0,"Cliente nuevo")</f>
        <v>Cliente nuevo</v>
      </c>
      <c r="W569" s="59" t="str">
        <f t="shared" si="63"/>
        <v>Sin pago</v>
      </c>
    </row>
    <row r="570" spans="1:37" x14ac:dyDescent="0.25">
      <c r="A570" s="86">
        <v>44746</v>
      </c>
      <c r="B570" t="str">
        <f t="shared" si="57"/>
        <v>Julio</v>
      </c>
      <c r="C570" s="1" t="s">
        <v>31</v>
      </c>
      <c r="D570" s="58" t="str">
        <f>VLOOKUP(Datos!$C570,$AQ$2:$AR$41,2,0)</f>
        <v>Centro</v>
      </c>
      <c r="E570" s="1">
        <v>23651</v>
      </c>
      <c r="F570" s="1" t="str">
        <f t="array" ref="F570">_xlfn.IFS(H570=0,"Alta sin facturar",H570&gt;2,"Cliente",H570&gt;0,"Cliente nuevo")</f>
        <v>Cliente nuevo</v>
      </c>
      <c r="G570" s="1"/>
      <c r="H570" s="1">
        <f t="shared" si="61"/>
        <v>2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89">
        <v>0</v>
      </c>
      <c r="O570" s="89">
        <v>735.43999999999994</v>
      </c>
      <c r="P570" s="89">
        <v>11622.040000000003</v>
      </c>
      <c r="Q570" s="54">
        <f t="shared" si="58"/>
        <v>12357.480000000003</v>
      </c>
      <c r="R570" s="91">
        <v>1015</v>
      </c>
      <c r="S570" s="92">
        <f t="shared" si="62"/>
        <v>2</v>
      </c>
      <c r="T570" s="59">
        <f t="shared" si="59"/>
        <v>11342.480000000003</v>
      </c>
      <c r="U570" s="60">
        <f t="shared" si="60"/>
        <v>8.2136487374448494E-2</v>
      </c>
      <c r="V570" s="59" t="str">
        <f t="array" ref="V570">_xlfn.IFS(S570=0,"Alta sin facturar",S570&gt;2,"Cliente",S570&gt;0,"Cliente nuevo")</f>
        <v>Cliente nuevo</v>
      </c>
      <c r="W570" s="59" t="str">
        <f t="shared" si="63"/>
        <v>Ha pagado</v>
      </c>
    </row>
    <row r="571" spans="1:37" x14ac:dyDescent="0.25">
      <c r="A571" s="86">
        <v>44746</v>
      </c>
      <c r="B571" t="str">
        <f t="shared" si="57"/>
        <v>Julio</v>
      </c>
      <c r="C571" s="1" t="s">
        <v>31</v>
      </c>
      <c r="D571" s="58" t="str">
        <f>VLOOKUP(Datos!$C571,$AQ$2:$AR$41,2,0)</f>
        <v>Centro</v>
      </c>
      <c r="E571" s="1">
        <v>23652</v>
      </c>
      <c r="F571" s="1" t="str">
        <f t="array" ref="F571">_xlfn.IFS(H571=0,"Alta sin facturar",H571&gt;2,"Cliente",H571&gt;0,"Cliente nuevo")</f>
        <v>Cliente nuevo</v>
      </c>
      <c r="G571" s="1"/>
      <c r="H571" s="1">
        <f t="shared" si="61"/>
        <v>1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89">
        <v>0</v>
      </c>
      <c r="O571" s="89">
        <v>0</v>
      </c>
      <c r="P571" s="89">
        <v>2610</v>
      </c>
      <c r="Q571" s="54">
        <f t="shared" si="58"/>
        <v>2610</v>
      </c>
      <c r="R571" s="91">
        <v>1564.84</v>
      </c>
      <c r="S571" s="92">
        <f t="shared" si="62"/>
        <v>1</v>
      </c>
      <c r="T571" s="59">
        <f t="shared" si="59"/>
        <v>1045.1600000000001</v>
      </c>
      <c r="U571" s="60">
        <f t="shared" si="60"/>
        <v>0.59955555555555551</v>
      </c>
      <c r="V571" s="59" t="str">
        <f t="array" ref="V571">_xlfn.IFS(S571=0,"Alta sin facturar",S571&gt;2,"Cliente",S571&gt;0,"Cliente nuevo")</f>
        <v>Cliente nuevo</v>
      </c>
      <c r="W571" s="59" t="str">
        <f t="shared" si="63"/>
        <v>Ha pagado</v>
      </c>
    </row>
    <row r="572" spans="1:37" x14ac:dyDescent="0.25">
      <c r="A572" s="86">
        <v>44746</v>
      </c>
      <c r="B572" t="str">
        <f t="shared" si="57"/>
        <v>Julio</v>
      </c>
      <c r="C572" s="1" t="s">
        <v>39</v>
      </c>
      <c r="D572" s="58" t="str">
        <f>VLOOKUP(Datos!$C572,$AQ$2:$AR$41,2,0)</f>
        <v>Sur</v>
      </c>
      <c r="E572" s="1">
        <v>23653</v>
      </c>
      <c r="F572" s="1" t="str">
        <f t="array" ref="F572">_xlfn.IFS(H572=0,"Alta sin facturar",H572&gt;2,"Cliente",H572&gt;0,"Cliente nuevo")</f>
        <v>Cliente nuevo</v>
      </c>
      <c r="G572" s="1"/>
      <c r="H572" s="1">
        <f t="shared" si="61"/>
        <v>2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89">
        <v>0</v>
      </c>
      <c r="O572" s="89">
        <v>1015</v>
      </c>
      <c r="P572" s="89">
        <v>3678.3599999999992</v>
      </c>
      <c r="Q572" s="54">
        <f t="shared" si="58"/>
        <v>4693.3599999999988</v>
      </c>
      <c r="R572" s="91"/>
      <c r="S572" s="92">
        <f t="shared" si="62"/>
        <v>2</v>
      </c>
      <c r="T572" s="59">
        <f t="shared" si="59"/>
        <v>4693.3599999999988</v>
      </c>
      <c r="U572" s="60">
        <f t="shared" si="60"/>
        <v>0</v>
      </c>
      <c r="V572" s="59" t="str">
        <f t="array" ref="V572">_xlfn.IFS(S572=0,"Alta sin facturar",S572&gt;2,"Cliente",S572&gt;0,"Cliente nuevo")</f>
        <v>Cliente nuevo</v>
      </c>
      <c r="W572" s="59" t="str">
        <f t="shared" si="63"/>
        <v>Ha pagado</v>
      </c>
    </row>
    <row r="573" spans="1:37" x14ac:dyDescent="0.25">
      <c r="A573" s="86">
        <v>44746</v>
      </c>
      <c r="B573" t="str">
        <f t="shared" si="57"/>
        <v>Julio</v>
      </c>
      <c r="C573" s="1" t="s">
        <v>39</v>
      </c>
      <c r="D573" s="58" t="str">
        <f>VLOOKUP(Datos!$C573,$AQ$2:$AR$41,2,0)</f>
        <v>Sur</v>
      </c>
      <c r="E573" s="1">
        <v>23654</v>
      </c>
      <c r="F573" s="1" t="str">
        <f t="array" ref="F573">_xlfn.IFS(H573=0,"Alta sin facturar",H573&gt;2,"Cliente",H573&gt;0,"Cliente nuevo")</f>
        <v>Cliente nuevo</v>
      </c>
      <c r="G573" s="1"/>
      <c r="H573" s="1">
        <f t="shared" si="61"/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89">
        <v>0</v>
      </c>
      <c r="O573" s="89">
        <v>1564.8399999999997</v>
      </c>
      <c r="P573" s="89">
        <v>0</v>
      </c>
      <c r="Q573" s="54">
        <f t="shared" si="58"/>
        <v>1564.8399999999997</v>
      </c>
      <c r="R573" s="91"/>
      <c r="S573" s="92">
        <f t="shared" si="62"/>
        <v>1</v>
      </c>
      <c r="T573" s="59">
        <f t="shared" si="59"/>
        <v>1564.8399999999997</v>
      </c>
      <c r="U573" s="60">
        <f t="shared" si="60"/>
        <v>0</v>
      </c>
      <c r="V573" s="59" t="str">
        <f t="array" ref="V573">_xlfn.IFS(S573=0,"Alta sin facturar",S573&gt;2,"Cliente",S573&gt;0,"Cliente nuevo")</f>
        <v>Cliente nuevo</v>
      </c>
      <c r="W573" s="59" t="str">
        <f t="shared" si="63"/>
        <v>Ha pagado</v>
      </c>
    </row>
    <row r="574" spans="1:37" x14ac:dyDescent="0.25">
      <c r="A574" s="86">
        <v>44746</v>
      </c>
      <c r="B574" t="str">
        <f t="shared" si="57"/>
        <v>Julio</v>
      </c>
      <c r="C574" s="1" t="s">
        <v>97</v>
      </c>
      <c r="D574" s="58" t="str">
        <f>VLOOKUP(Datos!$C574,$AQ$2:$AR$41,2,0)</f>
        <v>Centro</v>
      </c>
      <c r="E574" s="1">
        <v>23655</v>
      </c>
      <c r="F574" s="1" t="str">
        <f t="array" ref="F574">_xlfn.IFS(H574=0,"Alta sin facturar",H574&gt;2,"Cliente",H574&gt;0,"Cliente nuevo")</f>
        <v>Cliente nuevo</v>
      </c>
      <c r="G574" s="1"/>
      <c r="H574" s="1">
        <f t="shared" si="61"/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89">
        <v>0</v>
      </c>
      <c r="O574" s="89">
        <v>0</v>
      </c>
      <c r="P574" s="89">
        <v>191.4</v>
      </c>
      <c r="Q574" s="54">
        <f t="shared" si="58"/>
        <v>191.4</v>
      </c>
      <c r="R574" s="91">
        <v>1366.48</v>
      </c>
      <c r="S574" s="92">
        <f t="shared" si="62"/>
        <v>1</v>
      </c>
      <c r="T574" s="59">
        <f t="shared" si="59"/>
        <v>-1175.08</v>
      </c>
      <c r="U574" s="60">
        <f t="shared" si="60"/>
        <v>7.1393939393939396</v>
      </c>
      <c r="V574" s="59" t="str">
        <f t="array" ref="V574">_xlfn.IFS(S574=0,"Alta sin facturar",S574&gt;2,"Cliente",S574&gt;0,"Cliente nuevo")</f>
        <v>Cliente nuevo</v>
      </c>
      <c r="W574" s="59" t="str">
        <f t="shared" si="63"/>
        <v>Sin pago</v>
      </c>
    </row>
    <row r="575" spans="1:37" x14ac:dyDescent="0.25">
      <c r="A575" s="86">
        <v>44746</v>
      </c>
      <c r="B575" t="str">
        <f t="shared" si="57"/>
        <v>Julio</v>
      </c>
      <c r="C575" s="1" t="s">
        <v>97</v>
      </c>
      <c r="D575" s="58" t="str">
        <f>VLOOKUP(Datos!$C575,$AQ$2:$AR$41,2,0)</f>
        <v>Centro</v>
      </c>
      <c r="E575" s="1">
        <v>23656</v>
      </c>
      <c r="F575" s="1" t="str">
        <f t="array" ref="F575">_xlfn.IFS(H575=0,"Alta sin facturar",H575&gt;2,"Cliente",H575&gt;0,"Cliente nuevo")</f>
        <v>Alta sin facturar</v>
      </c>
      <c r="G575" s="1"/>
      <c r="H575" s="1">
        <f t="shared" si="61"/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89">
        <v>0</v>
      </c>
      <c r="O575" s="89">
        <v>0</v>
      </c>
      <c r="P575" s="89">
        <v>0</v>
      </c>
      <c r="Q575" s="54">
        <f t="shared" si="58"/>
        <v>0</v>
      </c>
      <c r="R575" s="91"/>
      <c r="S575" s="92">
        <f t="shared" si="62"/>
        <v>0</v>
      </c>
      <c r="T575" s="59">
        <f t="shared" si="59"/>
        <v>0</v>
      </c>
      <c r="U575" s="60">
        <f t="shared" si="60"/>
        <v>0</v>
      </c>
      <c r="V575" s="59" t="str">
        <f t="array" ref="V575">_xlfn.IFS(S575=0,"Alta sin facturar",S575&gt;2,"Cliente",S575&gt;0,"Cliente nuevo")</f>
        <v>Alta sin facturar</v>
      </c>
      <c r="W575" s="59" t="str">
        <f t="shared" si="63"/>
        <v>Sin pago</v>
      </c>
    </row>
    <row r="576" spans="1:37" x14ac:dyDescent="0.25">
      <c r="A576" s="86">
        <v>44747</v>
      </c>
      <c r="B576" t="str">
        <f t="shared" si="57"/>
        <v>Julio</v>
      </c>
      <c r="C576" s="1" t="s">
        <v>36</v>
      </c>
      <c r="D576" s="58" t="str">
        <f>VLOOKUP(Datos!$C576,$AQ$2:$AR$41,2,0)</f>
        <v>Magallanes</v>
      </c>
      <c r="E576" s="1">
        <v>23657</v>
      </c>
      <c r="F576" s="1" t="str">
        <f t="array" ref="F576">_xlfn.IFS(H576=0,"Alta sin facturar",H576&gt;2,"Cliente",H576&gt;0,"Cliente nuevo")</f>
        <v>Cliente nuevo</v>
      </c>
      <c r="G576" s="1"/>
      <c r="H576" s="1">
        <f t="shared" si="61"/>
        <v>1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89">
        <v>0</v>
      </c>
      <c r="O576" s="89">
        <v>1366.48</v>
      </c>
      <c r="P576" s="89">
        <v>0</v>
      </c>
      <c r="Q576" s="54">
        <f t="shared" si="58"/>
        <v>1366.48</v>
      </c>
      <c r="R576" s="91"/>
      <c r="S576" s="92">
        <f t="shared" si="62"/>
        <v>1</v>
      </c>
      <c r="T576" s="59">
        <f t="shared" si="59"/>
        <v>1366.48</v>
      </c>
      <c r="U576" s="60">
        <f t="shared" si="60"/>
        <v>0</v>
      </c>
      <c r="V576" s="59" t="str">
        <f t="array" ref="V576">_xlfn.IFS(S576=0,"Alta sin facturar",S576&gt;2,"Cliente",S576&gt;0,"Cliente nuevo")</f>
        <v>Cliente nuevo</v>
      </c>
      <c r="W576" s="59" t="str">
        <f t="shared" si="63"/>
        <v>Ha pagado</v>
      </c>
    </row>
    <row r="577" spans="1:23" x14ac:dyDescent="0.25">
      <c r="A577" s="86">
        <v>44747</v>
      </c>
      <c r="B577" t="str">
        <f t="shared" si="57"/>
        <v>Julio</v>
      </c>
      <c r="C577" s="1" t="s">
        <v>39</v>
      </c>
      <c r="D577" s="58" t="str">
        <f>VLOOKUP(Datos!$C577,$AQ$2:$AR$41,2,0)</f>
        <v>Sur</v>
      </c>
      <c r="E577" s="1">
        <v>23658</v>
      </c>
      <c r="F577" s="1" t="str">
        <f t="array" ref="F577">_xlfn.IFS(H577=0,"Alta sin facturar",H577&gt;2,"Cliente",H577&gt;0,"Cliente nuevo")</f>
        <v>Alta sin facturar</v>
      </c>
      <c r="G577" s="1"/>
      <c r="H577" s="1">
        <f t="shared" si="61"/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89">
        <v>0</v>
      </c>
      <c r="O577" s="89">
        <v>0</v>
      </c>
      <c r="P577" s="89">
        <v>0</v>
      </c>
      <c r="Q577" s="54">
        <f t="shared" si="58"/>
        <v>0</v>
      </c>
      <c r="R577" s="91"/>
      <c r="S577" s="92">
        <f t="shared" si="62"/>
        <v>0</v>
      </c>
      <c r="T577" s="59">
        <f t="shared" si="59"/>
        <v>0</v>
      </c>
      <c r="U577" s="60">
        <f t="shared" si="60"/>
        <v>0</v>
      </c>
      <c r="V577" s="59" t="str">
        <f t="array" ref="V577">_xlfn.IFS(S577=0,"Alta sin facturar",S577&gt;2,"Cliente",S577&gt;0,"Cliente nuevo")</f>
        <v>Alta sin facturar</v>
      </c>
      <c r="W577" s="59" t="str">
        <f t="shared" si="63"/>
        <v>Sin pago</v>
      </c>
    </row>
    <row r="578" spans="1:23" x14ac:dyDescent="0.25">
      <c r="A578" s="86">
        <v>44747</v>
      </c>
      <c r="B578" t="str">
        <f t="shared" ref="B578:B641" si="64">PROPER(TEXT(A578,"mmmm"))</f>
        <v>Julio</v>
      </c>
      <c r="C578" s="1" t="s">
        <v>33</v>
      </c>
      <c r="D578" s="58" t="str">
        <f>VLOOKUP(Datos!$C578,$AQ$2:$AR$41,2,0)</f>
        <v>Magallanes</v>
      </c>
      <c r="E578" s="1">
        <v>23659</v>
      </c>
      <c r="F578" s="1" t="str">
        <f t="array" ref="F578">_xlfn.IFS(H578=0,"Alta sin facturar",H578&gt;2,"Cliente",H578&gt;0,"Cliente nuevo")</f>
        <v>Cliente nuevo</v>
      </c>
      <c r="G578" s="1"/>
      <c r="H578" s="1">
        <f t="shared" si="61"/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89">
        <v>0</v>
      </c>
      <c r="O578" s="89">
        <v>0</v>
      </c>
      <c r="P578" s="89">
        <v>9989.9200000000092</v>
      </c>
      <c r="Q578" s="54">
        <f t="shared" ref="Q578:Q641" si="65">SUBTOTAL(109,I578:P578)</f>
        <v>9989.9200000000092</v>
      </c>
      <c r="R578" s="91">
        <v>27037.279999999999</v>
      </c>
      <c r="S578" s="92">
        <f t="shared" si="62"/>
        <v>1</v>
      </c>
      <c r="T578" s="59">
        <f t="shared" ref="T578:T641" si="66">Q578-R578</f>
        <v>-17047.35999999999</v>
      </c>
      <c r="U578" s="60">
        <f t="shared" ref="U578:U641" si="67">IF(Q578=0,0,R578/Q578)</f>
        <v>2.7064561077566163</v>
      </c>
      <c r="V578" s="59" t="str">
        <f t="array" ref="V578">_xlfn.IFS(S578=0,"Alta sin facturar",S578&gt;2,"Cliente",S578&gt;0,"Cliente nuevo")</f>
        <v>Cliente nuevo</v>
      </c>
      <c r="W578" s="59" t="str">
        <f t="shared" si="63"/>
        <v>Sin pago</v>
      </c>
    </row>
    <row r="579" spans="1:23" x14ac:dyDescent="0.25">
      <c r="A579" s="86">
        <v>44747</v>
      </c>
      <c r="B579" t="str">
        <f t="shared" si="64"/>
        <v>Julio</v>
      </c>
      <c r="C579" s="1" t="s">
        <v>36</v>
      </c>
      <c r="D579" s="58" t="str">
        <f>VLOOKUP(Datos!$C579,$AQ$2:$AR$41,2,0)</f>
        <v>Magallanes</v>
      </c>
      <c r="E579" s="1">
        <v>23660</v>
      </c>
      <c r="F579" s="1" t="str">
        <f t="array" ref="F579">_xlfn.IFS(H579=0,"Alta sin facturar",H579&gt;2,"Cliente",H579&gt;0,"Cliente nuevo")</f>
        <v>Alta sin facturar</v>
      </c>
      <c r="G579" s="1"/>
      <c r="H579" s="1">
        <f t="shared" ref="H579:H642" si="68">COUNTIF(I579:P579,"&gt;0")</f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89">
        <v>0</v>
      </c>
      <c r="O579" s="89">
        <v>0</v>
      </c>
      <c r="P579" s="89">
        <v>0</v>
      </c>
      <c r="Q579" s="54">
        <f t="shared" si="65"/>
        <v>0</v>
      </c>
      <c r="R579" s="91"/>
      <c r="S579" s="92">
        <f t="shared" ref="S579:S642" si="69">COUNTIF(I579:P579,"&gt;0")</f>
        <v>0</v>
      </c>
      <c r="T579" s="59">
        <f t="shared" si="66"/>
        <v>0</v>
      </c>
      <c r="U579" s="60">
        <f t="shared" si="67"/>
        <v>0</v>
      </c>
      <c r="V579" s="59" t="str">
        <f t="array" ref="V579">_xlfn.IFS(S579=0,"Alta sin facturar",S579&gt;2,"Cliente",S579&gt;0,"Cliente nuevo")</f>
        <v>Alta sin facturar</v>
      </c>
      <c r="W579" s="59" t="str">
        <f t="shared" ref="W579:W642" si="70">IF(T579&lt;1,"Sin pago","Ha pagado")</f>
        <v>Sin pago</v>
      </c>
    </row>
    <row r="580" spans="1:23" x14ac:dyDescent="0.25">
      <c r="A580" s="86">
        <v>44747</v>
      </c>
      <c r="B580" t="str">
        <f t="shared" si="64"/>
        <v>Julio</v>
      </c>
      <c r="C580" s="1" t="s">
        <v>102</v>
      </c>
      <c r="D580" s="58" t="str">
        <f>VLOOKUP(Datos!$C580,$AQ$2:$AR$41,2,0)</f>
        <v>Sur</v>
      </c>
      <c r="E580" s="1">
        <v>23661</v>
      </c>
      <c r="F580" s="1" t="str">
        <f t="array" ref="F580">_xlfn.IFS(H580=0,"Alta sin facturar",H580&gt;2,"Cliente",H580&gt;0,"Cliente nuevo")</f>
        <v>Cliente nuevo</v>
      </c>
      <c r="G580" s="1"/>
      <c r="H580" s="1">
        <f t="shared" si="68"/>
        <v>2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89">
        <v>0</v>
      </c>
      <c r="O580" s="89">
        <v>5772.1600000000008</v>
      </c>
      <c r="P580" s="89">
        <v>4144.68</v>
      </c>
      <c r="Q580" s="54">
        <f t="shared" si="65"/>
        <v>9916.84</v>
      </c>
      <c r="R580" s="91">
        <v>2139.04</v>
      </c>
      <c r="S580" s="92">
        <f t="shared" si="69"/>
        <v>2</v>
      </c>
      <c r="T580" s="59">
        <f t="shared" si="66"/>
        <v>7777.8</v>
      </c>
      <c r="U580" s="60">
        <f t="shared" si="67"/>
        <v>0.21569774242601472</v>
      </c>
      <c r="V580" s="59" t="str">
        <f t="array" ref="V580">_xlfn.IFS(S580=0,"Alta sin facturar",S580&gt;2,"Cliente",S580&gt;0,"Cliente nuevo")</f>
        <v>Cliente nuevo</v>
      </c>
      <c r="W580" s="59" t="str">
        <f t="shared" si="70"/>
        <v>Ha pagado</v>
      </c>
    </row>
    <row r="581" spans="1:23" x14ac:dyDescent="0.25">
      <c r="A581" s="86">
        <v>44748</v>
      </c>
      <c r="B581" t="str">
        <f t="shared" si="64"/>
        <v>Julio</v>
      </c>
      <c r="C581" s="1" t="s">
        <v>40</v>
      </c>
      <c r="D581" s="58" t="str">
        <f>VLOOKUP(Datos!$C581,$AQ$2:$AR$41,2,0)</f>
        <v>Centro</v>
      </c>
      <c r="E581" s="1">
        <v>23662</v>
      </c>
      <c r="F581" s="1" t="str">
        <f t="array" ref="F581">_xlfn.IFS(H581=0,"Alta sin facturar",H581&gt;2,"Cliente",H581&gt;0,"Cliente nuevo")</f>
        <v>Cliente nuevo</v>
      </c>
      <c r="G581" s="1"/>
      <c r="H581" s="1">
        <f t="shared" si="68"/>
        <v>2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89">
        <v>0</v>
      </c>
      <c r="O581" s="89">
        <v>12094.160000000005</v>
      </c>
      <c r="P581" s="89">
        <v>11746.160000000013</v>
      </c>
      <c r="Q581" s="54">
        <f t="shared" si="65"/>
        <v>23840.320000000018</v>
      </c>
      <c r="R581" s="91"/>
      <c r="S581" s="92">
        <f t="shared" si="69"/>
        <v>2</v>
      </c>
      <c r="T581" s="59">
        <f t="shared" si="66"/>
        <v>23840.320000000018</v>
      </c>
      <c r="U581" s="60">
        <f t="shared" si="67"/>
        <v>0</v>
      </c>
      <c r="V581" s="59" t="str">
        <f t="array" ref="V581">_xlfn.IFS(S581=0,"Alta sin facturar",S581&gt;2,"Cliente",S581&gt;0,"Cliente nuevo")</f>
        <v>Cliente nuevo</v>
      </c>
      <c r="W581" s="59" t="str">
        <f t="shared" si="70"/>
        <v>Ha pagado</v>
      </c>
    </row>
    <row r="582" spans="1:23" x14ac:dyDescent="0.25">
      <c r="A582" s="86">
        <v>44748</v>
      </c>
      <c r="B582" t="str">
        <f t="shared" si="64"/>
        <v>Julio</v>
      </c>
      <c r="C582" s="1" t="s">
        <v>59</v>
      </c>
      <c r="D582" s="58" t="str">
        <f>VLOOKUP(Datos!$C582,$AQ$2:$AR$41,2,0)</f>
        <v>Magallanes</v>
      </c>
      <c r="E582" s="1">
        <v>23663</v>
      </c>
      <c r="F582" s="1" t="str">
        <f t="array" ref="F582">_xlfn.IFS(H582=0,"Alta sin facturar",H582&gt;2,"Cliente",H582&gt;0,"Cliente nuevo")</f>
        <v>Cliente nuevo</v>
      </c>
      <c r="G582" s="1"/>
      <c r="H582" s="1">
        <f t="shared" si="68"/>
        <v>2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89">
        <v>0</v>
      </c>
      <c r="O582" s="89">
        <v>2139.0399999999995</v>
      </c>
      <c r="P582" s="89">
        <v>4493.8400000000011</v>
      </c>
      <c r="Q582" s="54">
        <f t="shared" si="65"/>
        <v>6632.880000000001</v>
      </c>
      <c r="R582" s="91"/>
      <c r="S582" s="92">
        <f t="shared" si="69"/>
        <v>2</v>
      </c>
      <c r="T582" s="59">
        <f t="shared" si="66"/>
        <v>6632.880000000001</v>
      </c>
      <c r="U582" s="60">
        <f t="shared" si="67"/>
        <v>0</v>
      </c>
      <c r="V582" s="59" t="str">
        <f t="array" ref="V582">_xlfn.IFS(S582=0,"Alta sin facturar",S582&gt;2,"Cliente",S582&gt;0,"Cliente nuevo")</f>
        <v>Cliente nuevo</v>
      </c>
      <c r="W582" s="59" t="str">
        <f t="shared" si="70"/>
        <v>Ha pagado</v>
      </c>
    </row>
    <row r="583" spans="1:23" x14ac:dyDescent="0.25">
      <c r="A583" s="86">
        <v>44748</v>
      </c>
      <c r="B583" t="str">
        <f t="shared" si="64"/>
        <v>Julio</v>
      </c>
      <c r="C583" s="1" t="s">
        <v>99</v>
      </c>
      <c r="D583" s="58" t="str">
        <f>VLOOKUP(Datos!$C583,$AQ$2:$AR$41,2,0)</f>
        <v>Centro</v>
      </c>
      <c r="E583" s="1">
        <v>23664</v>
      </c>
      <c r="F583" s="1" t="str">
        <f t="array" ref="F583">_xlfn.IFS(H583=0,"Alta sin facturar",H583&gt;2,"Cliente",H583&gt;0,"Cliente nuevo")</f>
        <v>Alta sin facturar</v>
      </c>
      <c r="G583" s="1"/>
      <c r="H583" s="1">
        <f t="shared" si="68"/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89">
        <v>0</v>
      </c>
      <c r="O583" s="89">
        <v>0</v>
      </c>
      <c r="P583" s="89">
        <v>0</v>
      </c>
      <c r="Q583" s="54">
        <f t="shared" si="65"/>
        <v>0</v>
      </c>
      <c r="R583" s="91">
        <v>1912.84</v>
      </c>
      <c r="S583" s="92">
        <f t="shared" si="69"/>
        <v>0</v>
      </c>
      <c r="T583" s="59">
        <f t="shared" si="66"/>
        <v>-1912.84</v>
      </c>
      <c r="U583" s="60">
        <f t="shared" si="67"/>
        <v>0</v>
      </c>
      <c r="V583" s="59" t="str">
        <f t="array" ref="V583">_xlfn.IFS(S583=0,"Alta sin facturar",S583&gt;2,"Cliente",S583&gt;0,"Cliente nuevo")</f>
        <v>Alta sin facturar</v>
      </c>
      <c r="W583" s="59" t="str">
        <f t="shared" si="70"/>
        <v>Sin pago</v>
      </c>
    </row>
    <row r="584" spans="1:23" x14ac:dyDescent="0.25">
      <c r="A584" s="86">
        <v>44748</v>
      </c>
      <c r="B584" t="str">
        <f t="shared" si="64"/>
        <v>Julio</v>
      </c>
      <c r="C584" s="1" t="s">
        <v>59</v>
      </c>
      <c r="D584" s="58" t="str">
        <f>VLOOKUP(Datos!$C584,$AQ$2:$AR$41,2,0)</f>
        <v>Magallanes</v>
      </c>
      <c r="E584" s="1">
        <v>23665</v>
      </c>
      <c r="F584" s="1" t="str">
        <f t="array" ref="F584">_xlfn.IFS(H584=0,"Alta sin facturar",H584&gt;2,"Cliente",H584&gt;0,"Cliente nuevo")</f>
        <v>Alta sin facturar</v>
      </c>
      <c r="G584" s="1"/>
      <c r="H584" s="1">
        <f t="shared" si="68"/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89">
        <v>0</v>
      </c>
      <c r="O584" s="89">
        <v>0</v>
      </c>
      <c r="P584" s="89">
        <v>0</v>
      </c>
      <c r="Q584" s="54">
        <f t="shared" si="65"/>
        <v>0</v>
      </c>
      <c r="R584" s="91">
        <v>754</v>
      </c>
      <c r="S584" s="92">
        <f t="shared" si="69"/>
        <v>0</v>
      </c>
      <c r="T584" s="59">
        <f t="shared" si="66"/>
        <v>-754</v>
      </c>
      <c r="U584" s="60">
        <f t="shared" si="67"/>
        <v>0</v>
      </c>
      <c r="V584" s="59" t="str">
        <f t="array" ref="V584">_xlfn.IFS(S584=0,"Alta sin facturar",S584&gt;2,"Cliente",S584&gt;0,"Cliente nuevo")</f>
        <v>Alta sin facturar</v>
      </c>
      <c r="W584" s="59" t="str">
        <f t="shared" si="70"/>
        <v>Sin pago</v>
      </c>
    </row>
    <row r="585" spans="1:23" x14ac:dyDescent="0.25">
      <c r="A585" s="86">
        <v>44749</v>
      </c>
      <c r="B585" t="str">
        <f t="shared" si="64"/>
        <v>Julio</v>
      </c>
      <c r="C585" s="1" t="s">
        <v>97</v>
      </c>
      <c r="D585" s="58" t="str">
        <f>VLOOKUP(Datos!$C585,$AQ$2:$AR$41,2,0)</f>
        <v>Centro</v>
      </c>
      <c r="E585" s="1">
        <v>23666</v>
      </c>
      <c r="F585" s="1" t="str">
        <f t="array" ref="F585">_xlfn.IFS(H585=0,"Alta sin facturar",H585&gt;2,"Cliente",H585&gt;0,"Cliente nuevo")</f>
        <v>Cliente nuevo</v>
      </c>
      <c r="G585" s="1"/>
      <c r="H585" s="1">
        <f t="shared" si="68"/>
        <v>1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89">
        <v>0</v>
      </c>
      <c r="O585" s="89">
        <v>2394.2399999999998</v>
      </c>
      <c r="P585" s="89">
        <v>0</v>
      </c>
      <c r="Q585" s="54">
        <f t="shared" si="65"/>
        <v>2394.2399999999998</v>
      </c>
      <c r="R585" s="91"/>
      <c r="S585" s="92">
        <f t="shared" si="69"/>
        <v>1</v>
      </c>
      <c r="T585" s="59">
        <f t="shared" si="66"/>
        <v>2394.2399999999998</v>
      </c>
      <c r="U585" s="60">
        <f t="shared" si="67"/>
        <v>0</v>
      </c>
      <c r="V585" s="59" t="str">
        <f t="array" ref="V585">_xlfn.IFS(S585=0,"Alta sin facturar",S585&gt;2,"Cliente",S585&gt;0,"Cliente nuevo")</f>
        <v>Cliente nuevo</v>
      </c>
      <c r="W585" s="59" t="str">
        <f t="shared" si="70"/>
        <v>Ha pagado</v>
      </c>
    </row>
    <row r="586" spans="1:23" x14ac:dyDescent="0.25">
      <c r="A586" s="86">
        <v>44749</v>
      </c>
      <c r="B586" t="str">
        <f t="shared" si="64"/>
        <v>Julio</v>
      </c>
      <c r="C586" s="1" t="s">
        <v>97</v>
      </c>
      <c r="D586" s="58" t="str">
        <f>VLOOKUP(Datos!$C586,$AQ$2:$AR$41,2,0)</f>
        <v>Centro</v>
      </c>
      <c r="E586" s="1">
        <v>23667</v>
      </c>
      <c r="F586" s="1" t="str">
        <f t="array" ref="F586">_xlfn.IFS(H586=0,"Alta sin facturar",H586&gt;2,"Cliente",H586&gt;0,"Cliente nuevo")</f>
        <v>Cliente nuevo</v>
      </c>
      <c r="G586" s="1"/>
      <c r="H586" s="1">
        <f t="shared" si="68"/>
        <v>1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89">
        <v>0</v>
      </c>
      <c r="O586" s="89">
        <v>57.999999999999993</v>
      </c>
      <c r="P586" s="89">
        <v>0</v>
      </c>
      <c r="Q586" s="54">
        <f t="shared" si="65"/>
        <v>57.999999999999993</v>
      </c>
      <c r="R586" s="91"/>
      <c r="S586" s="92">
        <f t="shared" si="69"/>
        <v>1</v>
      </c>
      <c r="T586" s="59">
        <f t="shared" si="66"/>
        <v>57.999999999999993</v>
      </c>
      <c r="U586" s="60">
        <f t="shared" si="67"/>
        <v>0</v>
      </c>
      <c r="V586" s="59" t="str">
        <f t="array" ref="V586">_xlfn.IFS(S586=0,"Alta sin facturar",S586&gt;2,"Cliente",S586&gt;0,"Cliente nuevo")</f>
        <v>Cliente nuevo</v>
      </c>
      <c r="W586" s="59" t="str">
        <f t="shared" si="70"/>
        <v>Ha pagado</v>
      </c>
    </row>
    <row r="587" spans="1:23" x14ac:dyDescent="0.25">
      <c r="A587" s="86">
        <v>44749</v>
      </c>
      <c r="B587" t="str">
        <f t="shared" si="64"/>
        <v>Julio</v>
      </c>
      <c r="C587" s="1" t="s">
        <v>31</v>
      </c>
      <c r="D587" s="58" t="str">
        <f>VLOOKUP(Datos!$C587,$AQ$2:$AR$41,2,0)</f>
        <v>Centro</v>
      </c>
      <c r="E587" s="1">
        <v>23668</v>
      </c>
      <c r="F587" s="1" t="str">
        <f t="array" ref="F587">_xlfn.IFS(H587=0,"Alta sin facturar",H587&gt;2,"Cliente",H587&gt;0,"Cliente nuevo")</f>
        <v>Alta sin facturar</v>
      </c>
      <c r="G587" s="1"/>
      <c r="H587" s="1">
        <f t="shared" si="68"/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89">
        <v>0</v>
      </c>
      <c r="O587" s="89">
        <v>0</v>
      </c>
      <c r="P587" s="89">
        <v>0</v>
      </c>
      <c r="Q587" s="54">
        <f t="shared" si="65"/>
        <v>0</v>
      </c>
      <c r="R587" s="91">
        <v>2289.84</v>
      </c>
      <c r="S587" s="92">
        <f t="shared" si="69"/>
        <v>0</v>
      </c>
      <c r="T587" s="59">
        <f t="shared" si="66"/>
        <v>-2289.84</v>
      </c>
      <c r="U587" s="60">
        <f t="shared" si="67"/>
        <v>0</v>
      </c>
      <c r="V587" s="59" t="str">
        <f t="array" ref="V587">_xlfn.IFS(S587=0,"Alta sin facturar",S587&gt;2,"Cliente",S587&gt;0,"Cliente nuevo")</f>
        <v>Alta sin facturar</v>
      </c>
      <c r="W587" s="59" t="str">
        <f t="shared" si="70"/>
        <v>Sin pago</v>
      </c>
    </row>
    <row r="588" spans="1:23" x14ac:dyDescent="0.25">
      <c r="A588" s="86">
        <v>44749</v>
      </c>
      <c r="B588" t="str">
        <f t="shared" si="64"/>
        <v>Julio</v>
      </c>
      <c r="C588" s="1" t="s">
        <v>31</v>
      </c>
      <c r="D588" s="58" t="str">
        <f>VLOOKUP(Datos!$C588,$AQ$2:$AR$41,2,0)</f>
        <v>Centro</v>
      </c>
      <c r="E588" s="1">
        <v>23669</v>
      </c>
      <c r="F588" s="1" t="str">
        <f t="array" ref="F588">_xlfn.IFS(H588=0,"Alta sin facturar",H588&gt;2,"Cliente",H588&gt;0,"Cliente nuevo")</f>
        <v>Cliente nuevo</v>
      </c>
      <c r="G588" s="1"/>
      <c r="H588" s="1">
        <f t="shared" si="68"/>
        <v>1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89">
        <v>0</v>
      </c>
      <c r="O588" s="89">
        <v>0</v>
      </c>
      <c r="P588" s="89">
        <v>203</v>
      </c>
      <c r="Q588" s="54">
        <f t="shared" si="65"/>
        <v>203</v>
      </c>
      <c r="R588" s="91">
        <v>0</v>
      </c>
      <c r="S588" s="92">
        <f t="shared" si="69"/>
        <v>1</v>
      </c>
      <c r="T588" s="59">
        <f t="shared" si="66"/>
        <v>203</v>
      </c>
      <c r="U588" s="60">
        <f t="shared" si="67"/>
        <v>0</v>
      </c>
      <c r="V588" s="59" t="str">
        <f t="array" ref="V588">_xlfn.IFS(S588=0,"Alta sin facturar",S588&gt;2,"Cliente",S588&gt;0,"Cliente nuevo")</f>
        <v>Cliente nuevo</v>
      </c>
      <c r="W588" s="59" t="str">
        <f t="shared" si="70"/>
        <v>Ha pagado</v>
      </c>
    </row>
    <row r="589" spans="1:23" x14ac:dyDescent="0.25">
      <c r="A589" s="86">
        <v>44749</v>
      </c>
      <c r="B589" t="str">
        <f t="shared" si="64"/>
        <v>Julio</v>
      </c>
      <c r="C589" s="1" t="s">
        <v>62</v>
      </c>
      <c r="D589" s="58" t="str">
        <f>VLOOKUP(Datos!$C589,$AQ$2:$AR$41,2,0)</f>
        <v>Norte</v>
      </c>
      <c r="E589" s="1">
        <v>23670</v>
      </c>
      <c r="F589" s="1" t="str">
        <f t="array" ref="F589">_xlfn.IFS(H589=0,"Alta sin facturar",H589&gt;2,"Cliente",H589&gt;0,"Cliente nuevo")</f>
        <v>Cliente nuevo</v>
      </c>
      <c r="G589" s="1"/>
      <c r="H589" s="1">
        <f t="shared" si="68"/>
        <v>2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89">
        <v>0</v>
      </c>
      <c r="O589" s="89">
        <v>2289.84</v>
      </c>
      <c r="P589" s="89">
        <v>3901.0799999999995</v>
      </c>
      <c r="Q589" s="54">
        <f t="shared" si="65"/>
        <v>6190.92</v>
      </c>
      <c r="R589" s="91">
        <v>5632.96</v>
      </c>
      <c r="S589" s="92">
        <f t="shared" si="69"/>
        <v>2</v>
      </c>
      <c r="T589" s="59">
        <f t="shared" si="66"/>
        <v>557.96</v>
      </c>
      <c r="U589" s="60">
        <f t="shared" si="67"/>
        <v>0.90987446130785088</v>
      </c>
      <c r="V589" s="59" t="str">
        <f t="array" ref="V589">_xlfn.IFS(S589=0,"Alta sin facturar",S589&gt;2,"Cliente",S589&gt;0,"Cliente nuevo")</f>
        <v>Cliente nuevo</v>
      </c>
      <c r="W589" s="59" t="str">
        <f t="shared" si="70"/>
        <v>Ha pagado</v>
      </c>
    </row>
    <row r="590" spans="1:23" x14ac:dyDescent="0.25">
      <c r="A590" s="86">
        <v>44749</v>
      </c>
      <c r="B590" t="str">
        <f t="shared" si="64"/>
        <v>Julio</v>
      </c>
      <c r="C590" s="1" t="s">
        <v>89</v>
      </c>
      <c r="D590" s="58" t="str">
        <f>VLOOKUP(Datos!$C590,$AQ$2:$AR$41,2,0)</f>
        <v>Centro</v>
      </c>
      <c r="E590" s="1">
        <v>23671</v>
      </c>
      <c r="F590" s="1" t="str">
        <f t="array" ref="F590">_xlfn.IFS(H590=0,"Alta sin facturar",H590&gt;2,"Cliente",H590&gt;0,"Cliente nuevo")</f>
        <v>Cliente nuevo</v>
      </c>
      <c r="G590" s="1"/>
      <c r="H590" s="1">
        <f t="shared" si="68"/>
        <v>2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89">
        <v>0</v>
      </c>
      <c r="O590" s="89">
        <v>110.19999999999999</v>
      </c>
      <c r="P590" s="89">
        <v>440.79999999999995</v>
      </c>
      <c r="Q590" s="54">
        <f t="shared" si="65"/>
        <v>551</v>
      </c>
      <c r="R590" s="91"/>
      <c r="S590" s="92">
        <f t="shared" si="69"/>
        <v>2</v>
      </c>
      <c r="T590" s="59">
        <f t="shared" si="66"/>
        <v>551</v>
      </c>
      <c r="U590" s="60">
        <f t="shared" si="67"/>
        <v>0</v>
      </c>
      <c r="V590" s="59" t="str">
        <f t="array" ref="V590">_xlfn.IFS(S590=0,"Alta sin facturar",S590&gt;2,"Cliente",S590&gt;0,"Cliente nuevo")</f>
        <v>Cliente nuevo</v>
      </c>
      <c r="W590" s="59" t="str">
        <f t="shared" si="70"/>
        <v>Ha pagado</v>
      </c>
    </row>
    <row r="591" spans="1:23" x14ac:dyDescent="0.25">
      <c r="A591" s="86">
        <v>44749</v>
      </c>
      <c r="B591" t="str">
        <f t="shared" si="64"/>
        <v>Julio</v>
      </c>
      <c r="C591" s="1" t="s">
        <v>66</v>
      </c>
      <c r="D591" s="58" t="str">
        <f>VLOOKUP(Datos!$C591,$AQ$2:$AR$41,2,0)</f>
        <v>Sur</v>
      </c>
      <c r="E591" s="1">
        <v>23672</v>
      </c>
      <c r="F591" s="1" t="str">
        <f t="array" ref="F591">_xlfn.IFS(H591=0,"Alta sin facturar",H591&gt;2,"Cliente",H591&gt;0,"Cliente nuevo")</f>
        <v>Cliente nuevo</v>
      </c>
      <c r="G591" s="1"/>
      <c r="H591" s="1">
        <f t="shared" si="68"/>
        <v>1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89">
        <v>0</v>
      </c>
      <c r="O591" s="89">
        <v>0</v>
      </c>
      <c r="P591" s="89">
        <v>15538.199999999993</v>
      </c>
      <c r="Q591" s="54">
        <f t="shared" si="65"/>
        <v>15538.199999999993</v>
      </c>
      <c r="R591" s="91">
        <v>911.76</v>
      </c>
      <c r="S591" s="92">
        <f t="shared" si="69"/>
        <v>1</v>
      </c>
      <c r="T591" s="59">
        <f t="shared" si="66"/>
        <v>14626.439999999993</v>
      </c>
      <c r="U591" s="60">
        <f t="shared" si="67"/>
        <v>5.8678611422172476E-2</v>
      </c>
      <c r="V591" s="59" t="str">
        <f t="array" ref="V591">_xlfn.IFS(S591=0,"Alta sin facturar",S591&gt;2,"Cliente",S591&gt;0,"Cliente nuevo")</f>
        <v>Cliente nuevo</v>
      </c>
      <c r="W591" s="59" t="str">
        <f t="shared" si="70"/>
        <v>Ha pagado</v>
      </c>
    </row>
    <row r="592" spans="1:23" x14ac:dyDescent="0.25">
      <c r="A592" s="86">
        <v>44749</v>
      </c>
      <c r="B592" t="str">
        <f t="shared" si="64"/>
        <v>Julio</v>
      </c>
      <c r="C592" s="1" t="s">
        <v>40</v>
      </c>
      <c r="D592" s="58" t="str">
        <f>VLOOKUP(Datos!$C592,$AQ$2:$AR$41,2,0)</f>
        <v>Centro</v>
      </c>
      <c r="E592" s="1">
        <v>23673</v>
      </c>
      <c r="F592" s="1" t="str">
        <f t="array" ref="F592">_xlfn.IFS(H592=0,"Alta sin facturar",H592&gt;2,"Cliente",H592&gt;0,"Cliente nuevo")</f>
        <v>Cliente nuevo</v>
      </c>
      <c r="G592" s="1"/>
      <c r="H592" s="1">
        <f t="shared" si="68"/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89">
        <v>0</v>
      </c>
      <c r="O592" s="89">
        <v>0</v>
      </c>
      <c r="P592" s="89">
        <v>3828</v>
      </c>
      <c r="Q592" s="54">
        <f t="shared" si="65"/>
        <v>3828</v>
      </c>
      <c r="R592" s="91"/>
      <c r="S592" s="92">
        <f t="shared" si="69"/>
        <v>1</v>
      </c>
      <c r="T592" s="59">
        <f t="shared" si="66"/>
        <v>3828</v>
      </c>
      <c r="U592" s="60">
        <f t="shared" si="67"/>
        <v>0</v>
      </c>
      <c r="V592" s="59" t="str">
        <f t="array" ref="V592">_xlfn.IFS(S592=0,"Alta sin facturar",S592&gt;2,"Cliente",S592&gt;0,"Cliente nuevo")</f>
        <v>Cliente nuevo</v>
      </c>
      <c r="W592" s="59" t="str">
        <f t="shared" si="70"/>
        <v>Ha pagado</v>
      </c>
    </row>
    <row r="593" spans="1:23" x14ac:dyDescent="0.25">
      <c r="A593" s="86">
        <v>44749</v>
      </c>
      <c r="B593" t="str">
        <f t="shared" si="64"/>
        <v>Julio</v>
      </c>
      <c r="C593" s="1" t="s">
        <v>62</v>
      </c>
      <c r="D593" s="58" t="str">
        <f>VLOOKUP(Datos!$C593,$AQ$2:$AR$41,2,0)</f>
        <v>Norte</v>
      </c>
      <c r="E593" s="1">
        <v>23674</v>
      </c>
      <c r="F593" s="1" t="str">
        <f t="array" ref="F593">_xlfn.IFS(H593=0,"Alta sin facturar",H593&gt;2,"Cliente",H593&gt;0,"Cliente nuevo")</f>
        <v>Cliente nuevo</v>
      </c>
      <c r="G593" s="1"/>
      <c r="H593" s="1">
        <f t="shared" si="68"/>
        <v>2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89">
        <v>0</v>
      </c>
      <c r="O593" s="89">
        <v>911.75999999999988</v>
      </c>
      <c r="P593" s="89">
        <v>416.44</v>
      </c>
      <c r="Q593" s="54">
        <f t="shared" si="65"/>
        <v>1328.1999999999998</v>
      </c>
      <c r="R593" s="91"/>
      <c r="S593" s="92">
        <f t="shared" si="69"/>
        <v>2</v>
      </c>
      <c r="T593" s="59">
        <f t="shared" si="66"/>
        <v>1328.1999999999998</v>
      </c>
      <c r="U593" s="60">
        <f t="shared" si="67"/>
        <v>0</v>
      </c>
      <c r="V593" s="59" t="str">
        <f t="array" ref="V593">_xlfn.IFS(S593=0,"Alta sin facturar",S593&gt;2,"Cliente",S593&gt;0,"Cliente nuevo")</f>
        <v>Cliente nuevo</v>
      </c>
      <c r="W593" s="59" t="str">
        <f t="shared" si="70"/>
        <v>Ha pagado</v>
      </c>
    </row>
    <row r="594" spans="1:23" x14ac:dyDescent="0.25">
      <c r="A594" s="86">
        <v>44749</v>
      </c>
      <c r="B594" t="str">
        <f t="shared" si="64"/>
        <v>Julio</v>
      </c>
      <c r="C594" s="1" t="s">
        <v>62</v>
      </c>
      <c r="D594" s="58" t="str">
        <f>VLOOKUP(Datos!$C594,$AQ$2:$AR$41,2,0)</f>
        <v>Norte</v>
      </c>
      <c r="E594" s="1">
        <v>23675</v>
      </c>
      <c r="F594" s="1" t="str">
        <f t="array" ref="F594">_xlfn.IFS(H594=0,"Alta sin facturar",H594&gt;2,"Cliente",H594&gt;0,"Cliente nuevo")</f>
        <v>Alta sin facturar</v>
      </c>
      <c r="G594" s="1"/>
      <c r="H594" s="1">
        <f t="shared" si="68"/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89">
        <v>0</v>
      </c>
      <c r="O594" s="89">
        <v>0</v>
      </c>
      <c r="P594" s="89">
        <v>0</v>
      </c>
      <c r="Q594" s="54">
        <f t="shared" si="65"/>
        <v>0</v>
      </c>
      <c r="R594" s="91"/>
      <c r="S594" s="92">
        <f t="shared" si="69"/>
        <v>0</v>
      </c>
      <c r="T594" s="59">
        <f t="shared" si="66"/>
        <v>0</v>
      </c>
      <c r="U594" s="60">
        <f t="shared" si="67"/>
        <v>0</v>
      </c>
      <c r="V594" s="59" t="str">
        <f t="array" ref="V594">_xlfn.IFS(S594=0,"Alta sin facturar",S594&gt;2,"Cliente",S594&gt;0,"Cliente nuevo")</f>
        <v>Alta sin facturar</v>
      </c>
      <c r="W594" s="59" t="str">
        <f t="shared" si="70"/>
        <v>Sin pago</v>
      </c>
    </row>
    <row r="595" spans="1:23" x14ac:dyDescent="0.25">
      <c r="A595" s="86">
        <v>44750</v>
      </c>
      <c r="B595" t="str">
        <f t="shared" si="64"/>
        <v>Julio</v>
      </c>
      <c r="C595" s="1" t="s">
        <v>62</v>
      </c>
      <c r="D595" s="58" t="str">
        <f>VLOOKUP(Datos!$C595,$AQ$2:$AR$41,2,0)</f>
        <v>Norte</v>
      </c>
      <c r="E595" s="1">
        <v>23676</v>
      </c>
      <c r="F595" s="1" t="str">
        <f t="array" ref="F595">_xlfn.IFS(H595=0,"Alta sin facturar",H595&gt;2,"Cliente",H595&gt;0,"Cliente nuevo")</f>
        <v>Alta sin facturar</v>
      </c>
      <c r="G595" s="1"/>
      <c r="H595" s="1">
        <f t="shared" si="68"/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89">
        <v>0</v>
      </c>
      <c r="O595" s="89">
        <v>0</v>
      </c>
      <c r="P595" s="89">
        <v>0</v>
      </c>
      <c r="Q595" s="54">
        <f t="shared" si="65"/>
        <v>0</v>
      </c>
      <c r="R595" s="91"/>
      <c r="S595" s="92">
        <f t="shared" si="69"/>
        <v>0</v>
      </c>
      <c r="T595" s="59">
        <f t="shared" si="66"/>
        <v>0</v>
      </c>
      <c r="U595" s="60">
        <f t="shared" si="67"/>
        <v>0</v>
      </c>
      <c r="V595" s="59" t="str">
        <f t="array" ref="V595">_xlfn.IFS(S595=0,"Alta sin facturar",S595&gt;2,"Cliente",S595&gt;0,"Cliente nuevo")</f>
        <v>Alta sin facturar</v>
      </c>
      <c r="W595" s="59" t="str">
        <f t="shared" si="70"/>
        <v>Sin pago</v>
      </c>
    </row>
    <row r="596" spans="1:23" x14ac:dyDescent="0.25">
      <c r="A596" s="86">
        <v>44750</v>
      </c>
      <c r="B596" t="str">
        <f t="shared" si="64"/>
        <v>Julio</v>
      </c>
      <c r="C596" s="1" t="s">
        <v>62</v>
      </c>
      <c r="D596" s="58" t="str">
        <f>VLOOKUP(Datos!$C596,$AQ$2:$AR$41,2,0)</f>
        <v>Norte</v>
      </c>
      <c r="E596" s="1">
        <v>23677</v>
      </c>
      <c r="F596" s="1" t="str">
        <f t="array" ref="F596">_xlfn.IFS(H596=0,"Alta sin facturar",H596&gt;2,"Cliente",H596&gt;0,"Cliente nuevo")</f>
        <v>Alta sin facturar</v>
      </c>
      <c r="G596" s="1"/>
      <c r="H596" s="1">
        <f t="shared" si="68"/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89">
        <v>0</v>
      </c>
      <c r="O596" s="89">
        <v>0</v>
      </c>
      <c r="P596" s="89">
        <v>0</v>
      </c>
      <c r="Q596" s="54">
        <f t="shared" si="65"/>
        <v>0</v>
      </c>
      <c r="R596" s="91"/>
      <c r="S596" s="92">
        <f t="shared" si="69"/>
        <v>0</v>
      </c>
      <c r="T596" s="59">
        <f t="shared" si="66"/>
        <v>0</v>
      </c>
      <c r="U596" s="60">
        <f t="shared" si="67"/>
        <v>0</v>
      </c>
      <c r="V596" s="59" t="str">
        <f t="array" ref="V596">_xlfn.IFS(S596=0,"Alta sin facturar",S596&gt;2,"Cliente",S596&gt;0,"Cliente nuevo")</f>
        <v>Alta sin facturar</v>
      </c>
      <c r="W596" s="59" t="str">
        <f t="shared" si="70"/>
        <v>Sin pago</v>
      </c>
    </row>
    <row r="597" spans="1:23" x14ac:dyDescent="0.25">
      <c r="A597" s="86">
        <v>44750</v>
      </c>
      <c r="B597" t="str">
        <f t="shared" si="64"/>
        <v>Julio</v>
      </c>
      <c r="C597" s="1" t="s">
        <v>62</v>
      </c>
      <c r="D597" s="58" t="str">
        <f>VLOOKUP(Datos!$C597,$AQ$2:$AR$41,2,0)</f>
        <v>Norte</v>
      </c>
      <c r="E597" s="1">
        <v>23678</v>
      </c>
      <c r="F597" s="1" t="str">
        <f t="array" ref="F597">_xlfn.IFS(H597=0,"Alta sin facturar",H597&gt;2,"Cliente",H597&gt;0,"Cliente nuevo")</f>
        <v>Alta sin facturar</v>
      </c>
      <c r="G597" s="1"/>
      <c r="H597" s="1">
        <f t="shared" si="68"/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89">
        <v>0</v>
      </c>
      <c r="O597" s="89">
        <v>0</v>
      </c>
      <c r="P597" s="89">
        <v>0</v>
      </c>
      <c r="Q597" s="54">
        <f t="shared" si="65"/>
        <v>0</v>
      </c>
      <c r="R597" s="91">
        <v>0</v>
      </c>
      <c r="S597" s="92">
        <f t="shared" si="69"/>
        <v>0</v>
      </c>
      <c r="T597" s="59">
        <f t="shared" si="66"/>
        <v>0</v>
      </c>
      <c r="U597" s="60">
        <f t="shared" si="67"/>
        <v>0</v>
      </c>
      <c r="V597" s="59" t="str">
        <f t="array" ref="V597">_xlfn.IFS(S597=0,"Alta sin facturar",S597&gt;2,"Cliente",S597&gt;0,"Cliente nuevo")</f>
        <v>Alta sin facturar</v>
      </c>
      <c r="W597" s="59" t="str">
        <f t="shared" si="70"/>
        <v>Sin pago</v>
      </c>
    </row>
    <row r="598" spans="1:23" x14ac:dyDescent="0.25">
      <c r="A598" s="86">
        <v>44750</v>
      </c>
      <c r="B598" t="str">
        <f t="shared" si="64"/>
        <v>Julio</v>
      </c>
      <c r="C598" s="1" t="s">
        <v>43</v>
      </c>
      <c r="D598" s="58" t="str">
        <f>VLOOKUP(Datos!$C598,$AQ$2:$AR$41,2,0)</f>
        <v>Centro</v>
      </c>
      <c r="E598" s="1">
        <v>23679</v>
      </c>
      <c r="F598" s="1" t="str">
        <f t="array" ref="F598">_xlfn.IFS(H598=0,"Alta sin facturar",H598&gt;2,"Cliente",H598&gt;0,"Cliente nuevo")</f>
        <v>Cliente nuevo</v>
      </c>
      <c r="G598" s="1"/>
      <c r="H598" s="1">
        <f t="shared" si="68"/>
        <v>1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89">
        <v>0</v>
      </c>
      <c r="O598" s="89">
        <v>0</v>
      </c>
      <c r="P598" s="89">
        <v>189.07999999999998</v>
      </c>
      <c r="Q598" s="54">
        <f t="shared" si="65"/>
        <v>189.07999999999998</v>
      </c>
      <c r="R598" s="91"/>
      <c r="S598" s="92">
        <f t="shared" si="69"/>
        <v>1</v>
      </c>
      <c r="T598" s="59">
        <f t="shared" si="66"/>
        <v>189.07999999999998</v>
      </c>
      <c r="U598" s="60">
        <f t="shared" si="67"/>
        <v>0</v>
      </c>
      <c r="V598" s="59" t="str">
        <f t="array" ref="V598">_xlfn.IFS(S598=0,"Alta sin facturar",S598&gt;2,"Cliente",S598&gt;0,"Cliente nuevo")</f>
        <v>Cliente nuevo</v>
      </c>
      <c r="W598" s="59" t="str">
        <f t="shared" si="70"/>
        <v>Ha pagado</v>
      </c>
    </row>
    <row r="599" spans="1:23" x14ac:dyDescent="0.25">
      <c r="A599" s="86">
        <v>44750</v>
      </c>
      <c r="B599" t="str">
        <f t="shared" si="64"/>
        <v>Julio</v>
      </c>
      <c r="C599" s="1" t="s">
        <v>97</v>
      </c>
      <c r="D599" s="58" t="str">
        <f>VLOOKUP(Datos!$C599,$AQ$2:$AR$41,2,0)</f>
        <v>Centro</v>
      </c>
      <c r="E599" s="1">
        <v>23680</v>
      </c>
      <c r="F599" s="1" t="str">
        <f t="array" ref="F599">_xlfn.IFS(H599=0,"Alta sin facturar",H599&gt;2,"Cliente",H599&gt;0,"Cliente nuevo")</f>
        <v>Cliente nuevo</v>
      </c>
      <c r="G599" s="1"/>
      <c r="H599" s="1">
        <f t="shared" si="68"/>
        <v>1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89">
        <v>0</v>
      </c>
      <c r="O599" s="89">
        <v>700.64</v>
      </c>
      <c r="P599" s="89">
        <v>0</v>
      </c>
      <c r="Q599" s="54">
        <f t="shared" si="65"/>
        <v>700.64</v>
      </c>
      <c r="R599" s="91">
        <v>366.56</v>
      </c>
      <c r="S599" s="92">
        <f t="shared" si="69"/>
        <v>1</v>
      </c>
      <c r="T599" s="59">
        <f t="shared" si="66"/>
        <v>334.08</v>
      </c>
      <c r="U599" s="60">
        <f t="shared" si="67"/>
        <v>0.52317880794701987</v>
      </c>
      <c r="V599" s="59" t="str">
        <f t="array" ref="V599">_xlfn.IFS(S599=0,"Alta sin facturar",S599&gt;2,"Cliente",S599&gt;0,"Cliente nuevo")</f>
        <v>Cliente nuevo</v>
      </c>
      <c r="W599" s="59" t="str">
        <f t="shared" si="70"/>
        <v>Ha pagado</v>
      </c>
    </row>
    <row r="600" spans="1:23" x14ac:dyDescent="0.25">
      <c r="A600" s="86">
        <v>44750</v>
      </c>
      <c r="B600" t="str">
        <f t="shared" si="64"/>
        <v>Julio</v>
      </c>
      <c r="C600" s="1" t="s">
        <v>64</v>
      </c>
      <c r="D600" s="58" t="str">
        <f>VLOOKUP(Datos!$C600,$AQ$2:$AR$41,2,0)</f>
        <v>Norte</v>
      </c>
      <c r="E600" s="1">
        <v>23681</v>
      </c>
      <c r="F600" s="1" t="str">
        <f t="array" ref="F600">_xlfn.IFS(H600=0,"Alta sin facturar",H600&gt;2,"Cliente",H600&gt;0,"Cliente nuevo")</f>
        <v>Alta sin facturar</v>
      </c>
      <c r="G600" s="1"/>
      <c r="H600" s="1">
        <f t="shared" si="68"/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89">
        <v>0</v>
      </c>
      <c r="O600" s="89">
        <v>0</v>
      </c>
      <c r="P600" s="89">
        <v>0</v>
      </c>
      <c r="Q600" s="54">
        <f t="shared" si="65"/>
        <v>0</v>
      </c>
      <c r="R600" s="91"/>
      <c r="S600" s="92">
        <f t="shared" si="69"/>
        <v>0</v>
      </c>
      <c r="T600" s="59">
        <f t="shared" si="66"/>
        <v>0</v>
      </c>
      <c r="U600" s="60">
        <f t="shared" si="67"/>
        <v>0</v>
      </c>
      <c r="V600" s="59" t="str">
        <f t="array" ref="V600">_xlfn.IFS(S600=0,"Alta sin facturar",S600&gt;2,"Cliente",S600&gt;0,"Cliente nuevo")</f>
        <v>Alta sin facturar</v>
      </c>
      <c r="W600" s="59" t="str">
        <f t="shared" si="70"/>
        <v>Sin pago</v>
      </c>
    </row>
    <row r="601" spans="1:23" x14ac:dyDescent="0.25">
      <c r="A601" s="86">
        <v>44753</v>
      </c>
      <c r="B601" t="str">
        <f t="shared" si="64"/>
        <v>Julio</v>
      </c>
      <c r="C601" s="1" t="s">
        <v>36</v>
      </c>
      <c r="D601" s="58" t="str">
        <f>VLOOKUP(Datos!$C601,$AQ$2:$AR$41,2,0)</f>
        <v>Magallanes</v>
      </c>
      <c r="E601" s="1">
        <v>23682</v>
      </c>
      <c r="F601" s="1" t="str">
        <f t="array" ref="F601">_xlfn.IFS(H601=0,"Alta sin facturar",H601&gt;2,"Cliente",H601&gt;0,"Cliente nuevo")</f>
        <v>Cliente nuevo</v>
      </c>
      <c r="G601" s="1"/>
      <c r="H601" s="1">
        <f t="shared" si="68"/>
        <v>2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89">
        <v>0</v>
      </c>
      <c r="O601" s="89">
        <v>366.56</v>
      </c>
      <c r="P601" s="89">
        <v>800.4</v>
      </c>
      <c r="Q601" s="54">
        <f t="shared" si="65"/>
        <v>1166.96</v>
      </c>
      <c r="R601" s="91"/>
      <c r="S601" s="92">
        <f t="shared" si="69"/>
        <v>2</v>
      </c>
      <c r="T601" s="59">
        <f t="shared" si="66"/>
        <v>1166.96</v>
      </c>
      <c r="U601" s="60">
        <f t="shared" si="67"/>
        <v>0</v>
      </c>
      <c r="V601" s="59" t="str">
        <f t="array" ref="V601">_xlfn.IFS(S601=0,"Alta sin facturar",S601&gt;2,"Cliente",S601&gt;0,"Cliente nuevo")</f>
        <v>Cliente nuevo</v>
      </c>
      <c r="W601" s="59" t="str">
        <f t="shared" si="70"/>
        <v>Ha pagado</v>
      </c>
    </row>
    <row r="602" spans="1:23" x14ac:dyDescent="0.25">
      <c r="A602" s="86">
        <v>44753</v>
      </c>
      <c r="B602" t="str">
        <f t="shared" si="64"/>
        <v>Julio</v>
      </c>
      <c r="C602" s="1" t="s">
        <v>74</v>
      </c>
      <c r="D602" s="58" t="str">
        <f>VLOOKUP(Datos!$C602,$AQ$2:$AR$41,2,0)</f>
        <v>Sur</v>
      </c>
      <c r="E602" s="1">
        <v>23683</v>
      </c>
      <c r="F602" s="1" t="str">
        <f t="array" ref="F602">_xlfn.IFS(H602=0,"Alta sin facturar",H602&gt;2,"Cliente",H602&gt;0,"Cliente nuevo")</f>
        <v>Alta sin facturar</v>
      </c>
      <c r="G602" s="1"/>
      <c r="H602" s="1">
        <f t="shared" si="68"/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89">
        <v>0</v>
      </c>
      <c r="O602" s="89">
        <v>0</v>
      </c>
      <c r="P602" s="89">
        <v>0</v>
      </c>
      <c r="Q602" s="54">
        <f t="shared" si="65"/>
        <v>0</v>
      </c>
      <c r="R602" s="91"/>
      <c r="S602" s="92">
        <f t="shared" si="69"/>
        <v>0</v>
      </c>
      <c r="T602" s="59">
        <f t="shared" si="66"/>
        <v>0</v>
      </c>
      <c r="U602" s="60">
        <f t="shared" si="67"/>
        <v>0</v>
      </c>
      <c r="V602" s="59" t="str">
        <f t="array" ref="V602">_xlfn.IFS(S602=0,"Alta sin facturar",S602&gt;2,"Cliente",S602&gt;0,"Cliente nuevo")</f>
        <v>Alta sin facturar</v>
      </c>
      <c r="W602" s="59" t="str">
        <f t="shared" si="70"/>
        <v>Sin pago</v>
      </c>
    </row>
    <row r="603" spans="1:23" x14ac:dyDescent="0.25">
      <c r="A603" s="86">
        <v>44755</v>
      </c>
      <c r="B603" t="str">
        <f t="shared" si="64"/>
        <v>Julio</v>
      </c>
      <c r="C603" s="1" t="s">
        <v>34</v>
      </c>
      <c r="D603" s="58" t="str">
        <f>VLOOKUP(Datos!$C603,$AQ$2:$AR$41,2,0)</f>
        <v>Norte</v>
      </c>
      <c r="E603" s="1">
        <v>23684</v>
      </c>
      <c r="F603" s="1" t="str">
        <f t="array" ref="F603">_xlfn.IFS(H603=0,"Alta sin facturar",H603&gt;2,"Cliente",H603&gt;0,"Cliente nuevo")</f>
        <v>Alta sin facturar</v>
      </c>
      <c r="G603" s="1"/>
      <c r="H603" s="1">
        <f t="shared" si="68"/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89">
        <v>0</v>
      </c>
      <c r="O603" s="89">
        <v>0</v>
      </c>
      <c r="P603" s="89">
        <v>0</v>
      </c>
      <c r="Q603" s="54">
        <f t="shared" si="65"/>
        <v>0</v>
      </c>
      <c r="R603" s="91">
        <v>6501.8</v>
      </c>
      <c r="S603" s="92">
        <f t="shared" si="69"/>
        <v>0</v>
      </c>
      <c r="T603" s="59">
        <f t="shared" si="66"/>
        <v>-6501.8</v>
      </c>
      <c r="U603" s="60">
        <f t="shared" si="67"/>
        <v>0</v>
      </c>
      <c r="V603" s="59" t="str">
        <f t="array" ref="V603">_xlfn.IFS(S603=0,"Alta sin facturar",S603&gt;2,"Cliente",S603&gt;0,"Cliente nuevo")</f>
        <v>Alta sin facturar</v>
      </c>
      <c r="W603" s="59" t="str">
        <f t="shared" si="70"/>
        <v>Sin pago</v>
      </c>
    </row>
    <row r="604" spans="1:23" x14ac:dyDescent="0.25">
      <c r="A604" s="86">
        <v>44755</v>
      </c>
      <c r="B604" t="str">
        <f t="shared" si="64"/>
        <v>Julio</v>
      </c>
      <c r="C604" s="1" t="s">
        <v>78</v>
      </c>
      <c r="D604" s="58" t="str">
        <f>VLOOKUP(Datos!$C604,$AQ$2:$AR$41,2,0)</f>
        <v>Centro</v>
      </c>
      <c r="E604" s="1">
        <v>23685</v>
      </c>
      <c r="F604" s="1" t="str">
        <f t="array" ref="F604">_xlfn.IFS(H604=0,"Alta sin facturar",H604&gt;2,"Cliente",H604&gt;0,"Cliente nuevo")</f>
        <v>Cliente nuevo</v>
      </c>
      <c r="G604" s="1"/>
      <c r="H604" s="1">
        <f t="shared" si="68"/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89">
        <v>0</v>
      </c>
      <c r="O604" s="89">
        <v>0</v>
      </c>
      <c r="P604" s="89">
        <v>814.31999999999994</v>
      </c>
      <c r="Q604" s="54">
        <f t="shared" si="65"/>
        <v>814.31999999999994</v>
      </c>
      <c r="R604" s="91">
        <v>0</v>
      </c>
      <c r="S604" s="92">
        <f t="shared" si="69"/>
        <v>1</v>
      </c>
      <c r="T604" s="59">
        <f t="shared" si="66"/>
        <v>814.31999999999994</v>
      </c>
      <c r="U604" s="60">
        <f t="shared" si="67"/>
        <v>0</v>
      </c>
      <c r="V604" s="59" t="str">
        <f t="array" ref="V604">_xlfn.IFS(S604=0,"Alta sin facturar",S604&gt;2,"Cliente",S604&gt;0,"Cliente nuevo")</f>
        <v>Cliente nuevo</v>
      </c>
      <c r="W604" s="59" t="str">
        <f t="shared" si="70"/>
        <v>Ha pagado</v>
      </c>
    </row>
    <row r="605" spans="1:23" x14ac:dyDescent="0.25">
      <c r="A605" s="86">
        <v>44755</v>
      </c>
      <c r="B605" t="str">
        <f t="shared" si="64"/>
        <v>Julio</v>
      </c>
      <c r="C605" s="1" t="s">
        <v>62</v>
      </c>
      <c r="D605" s="58" t="str">
        <f>VLOOKUP(Datos!$C605,$AQ$2:$AR$41,2,0)</f>
        <v>Norte</v>
      </c>
      <c r="E605" s="1">
        <v>23686</v>
      </c>
      <c r="F605" s="1" t="str">
        <f t="array" ref="F605">_xlfn.IFS(H605=0,"Alta sin facturar",H605&gt;2,"Cliente",H605&gt;0,"Cliente nuevo")</f>
        <v>Cliente nuevo</v>
      </c>
      <c r="G605" s="1"/>
      <c r="H605" s="1">
        <f t="shared" si="68"/>
        <v>2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89">
        <v>0</v>
      </c>
      <c r="O605" s="89">
        <v>6501.7999999999993</v>
      </c>
      <c r="P605" s="89">
        <v>11762.400000000001</v>
      </c>
      <c r="Q605" s="54">
        <f t="shared" si="65"/>
        <v>18264.2</v>
      </c>
      <c r="R605" s="91"/>
      <c r="S605" s="92">
        <f t="shared" si="69"/>
        <v>2</v>
      </c>
      <c r="T605" s="59">
        <f t="shared" si="66"/>
        <v>18264.2</v>
      </c>
      <c r="U605" s="60">
        <f t="shared" si="67"/>
        <v>0</v>
      </c>
      <c r="V605" s="59" t="str">
        <f t="array" ref="V605">_xlfn.IFS(S605=0,"Alta sin facturar",S605&gt;2,"Cliente",S605&gt;0,"Cliente nuevo")</f>
        <v>Cliente nuevo</v>
      </c>
      <c r="W605" s="59" t="str">
        <f t="shared" si="70"/>
        <v>Ha pagado</v>
      </c>
    </row>
    <row r="606" spans="1:23" x14ac:dyDescent="0.25">
      <c r="A606" s="86">
        <v>44755</v>
      </c>
      <c r="B606" t="str">
        <f t="shared" si="64"/>
        <v>Julio</v>
      </c>
      <c r="C606" s="1" t="s">
        <v>36</v>
      </c>
      <c r="D606" s="58" t="str">
        <f>VLOOKUP(Datos!$C606,$AQ$2:$AR$41,2,0)</f>
        <v>Magallanes</v>
      </c>
      <c r="E606" s="1">
        <v>23687</v>
      </c>
      <c r="F606" s="1" t="str">
        <f t="array" ref="F606">_xlfn.IFS(H606=0,"Alta sin facturar",H606&gt;2,"Cliente",H606&gt;0,"Cliente nuevo")</f>
        <v>Cliente nuevo</v>
      </c>
      <c r="G606" s="1"/>
      <c r="H606" s="1">
        <f t="shared" si="68"/>
        <v>2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89">
        <v>0</v>
      </c>
      <c r="O606" s="89">
        <v>2596.0799999999995</v>
      </c>
      <c r="P606" s="89">
        <v>4517.0400000000009</v>
      </c>
      <c r="Q606" s="54">
        <f t="shared" si="65"/>
        <v>7113.1200000000008</v>
      </c>
      <c r="R606" s="91">
        <v>12094.16</v>
      </c>
      <c r="S606" s="92">
        <f t="shared" si="69"/>
        <v>2</v>
      </c>
      <c r="T606" s="59">
        <f t="shared" si="66"/>
        <v>-4981.0399999999991</v>
      </c>
      <c r="U606" s="60">
        <f t="shared" si="67"/>
        <v>1.7002609262883233</v>
      </c>
      <c r="V606" s="59" t="str">
        <f t="array" ref="V606">_xlfn.IFS(S606=0,"Alta sin facturar",S606&gt;2,"Cliente",S606&gt;0,"Cliente nuevo")</f>
        <v>Cliente nuevo</v>
      </c>
      <c r="W606" s="59" t="str">
        <f t="shared" si="70"/>
        <v>Sin pago</v>
      </c>
    </row>
    <row r="607" spans="1:23" x14ac:dyDescent="0.25">
      <c r="A607" s="86">
        <v>44755</v>
      </c>
      <c r="B607" t="str">
        <f t="shared" si="64"/>
        <v>Julio</v>
      </c>
      <c r="C607" s="1" t="s">
        <v>67</v>
      </c>
      <c r="D607" s="58" t="str">
        <f>VLOOKUP(Datos!$C607,$AQ$2:$AR$41,2,0)</f>
        <v>Norte</v>
      </c>
      <c r="E607" s="1">
        <v>23688</v>
      </c>
      <c r="F607" s="1" t="str">
        <f t="array" ref="F607">_xlfn.IFS(H607=0,"Alta sin facturar",H607&gt;2,"Cliente",H607&gt;0,"Cliente nuevo")</f>
        <v>Alta sin facturar</v>
      </c>
      <c r="G607" s="1"/>
      <c r="H607" s="1">
        <f t="shared" si="68"/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89">
        <v>0</v>
      </c>
      <c r="O607" s="89">
        <v>0</v>
      </c>
      <c r="P607" s="89">
        <v>0</v>
      </c>
      <c r="Q607" s="54">
        <f t="shared" si="65"/>
        <v>0</v>
      </c>
      <c r="R607" s="91"/>
      <c r="S607" s="92">
        <f t="shared" si="69"/>
        <v>0</v>
      </c>
      <c r="T607" s="59">
        <f t="shared" si="66"/>
        <v>0</v>
      </c>
      <c r="U607" s="60">
        <f t="shared" si="67"/>
        <v>0</v>
      </c>
      <c r="V607" s="59" t="str">
        <f t="array" ref="V607">_xlfn.IFS(S607=0,"Alta sin facturar",S607&gt;2,"Cliente",S607&gt;0,"Cliente nuevo")</f>
        <v>Alta sin facturar</v>
      </c>
      <c r="W607" s="59" t="str">
        <f t="shared" si="70"/>
        <v>Sin pago</v>
      </c>
    </row>
    <row r="608" spans="1:23" x14ac:dyDescent="0.25">
      <c r="A608" s="86">
        <v>44756</v>
      </c>
      <c r="B608" t="str">
        <f t="shared" si="64"/>
        <v>Julio</v>
      </c>
      <c r="C608" s="1" t="s">
        <v>31</v>
      </c>
      <c r="D608" s="58" t="str">
        <f>VLOOKUP(Datos!$C608,$AQ$2:$AR$41,2,0)</f>
        <v>Centro</v>
      </c>
      <c r="E608" s="1">
        <v>23689</v>
      </c>
      <c r="F608" s="1" t="str">
        <f t="array" ref="F608">_xlfn.IFS(H608=0,"Alta sin facturar",H608&gt;2,"Cliente",H608&gt;0,"Cliente nuevo")</f>
        <v>Alta sin facturar</v>
      </c>
      <c r="G608" s="1"/>
      <c r="H608" s="1">
        <f t="shared" si="68"/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89">
        <v>0</v>
      </c>
      <c r="O608" s="89">
        <v>0</v>
      </c>
      <c r="P608" s="89">
        <v>0</v>
      </c>
      <c r="Q608" s="54">
        <f t="shared" si="65"/>
        <v>0</v>
      </c>
      <c r="R608" s="91"/>
      <c r="S608" s="92">
        <f t="shared" si="69"/>
        <v>0</v>
      </c>
      <c r="T608" s="59">
        <f t="shared" si="66"/>
        <v>0</v>
      </c>
      <c r="U608" s="60">
        <f t="shared" si="67"/>
        <v>0</v>
      </c>
      <c r="V608" s="59" t="str">
        <f t="array" ref="V608">_xlfn.IFS(S608=0,"Alta sin facturar",S608&gt;2,"Cliente",S608&gt;0,"Cliente nuevo")</f>
        <v>Alta sin facturar</v>
      </c>
      <c r="W608" s="59" t="str">
        <f t="shared" si="70"/>
        <v>Sin pago</v>
      </c>
    </row>
    <row r="609" spans="1:23" x14ac:dyDescent="0.25">
      <c r="A609" s="86">
        <v>44756</v>
      </c>
      <c r="B609" t="str">
        <f t="shared" si="64"/>
        <v>Julio</v>
      </c>
      <c r="C609" s="1" t="s">
        <v>64</v>
      </c>
      <c r="D609" s="58" t="str">
        <f>VLOOKUP(Datos!$C609,$AQ$2:$AR$41,2,0)</f>
        <v>Norte</v>
      </c>
      <c r="E609" s="1">
        <v>23690</v>
      </c>
      <c r="F609" s="1" t="str">
        <f t="array" ref="F609">_xlfn.IFS(H609=0,"Alta sin facturar",H609&gt;2,"Cliente",H609&gt;0,"Cliente nuevo")</f>
        <v>Alta sin facturar</v>
      </c>
      <c r="G609" s="1"/>
      <c r="H609" s="1">
        <f t="shared" si="68"/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89">
        <v>0</v>
      </c>
      <c r="O609" s="89">
        <v>0</v>
      </c>
      <c r="P609" s="89">
        <v>0</v>
      </c>
      <c r="Q609" s="54">
        <f t="shared" si="65"/>
        <v>0</v>
      </c>
      <c r="R609" s="91">
        <v>4071.6</v>
      </c>
      <c r="S609" s="92">
        <f t="shared" si="69"/>
        <v>0</v>
      </c>
      <c r="T609" s="59">
        <f t="shared" si="66"/>
        <v>-4071.6</v>
      </c>
      <c r="U609" s="60">
        <f t="shared" si="67"/>
        <v>0</v>
      </c>
      <c r="V609" s="59" t="str">
        <f t="array" ref="V609">_xlfn.IFS(S609=0,"Alta sin facturar",S609&gt;2,"Cliente",S609&gt;0,"Cliente nuevo")</f>
        <v>Alta sin facturar</v>
      </c>
      <c r="W609" s="59" t="str">
        <f t="shared" si="70"/>
        <v>Sin pago</v>
      </c>
    </row>
    <row r="610" spans="1:23" x14ac:dyDescent="0.25">
      <c r="A610" s="86">
        <v>44756</v>
      </c>
      <c r="B610" t="str">
        <f t="shared" si="64"/>
        <v>Julio</v>
      </c>
      <c r="C610" s="1" t="s">
        <v>64</v>
      </c>
      <c r="D610" s="58" t="str">
        <f>VLOOKUP(Datos!$C610,$AQ$2:$AR$41,2,0)</f>
        <v>Norte</v>
      </c>
      <c r="E610" s="1">
        <v>23691</v>
      </c>
      <c r="F610" s="1" t="str">
        <f t="array" ref="F610">_xlfn.IFS(H610=0,"Alta sin facturar",H610&gt;2,"Cliente",H610&gt;0,"Cliente nuevo")</f>
        <v>Alta sin facturar</v>
      </c>
      <c r="G610" s="1"/>
      <c r="H610" s="1">
        <f t="shared" si="68"/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89">
        <v>0</v>
      </c>
      <c r="O610" s="89">
        <v>0</v>
      </c>
      <c r="P610" s="89">
        <v>0</v>
      </c>
      <c r="Q610" s="54">
        <f t="shared" si="65"/>
        <v>0</v>
      </c>
      <c r="R610" s="91">
        <v>120.64</v>
      </c>
      <c r="S610" s="92">
        <f t="shared" si="69"/>
        <v>0</v>
      </c>
      <c r="T610" s="59">
        <f t="shared" si="66"/>
        <v>-120.64</v>
      </c>
      <c r="U610" s="60">
        <f t="shared" si="67"/>
        <v>0</v>
      </c>
      <c r="V610" s="59" t="str">
        <f t="array" ref="V610">_xlfn.IFS(S610=0,"Alta sin facturar",S610&gt;2,"Cliente",S610&gt;0,"Cliente nuevo")</f>
        <v>Alta sin facturar</v>
      </c>
      <c r="W610" s="59" t="str">
        <f t="shared" si="70"/>
        <v>Sin pago</v>
      </c>
    </row>
    <row r="611" spans="1:23" x14ac:dyDescent="0.25">
      <c r="A611" s="86">
        <v>44756</v>
      </c>
      <c r="B611" t="str">
        <f t="shared" si="64"/>
        <v>Julio</v>
      </c>
      <c r="C611" s="1" t="s">
        <v>101</v>
      </c>
      <c r="D611" s="58" t="e">
        <f>VLOOKUP(Datos!$C611,$AQ$2:$AR$41,2,0)</f>
        <v>#N/A</v>
      </c>
      <c r="E611" s="1">
        <v>23692</v>
      </c>
      <c r="F611" s="1" t="str">
        <f t="array" ref="F611">_xlfn.IFS(H611=0,"Alta sin facturar",H611&gt;2,"Cliente",H611&gt;0,"Cliente nuevo")</f>
        <v>Alta sin facturar</v>
      </c>
      <c r="G611" s="1"/>
      <c r="H611" s="1">
        <f t="shared" si="68"/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89">
        <v>0</v>
      </c>
      <c r="O611" s="89">
        <v>0</v>
      </c>
      <c r="P611" s="89">
        <v>0</v>
      </c>
      <c r="Q611" s="54">
        <f t="shared" si="65"/>
        <v>0</v>
      </c>
      <c r="R611" s="91">
        <v>1492.92</v>
      </c>
      <c r="S611" s="92">
        <f t="shared" si="69"/>
        <v>0</v>
      </c>
      <c r="T611" s="59">
        <f t="shared" si="66"/>
        <v>-1492.92</v>
      </c>
      <c r="U611" s="60">
        <f t="shared" si="67"/>
        <v>0</v>
      </c>
      <c r="V611" s="59" t="str">
        <f t="array" ref="V611">_xlfn.IFS(S611=0,"Alta sin facturar",S611&gt;2,"Cliente",S611&gt;0,"Cliente nuevo")</f>
        <v>Alta sin facturar</v>
      </c>
      <c r="W611" s="59" t="str">
        <f t="shared" si="70"/>
        <v>Sin pago</v>
      </c>
    </row>
    <row r="612" spans="1:23" x14ac:dyDescent="0.25">
      <c r="A612" s="86">
        <v>44756</v>
      </c>
      <c r="B612" t="str">
        <f t="shared" si="64"/>
        <v>Julio</v>
      </c>
      <c r="C612" s="1" t="s">
        <v>89</v>
      </c>
      <c r="D612" s="58" t="str">
        <f>VLOOKUP(Datos!$C612,$AQ$2:$AR$41,2,0)</f>
        <v>Centro</v>
      </c>
      <c r="E612" s="1">
        <v>23693</v>
      </c>
      <c r="F612" s="1" t="str">
        <f t="array" ref="F612">_xlfn.IFS(H612=0,"Alta sin facturar",H612&gt;2,"Cliente",H612&gt;0,"Cliente nuevo")</f>
        <v>Cliente nuevo</v>
      </c>
      <c r="G612" s="1"/>
      <c r="H612" s="1">
        <f t="shared" si="68"/>
        <v>2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89">
        <v>0</v>
      </c>
      <c r="O612" s="89">
        <v>4071.599999999999</v>
      </c>
      <c r="P612" s="89">
        <v>6754.68</v>
      </c>
      <c r="Q612" s="54">
        <f t="shared" si="65"/>
        <v>10826.279999999999</v>
      </c>
      <c r="R612" s="91">
        <v>0</v>
      </c>
      <c r="S612" s="92">
        <f t="shared" si="69"/>
        <v>2</v>
      </c>
      <c r="T612" s="59">
        <f t="shared" si="66"/>
        <v>10826.279999999999</v>
      </c>
      <c r="U612" s="60">
        <f t="shared" si="67"/>
        <v>0</v>
      </c>
      <c r="V612" s="59" t="str">
        <f t="array" ref="V612">_xlfn.IFS(S612=0,"Alta sin facturar",S612&gt;2,"Cliente",S612&gt;0,"Cliente nuevo")</f>
        <v>Cliente nuevo</v>
      </c>
      <c r="W612" s="59" t="str">
        <f t="shared" si="70"/>
        <v>Ha pagado</v>
      </c>
    </row>
    <row r="613" spans="1:23" x14ac:dyDescent="0.25">
      <c r="A613" s="86">
        <v>44757</v>
      </c>
      <c r="B613" t="str">
        <f t="shared" si="64"/>
        <v>Julio</v>
      </c>
      <c r="C613" s="1" t="s">
        <v>65</v>
      </c>
      <c r="D613" s="58" t="str">
        <f>VLOOKUP(Datos!$C613,$AQ$2:$AR$41,2,0)</f>
        <v>Centro</v>
      </c>
      <c r="E613" s="1">
        <v>23694</v>
      </c>
      <c r="F613" s="1" t="str">
        <f t="array" ref="F613">_xlfn.IFS(H613=0,"Alta sin facturar",H613&gt;2,"Cliente",H613&gt;0,"Cliente nuevo")</f>
        <v>Cliente nuevo</v>
      </c>
      <c r="G613" s="1"/>
      <c r="H613" s="1">
        <f t="shared" si="68"/>
        <v>2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89">
        <v>0</v>
      </c>
      <c r="O613" s="89">
        <v>2547.3599999999997</v>
      </c>
      <c r="P613" s="89">
        <v>10449.280000000006</v>
      </c>
      <c r="Q613" s="54">
        <f t="shared" si="65"/>
        <v>12996.640000000007</v>
      </c>
      <c r="R613" s="91">
        <v>0</v>
      </c>
      <c r="S613" s="92">
        <f t="shared" si="69"/>
        <v>2</v>
      </c>
      <c r="T613" s="59">
        <f t="shared" si="66"/>
        <v>12996.640000000007</v>
      </c>
      <c r="U613" s="60">
        <f t="shared" si="67"/>
        <v>0</v>
      </c>
      <c r="V613" s="59" t="str">
        <f t="array" ref="V613">_xlfn.IFS(S613=0,"Alta sin facturar",S613&gt;2,"Cliente",S613&gt;0,"Cliente nuevo")</f>
        <v>Cliente nuevo</v>
      </c>
      <c r="W613" s="59" t="str">
        <f t="shared" si="70"/>
        <v>Ha pagado</v>
      </c>
    </row>
    <row r="614" spans="1:23" x14ac:dyDescent="0.25">
      <c r="A614" s="86">
        <v>44757</v>
      </c>
      <c r="B614" t="str">
        <f t="shared" si="64"/>
        <v>Julio</v>
      </c>
      <c r="C614" s="1" t="s">
        <v>38</v>
      </c>
      <c r="D614" s="58" t="str">
        <f>VLOOKUP(Datos!$C614,$AQ$2:$AR$41,2,0)</f>
        <v>Centro</v>
      </c>
      <c r="E614" s="1">
        <v>23695</v>
      </c>
      <c r="F614" s="1" t="str">
        <f t="array" ref="F614">_xlfn.IFS(H614=0,"Alta sin facturar",H614&gt;2,"Cliente",H614&gt;0,"Cliente nuevo")</f>
        <v>Cliente nuevo</v>
      </c>
      <c r="G614" s="1"/>
      <c r="H614" s="1">
        <f t="shared" si="68"/>
        <v>2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89">
        <v>0</v>
      </c>
      <c r="O614" s="89">
        <v>564.91999999999996</v>
      </c>
      <c r="P614" s="89">
        <v>3464.9199999999996</v>
      </c>
      <c r="Q614" s="54">
        <f t="shared" si="65"/>
        <v>4029.8399999999997</v>
      </c>
      <c r="R614" s="91">
        <v>0</v>
      </c>
      <c r="S614" s="92">
        <f t="shared" si="69"/>
        <v>2</v>
      </c>
      <c r="T614" s="59">
        <f t="shared" si="66"/>
        <v>4029.8399999999997</v>
      </c>
      <c r="U614" s="60">
        <f t="shared" si="67"/>
        <v>0</v>
      </c>
      <c r="V614" s="59" t="str">
        <f t="array" ref="V614">_xlfn.IFS(S614=0,"Alta sin facturar",S614&gt;2,"Cliente",S614&gt;0,"Cliente nuevo")</f>
        <v>Cliente nuevo</v>
      </c>
      <c r="W614" s="59" t="str">
        <f t="shared" si="70"/>
        <v>Ha pagado</v>
      </c>
    </row>
    <row r="615" spans="1:23" x14ac:dyDescent="0.25">
      <c r="A615" s="86">
        <v>44758</v>
      </c>
      <c r="B615" t="str">
        <f t="shared" si="64"/>
        <v>Julio</v>
      </c>
      <c r="C615" s="1" t="s">
        <v>102</v>
      </c>
      <c r="D615" s="58" t="str">
        <f>VLOOKUP(Datos!$C615,$AQ$2:$AR$41,2,0)</f>
        <v>Sur</v>
      </c>
      <c r="E615" s="1">
        <v>23696</v>
      </c>
      <c r="F615" s="1" t="str">
        <f t="array" ref="F615">_xlfn.IFS(H615=0,"Alta sin facturar",H615&gt;2,"Cliente",H615&gt;0,"Cliente nuevo")</f>
        <v>Cliente nuevo</v>
      </c>
      <c r="G615" s="1"/>
      <c r="H615" s="1">
        <f t="shared" si="68"/>
        <v>2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89">
        <v>0</v>
      </c>
      <c r="O615" s="89">
        <v>338.71999999999997</v>
      </c>
      <c r="P615" s="89">
        <v>3712</v>
      </c>
      <c r="Q615" s="54">
        <f t="shared" si="65"/>
        <v>4050.72</v>
      </c>
      <c r="R615" s="91">
        <v>2088</v>
      </c>
      <c r="S615" s="92">
        <f t="shared" si="69"/>
        <v>2</v>
      </c>
      <c r="T615" s="59">
        <f t="shared" si="66"/>
        <v>1962.7199999999998</v>
      </c>
      <c r="U615" s="60">
        <f t="shared" si="67"/>
        <v>0.51546391752577325</v>
      </c>
      <c r="V615" s="59" t="str">
        <f t="array" ref="V615">_xlfn.IFS(S615=0,"Alta sin facturar",S615&gt;2,"Cliente",S615&gt;0,"Cliente nuevo")</f>
        <v>Cliente nuevo</v>
      </c>
      <c r="W615" s="59" t="str">
        <f t="shared" si="70"/>
        <v>Ha pagado</v>
      </c>
    </row>
    <row r="616" spans="1:23" x14ac:dyDescent="0.25">
      <c r="A616" s="86">
        <v>44758</v>
      </c>
      <c r="B616" t="str">
        <f t="shared" si="64"/>
        <v>Julio</v>
      </c>
      <c r="C616" s="1" t="s">
        <v>33</v>
      </c>
      <c r="D616" s="58" t="str">
        <f>VLOOKUP(Datos!$C616,$AQ$2:$AR$41,2,0)</f>
        <v>Magallanes</v>
      </c>
      <c r="E616" s="1">
        <v>23697</v>
      </c>
      <c r="F616" s="1" t="str">
        <f t="array" ref="F616">_xlfn.IFS(H616=0,"Alta sin facturar",H616&gt;2,"Cliente",H616&gt;0,"Cliente nuevo")</f>
        <v>Alta sin facturar</v>
      </c>
      <c r="G616" s="1"/>
      <c r="H616" s="1">
        <f t="shared" si="68"/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89">
        <v>0</v>
      </c>
      <c r="O616" s="89">
        <v>0</v>
      </c>
      <c r="P616" s="89">
        <v>0</v>
      </c>
      <c r="Q616" s="54">
        <f t="shared" si="65"/>
        <v>0</v>
      </c>
      <c r="R616" s="91"/>
      <c r="S616" s="92">
        <f t="shared" si="69"/>
        <v>0</v>
      </c>
      <c r="T616" s="59">
        <f t="shared" si="66"/>
        <v>0</v>
      </c>
      <c r="U616" s="60">
        <f t="shared" si="67"/>
        <v>0</v>
      </c>
      <c r="V616" s="59" t="str">
        <f t="array" ref="V616">_xlfn.IFS(S616=0,"Alta sin facturar",S616&gt;2,"Cliente",S616&gt;0,"Cliente nuevo")</f>
        <v>Alta sin facturar</v>
      </c>
      <c r="W616" s="59" t="str">
        <f t="shared" si="70"/>
        <v>Sin pago</v>
      </c>
    </row>
    <row r="617" spans="1:23" x14ac:dyDescent="0.25">
      <c r="A617" s="86">
        <v>44760</v>
      </c>
      <c r="B617" t="str">
        <f t="shared" si="64"/>
        <v>Julio</v>
      </c>
      <c r="C617" s="1" t="s">
        <v>65</v>
      </c>
      <c r="D617" s="58" t="str">
        <f>VLOOKUP(Datos!$C617,$AQ$2:$AR$41,2,0)</f>
        <v>Centro</v>
      </c>
      <c r="E617" s="1">
        <v>23698</v>
      </c>
      <c r="F617" s="1" t="str">
        <f t="array" ref="F617">_xlfn.IFS(H617=0,"Alta sin facturar",H617&gt;2,"Cliente",H617&gt;0,"Cliente nuevo")</f>
        <v>Cliente nuevo</v>
      </c>
      <c r="G617" s="1"/>
      <c r="H617" s="1">
        <f t="shared" si="68"/>
        <v>2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89">
        <v>0</v>
      </c>
      <c r="O617" s="89">
        <v>1439.5599999999997</v>
      </c>
      <c r="P617" s="89">
        <v>3948.6400000000008</v>
      </c>
      <c r="Q617" s="54">
        <f t="shared" si="65"/>
        <v>5388.2000000000007</v>
      </c>
      <c r="R617" s="91"/>
      <c r="S617" s="92">
        <f t="shared" si="69"/>
        <v>2</v>
      </c>
      <c r="T617" s="59">
        <f t="shared" si="66"/>
        <v>5388.2000000000007</v>
      </c>
      <c r="U617" s="60">
        <f t="shared" si="67"/>
        <v>0</v>
      </c>
      <c r="V617" s="59" t="str">
        <f t="array" ref="V617">_xlfn.IFS(S617=0,"Alta sin facturar",S617&gt;2,"Cliente",S617&gt;0,"Cliente nuevo")</f>
        <v>Cliente nuevo</v>
      </c>
      <c r="W617" s="59" t="str">
        <f t="shared" si="70"/>
        <v>Ha pagado</v>
      </c>
    </row>
    <row r="618" spans="1:23" x14ac:dyDescent="0.25">
      <c r="A618" s="86">
        <v>44760</v>
      </c>
      <c r="B618" t="str">
        <f t="shared" si="64"/>
        <v>Julio</v>
      </c>
      <c r="C618" s="1" t="s">
        <v>38</v>
      </c>
      <c r="D618" s="58" t="str">
        <f>VLOOKUP(Datos!$C618,$AQ$2:$AR$41,2,0)</f>
        <v>Centro</v>
      </c>
      <c r="E618" s="1">
        <v>23699</v>
      </c>
      <c r="F618" s="1" t="str">
        <f t="array" ref="F618">_xlfn.IFS(H618=0,"Alta sin facturar",H618&gt;2,"Cliente",H618&gt;0,"Cliente nuevo")</f>
        <v>Cliente nuevo</v>
      </c>
      <c r="G618" s="1"/>
      <c r="H618" s="1">
        <f t="shared" si="68"/>
        <v>1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89">
        <v>0</v>
      </c>
      <c r="O618" s="89">
        <v>0</v>
      </c>
      <c r="P618" s="89">
        <v>1682</v>
      </c>
      <c r="Q618" s="54">
        <f t="shared" si="65"/>
        <v>1682</v>
      </c>
      <c r="R618" s="91"/>
      <c r="S618" s="92">
        <f t="shared" si="69"/>
        <v>1</v>
      </c>
      <c r="T618" s="59">
        <f t="shared" si="66"/>
        <v>1682</v>
      </c>
      <c r="U618" s="60">
        <f t="shared" si="67"/>
        <v>0</v>
      </c>
      <c r="V618" s="59" t="str">
        <f t="array" ref="V618">_xlfn.IFS(S618=0,"Alta sin facturar",S618&gt;2,"Cliente",S618&gt;0,"Cliente nuevo")</f>
        <v>Cliente nuevo</v>
      </c>
      <c r="W618" s="59" t="str">
        <f t="shared" si="70"/>
        <v>Ha pagado</v>
      </c>
    </row>
    <row r="619" spans="1:23" x14ac:dyDescent="0.25">
      <c r="A619" s="86">
        <v>44760</v>
      </c>
      <c r="B619" t="str">
        <f t="shared" si="64"/>
        <v>Julio</v>
      </c>
      <c r="C619" s="1" t="s">
        <v>62</v>
      </c>
      <c r="D619" s="58" t="str">
        <f>VLOOKUP(Datos!$C619,$AQ$2:$AR$41,2,0)</f>
        <v>Norte</v>
      </c>
      <c r="E619" s="1">
        <v>23700</v>
      </c>
      <c r="F619" s="1" t="str">
        <f t="array" ref="F619">_xlfn.IFS(H619=0,"Alta sin facturar",H619&gt;2,"Cliente",H619&gt;0,"Cliente nuevo")</f>
        <v>Alta sin facturar</v>
      </c>
      <c r="G619" s="1"/>
      <c r="H619" s="1">
        <f t="shared" si="68"/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89">
        <v>0</v>
      </c>
      <c r="O619" s="89">
        <v>0</v>
      </c>
      <c r="P619" s="89">
        <v>0</v>
      </c>
      <c r="Q619" s="54">
        <f t="shared" si="65"/>
        <v>0</v>
      </c>
      <c r="R619" s="91">
        <v>3138.96</v>
      </c>
      <c r="S619" s="92">
        <f t="shared" si="69"/>
        <v>0</v>
      </c>
      <c r="T619" s="59">
        <f t="shared" si="66"/>
        <v>-3138.96</v>
      </c>
      <c r="U619" s="60">
        <f t="shared" si="67"/>
        <v>0</v>
      </c>
      <c r="V619" s="59" t="str">
        <f t="array" ref="V619">_xlfn.IFS(S619=0,"Alta sin facturar",S619&gt;2,"Cliente",S619&gt;0,"Cliente nuevo")</f>
        <v>Alta sin facturar</v>
      </c>
      <c r="W619" s="59" t="str">
        <f t="shared" si="70"/>
        <v>Sin pago</v>
      </c>
    </row>
    <row r="620" spans="1:23" x14ac:dyDescent="0.25">
      <c r="A620" s="86">
        <v>44760</v>
      </c>
      <c r="B620" t="str">
        <f t="shared" si="64"/>
        <v>Julio</v>
      </c>
      <c r="C620" s="1" t="s">
        <v>97</v>
      </c>
      <c r="D620" s="58" t="str">
        <f>VLOOKUP(Datos!$C620,$AQ$2:$AR$41,2,0)</f>
        <v>Centro</v>
      </c>
      <c r="E620" s="1">
        <v>23701</v>
      </c>
      <c r="F620" s="1" t="str">
        <f t="array" ref="F620">_xlfn.IFS(H620=0,"Alta sin facturar",H620&gt;2,"Cliente",H620&gt;0,"Cliente nuevo")</f>
        <v>Cliente nuevo</v>
      </c>
      <c r="G620" s="1"/>
      <c r="H620" s="1">
        <f t="shared" si="68"/>
        <v>1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89">
        <v>0</v>
      </c>
      <c r="O620" s="89">
        <v>0</v>
      </c>
      <c r="P620" s="89">
        <v>2912.7599999999998</v>
      </c>
      <c r="Q620" s="54">
        <f t="shared" si="65"/>
        <v>2912.7599999999998</v>
      </c>
      <c r="R620" s="91">
        <v>281.88</v>
      </c>
      <c r="S620" s="92">
        <f t="shared" si="69"/>
        <v>1</v>
      </c>
      <c r="T620" s="59">
        <f t="shared" si="66"/>
        <v>2630.8799999999997</v>
      </c>
      <c r="U620" s="60">
        <f t="shared" si="67"/>
        <v>9.6774193548387108E-2</v>
      </c>
      <c r="V620" s="59" t="str">
        <f t="array" ref="V620">_xlfn.IFS(S620=0,"Alta sin facturar",S620&gt;2,"Cliente",S620&gt;0,"Cliente nuevo")</f>
        <v>Cliente nuevo</v>
      </c>
      <c r="W620" s="59" t="str">
        <f t="shared" si="70"/>
        <v>Ha pagado</v>
      </c>
    </row>
    <row r="621" spans="1:23" x14ac:dyDescent="0.25">
      <c r="A621" s="86">
        <v>44760</v>
      </c>
      <c r="B621" t="str">
        <f t="shared" si="64"/>
        <v>Julio</v>
      </c>
      <c r="C621" s="1" t="s">
        <v>97</v>
      </c>
      <c r="D621" s="58" t="str">
        <f>VLOOKUP(Datos!$C621,$AQ$2:$AR$41,2,0)</f>
        <v>Centro</v>
      </c>
      <c r="E621" s="1">
        <v>23702</v>
      </c>
      <c r="F621" s="1" t="str">
        <f t="array" ref="F621">_xlfn.IFS(H621=0,"Alta sin facturar",H621&gt;2,"Cliente",H621&gt;0,"Cliente nuevo")</f>
        <v>Alta sin facturar</v>
      </c>
      <c r="G621" s="1"/>
      <c r="H621" s="1">
        <f t="shared" si="68"/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89">
        <v>0</v>
      </c>
      <c r="O621" s="89">
        <v>0</v>
      </c>
      <c r="P621" s="89">
        <v>0</v>
      </c>
      <c r="Q621" s="54">
        <f t="shared" si="65"/>
        <v>0</v>
      </c>
      <c r="R621" s="91">
        <v>883.92</v>
      </c>
      <c r="S621" s="92">
        <f t="shared" si="69"/>
        <v>0</v>
      </c>
      <c r="T621" s="59">
        <f t="shared" si="66"/>
        <v>-883.92</v>
      </c>
      <c r="U621" s="60">
        <f t="shared" si="67"/>
        <v>0</v>
      </c>
      <c r="V621" s="59" t="str">
        <f t="array" ref="V621">_xlfn.IFS(S621=0,"Alta sin facturar",S621&gt;2,"Cliente",S621&gt;0,"Cliente nuevo")</f>
        <v>Alta sin facturar</v>
      </c>
      <c r="W621" s="59" t="str">
        <f t="shared" si="70"/>
        <v>Sin pago</v>
      </c>
    </row>
    <row r="622" spans="1:23" x14ac:dyDescent="0.25">
      <c r="A622" s="86">
        <v>44760</v>
      </c>
      <c r="B622" t="str">
        <f t="shared" si="64"/>
        <v>Julio</v>
      </c>
      <c r="C622" s="1" t="s">
        <v>38</v>
      </c>
      <c r="D622" s="58" t="str">
        <f>VLOOKUP(Datos!$C622,$AQ$2:$AR$41,2,0)</f>
        <v>Centro</v>
      </c>
      <c r="E622" s="1">
        <v>23703</v>
      </c>
      <c r="F622" s="1" t="str">
        <f t="array" ref="F622">_xlfn.IFS(H622=0,"Alta sin facturar",H622&gt;2,"Cliente",H622&gt;0,"Cliente nuevo")</f>
        <v>Cliente nuevo</v>
      </c>
      <c r="G622" s="1"/>
      <c r="H622" s="1">
        <f t="shared" si="68"/>
        <v>2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89">
        <v>0</v>
      </c>
      <c r="O622" s="89">
        <v>3138.96</v>
      </c>
      <c r="P622" s="89">
        <v>9402.9599999999991</v>
      </c>
      <c r="Q622" s="54">
        <f t="shared" si="65"/>
        <v>12541.919999999998</v>
      </c>
      <c r="R622" s="91"/>
      <c r="S622" s="92">
        <f t="shared" si="69"/>
        <v>2</v>
      </c>
      <c r="T622" s="59">
        <f t="shared" si="66"/>
        <v>12541.919999999998</v>
      </c>
      <c r="U622" s="60">
        <f t="shared" si="67"/>
        <v>0</v>
      </c>
      <c r="V622" s="59" t="str">
        <f t="array" ref="V622">_xlfn.IFS(S622=0,"Alta sin facturar",S622&gt;2,"Cliente",S622&gt;0,"Cliente nuevo")</f>
        <v>Cliente nuevo</v>
      </c>
      <c r="W622" s="59" t="str">
        <f t="shared" si="70"/>
        <v>Ha pagado</v>
      </c>
    </row>
    <row r="623" spans="1:23" x14ac:dyDescent="0.25">
      <c r="A623" s="86">
        <v>44761</v>
      </c>
      <c r="B623" t="str">
        <f t="shared" si="64"/>
        <v>Julio</v>
      </c>
      <c r="C623" s="1" t="s">
        <v>33</v>
      </c>
      <c r="D623" s="58" t="str">
        <f>VLOOKUP(Datos!$C623,$AQ$2:$AR$41,2,0)</f>
        <v>Magallanes</v>
      </c>
      <c r="E623" s="1">
        <v>23704</v>
      </c>
      <c r="F623" s="1" t="str">
        <f t="array" ref="F623">_xlfn.IFS(H623=0,"Alta sin facturar",H623&gt;2,"Cliente",H623&gt;0,"Cliente nuevo")</f>
        <v>Cliente nuevo</v>
      </c>
      <c r="G623" s="1"/>
      <c r="H623" s="1">
        <f t="shared" si="68"/>
        <v>1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89">
        <v>0</v>
      </c>
      <c r="O623" s="89">
        <v>0</v>
      </c>
      <c r="P623" s="89">
        <v>8289.36</v>
      </c>
      <c r="Q623" s="54">
        <f t="shared" si="65"/>
        <v>8289.36</v>
      </c>
      <c r="R623" s="91"/>
      <c r="S623" s="92">
        <f t="shared" si="69"/>
        <v>1</v>
      </c>
      <c r="T623" s="59">
        <f t="shared" si="66"/>
        <v>8289.36</v>
      </c>
      <c r="U623" s="60">
        <f t="shared" si="67"/>
        <v>0</v>
      </c>
      <c r="V623" s="59" t="str">
        <f t="array" ref="V623">_xlfn.IFS(S623=0,"Alta sin facturar",S623&gt;2,"Cliente",S623&gt;0,"Cliente nuevo")</f>
        <v>Cliente nuevo</v>
      </c>
      <c r="W623" s="59" t="str">
        <f t="shared" si="70"/>
        <v>Ha pagado</v>
      </c>
    </row>
    <row r="624" spans="1:23" x14ac:dyDescent="0.25">
      <c r="A624" s="86">
        <v>44761</v>
      </c>
      <c r="B624" t="str">
        <f t="shared" si="64"/>
        <v>Julio</v>
      </c>
      <c r="C624" s="1" t="s">
        <v>59</v>
      </c>
      <c r="D624" s="58" t="str">
        <f>VLOOKUP(Datos!$C624,$AQ$2:$AR$41,2,0)</f>
        <v>Magallanes</v>
      </c>
      <c r="E624" s="1">
        <v>23705</v>
      </c>
      <c r="F624" s="1" t="str">
        <f t="array" ref="F624">_xlfn.IFS(H624=0,"Alta sin facturar",H624&gt;2,"Cliente",H624&gt;0,"Cliente nuevo")</f>
        <v>Cliente nuevo</v>
      </c>
      <c r="G624" s="1"/>
      <c r="H624" s="1">
        <f t="shared" si="68"/>
        <v>1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89">
        <v>0</v>
      </c>
      <c r="O624" s="89">
        <v>883.91999999999985</v>
      </c>
      <c r="P624" s="89">
        <v>0</v>
      </c>
      <c r="Q624" s="54">
        <f t="shared" si="65"/>
        <v>883.91999999999985</v>
      </c>
      <c r="R624" s="91">
        <v>0</v>
      </c>
      <c r="S624" s="92">
        <f t="shared" si="69"/>
        <v>1</v>
      </c>
      <c r="T624" s="59">
        <f t="shared" si="66"/>
        <v>883.91999999999985</v>
      </c>
      <c r="U624" s="60">
        <f t="shared" si="67"/>
        <v>0</v>
      </c>
      <c r="V624" s="59" t="str">
        <f t="array" ref="V624">_xlfn.IFS(S624=0,"Alta sin facturar",S624&gt;2,"Cliente",S624&gt;0,"Cliente nuevo")</f>
        <v>Cliente nuevo</v>
      </c>
      <c r="W624" s="59" t="str">
        <f t="shared" si="70"/>
        <v>Ha pagado</v>
      </c>
    </row>
    <row r="625" spans="1:23" x14ac:dyDescent="0.25">
      <c r="A625" s="86">
        <v>44761</v>
      </c>
      <c r="B625" t="str">
        <f t="shared" si="64"/>
        <v>Julio</v>
      </c>
      <c r="C625" s="1" t="s">
        <v>97</v>
      </c>
      <c r="D625" s="58" t="str">
        <f>VLOOKUP(Datos!$C625,$AQ$2:$AR$41,2,0)</f>
        <v>Centro</v>
      </c>
      <c r="E625" s="1">
        <v>23706</v>
      </c>
      <c r="F625" s="1" t="str">
        <f t="array" ref="F625">_xlfn.IFS(H625=0,"Alta sin facturar",H625&gt;2,"Cliente",H625&gt;0,"Cliente nuevo")</f>
        <v>Alta sin facturar</v>
      </c>
      <c r="G625" s="1"/>
      <c r="H625" s="1">
        <f t="shared" si="68"/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89">
        <v>0</v>
      </c>
      <c r="O625" s="89">
        <v>0</v>
      </c>
      <c r="P625" s="89">
        <v>0</v>
      </c>
      <c r="Q625" s="54">
        <f t="shared" si="65"/>
        <v>0</v>
      </c>
      <c r="R625" s="91">
        <v>215.76</v>
      </c>
      <c r="S625" s="92">
        <f t="shared" si="69"/>
        <v>0</v>
      </c>
      <c r="T625" s="59">
        <f t="shared" si="66"/>
        <v>-215.76</v>
      </c>
      <c r="U625" s="60">
        <f t="shared" si="67"/>
        <v>0</v>
      </c>
      <c r="V625" s="59" t="str">
        <f t="array" ref="V625">_xlfn.IFS(S625=0,"Alta sin facturar",S625&gt;2,"Cliente",S625&gt;0,"Cliente nuevo")</f>
        <v>Alta sin facturar</v>
      </c>
      <c r="W625" s="59" t="str">
        <f t="shared" si="70"/>
        <v>Sin pago</v>
      </c>
    </row>
    <row r="626" spans="1:23" x14ac:dyDescent="0.25">
      <c r="A626" s="86">
        <v>44761</v>
      </c>
      <c r="B626" t="str">
        <f t="shared" si="64"/>
        <v>Julio</v>
      </c>
      <c r="C626" s="1" t="s">
        <v>97</v>
      </c>
      <c r="D626" s="58" t="str">
        <f>VLOOKUP(Datos!$C626,$AQ$2:$AR$41,2,0)</f>
        <v>Centro</v>
      </c>
      <c r="E626" s="1">
        <v>23707</v>
      </c>
      <c r="F626" s="1" t="str">
        <f t="array" ref="F626">_xlfn.IFS(H626=0,"Alta sin facturar",H626&gt;2,"Cliente",H626&gt;0,"Cliente nuevo")</f>
        <v>Alta sin facturar</v>
      </c>
      <c r="G626" s="1"/>
      <c r="H626" s="1">
        <f t="shared" si="68"/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89">
        <v>0</v>
      </c>
      <c r="O626" s="89">
        <v>0</v>
      </c>
      <c r="P626" s="89">
        <v>0</v>
      </c>
      <c r="Q626" s="54">
        <f t="shared" si="65"/>
        <v>0</v>
      </c>
      <c r="R626" s="91">
        <v>226.2</v>
      </c>
      <c r="S626" s="92">
        <f t="shared" si="69"/>
        <v>0</v>
      </c>
      <c r="T626" s="59">
        <f t="shared" si="66"/>
        <v>-226.2</v>
      </c>
      <c r="U626" s="60">
        <f t="shared" si="67"/>
        <v>0</v>
      </c>
      <c r="V626" s="59" t="str">
        <f t="array" ref="V626">_xlfn.IFS(S626=0,"Alta sin facturar",S626&gt;2,"Cliente",S626&gt;0,"Cliente nuevo")</f>
        <v>Alta sin facturar</v>
      </c>
      <c r="W626" s="59" t="str">
        <f t="shared" si="70"/>
        <v>Sin pago</v>
      </c>
    </row>
    <row r="627" spans="1:23" x14ac:dyDescent="0.25">
      <c r="A627" s="86">
        <v>44761</v>
      </c>
      <c r="B627" t="str">
        <f t="shared" si="64"/>
        <v>Julio</v>
      </c>
      <c r="C627" s="1" t="s">
        <v>36</v>
      </c>
      <c r="D627" s="58" t="str">
        <f>VLOOKUP(Datos!$C627,$AQ$2:$AR$41,2,0)</f>
        <v>Magallanes</v>
      </c>
      <c r="E627" s="1">
        <v>23708</v>
      </c>
      <c r="F627" s="1" t="str">
        <f t="array" ref="F627">_xlfn.IFS(H627=0,"Alta sin facturar",H627&gt;2,"Cliente",H627&gt;0,"Cliente nuevo")</f>
        <v>Cliente nuevo</v>
      </c>
      <c r="G627" s="1"/>
      <c r="H627" s="1">
        <f t="shared" si="68"/>
        <v>2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89">
        <v>0</v>
      </c>
      <c r="O627" s="89">
        <v>348</v>
      </c>
      <c r="P627" s="89">
        <v>793.44</v>
      </c>
      <c r="Q627" s="54">
        <f t="shared" si="65"/>
        <v>1141.44</v>
      </c>
      <c r="R627" s="91">
        <v>752.84</v>
      </c>
      <c r="S627" s="92">
        <f t="shared" si="69"/>
        <v>2</v>
      </c>
      <c r="T627" s="59">
        <f t="shared" si="66"/>
        <v>388.6</v>
      </c>
      <c r="U627" s="60">
        <f t="shared" si="67"/>
        <v>0.65955284552845528</v>
      </c>
      <c r="V627" s="59" t="str">
        <f t="array" ref="V627">_xlfn.IFS(S627=0,"Alta sin facturar",S627&gt;2,"Cliente",S627&gt;0,"Cliente nuevo")</f>
        <v>Cliente nuevo</v>
      </c>
      <c r="W627" s="59" t="str">
        <f t="shared" si="70"/>
        <v>Ha pagado</v>
      </c>
    </row>
    <row r="628" spans="1:23" x14ac:dyDescent="0.25">
      <c r="A628" s="86">
        <v>44762</v>
      </c>
      <c r="B628" t="str">
        <f t="shared" si="64"/>
        <v>Julio</v>
      </c>
      <c r="C628" s="1" t="s">
        <v>66</v>
      </c>
      <c r="D628" s="58" t="str">
        <f>VLOOKUP(Datos!$C628,$AQ$2:$AR$41,2,0)</f>
        <v>Sur</v>
      </c>
      <c r="E628" s="1">
        <v>23709</v>
      </c>
      <c r="F628" s="1" t="str">
        <f t="array" ref="F628">_xlfn.IFS(H628=0,"Alta sin facturar",H628&gt;2,"Cliente",H628&gt;0,"Cliente nuevo")</f>
        <v>Cliente nuevo</v>
      </c>
      <c r="G628" s="1"/>
      <c r="H628" s="1">
        <f t="shared" si="68"/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89">
        <v>0</v>
      </c>
      <c r="O628" s="89">
        <v>0</v>
      </c>
      <c r="P628" s="89">
        <v>1320.0799999999997</v>
      </c>
      <c r="Q628" s="54">
        <f t="shared" si="65"/>
        <v>1320.0799999999997</v>
      </c>
      <c r="R628" s="91"/>
      <c r="S628" s="92">
        <f t="shared" si="69"/>
        <v>1</v>
      </c>
      <c r="T628" s="59">
        <f t="shared" si="66"/>
        <v>1320.0799999999997</v>
      </c>
      <c r="U628" s="60">
        <f t="shared" si="67"/>
        <v>0</v>
      </c>
      <c r="V628" s="59" t="str">
        <f t="array" ref="V628">_xlfn.IFS(S628=0,"Alta sin facturar",S628&gt;2,"Cliente",S628&gt;0,"Cliente nuevo")</f>
        <v>Cliente nuevo</v>
      </c>
      <c r="W628" s="59" t="str">
        <f t="shared" si="70"/>
        <v>Ha pagado</v>
      </c>
    </row>
    <row r="629" spans="1:23" x14ac:dyDescent="0.25">
      <c r="A629" s="86">
        <v>44762</v>
      </c>
      <c r="B629" t="str">
        <f t="shared" si="64"/>
        <v>Julio</v>
      </c>
      <c r="C629" s="1" t="s">
        <v>89</v>
      </c>
      <c r="D629" s="58" t="str">
        <f>VLOOKUP(Datos!$C629,$AQ$2:$AR$41,2,0)</f>
        <v>Centro</v>
      </c>
      <c r="E629" s="1">
        <v>23710</v>
      </c>
      <c r="F629" s="1" t="str">
        <f t="array" ref="F629">_xlfn.IFS(H629=0,"Alta sin facturar",H629&gt;2,"Cliente",H629&gt;0,"Cliente nuevo")</f>
        <v>Cliente nuevo</v>
      </c>
      <c r="G629" s="1"/>
      <c r="H629" s="1">
        <f t="shared" si="68"/>
        <v>2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89">
        <v>0</v>
      </c>
      <c r="O629" s="89">
        <v>226.2</v>
      </c>
      <c r="P629" s="89">
        <v>582.31999999999994</v>
      </c>
      <c r="Q629" s="54">
        <f t="shared" si="65"/>
        <v>808.52</v>
      </c>
      <c r="R629" s="91">
        <v>2417.44</v>
      </c>
      <c r="S629" s="92">
        <f t="shared" si="69"/>
        <v>2</v>
      </c>
      <c r="T629" s="59">
        <f t="shared" si="66"/>
        <v>-1608.92</v>
      </c>
      <c r="U629" s="60">
        <f t="shared" si="67"/>
        <v>2.9899569583931136</v>
      </c>
      <c r="V629" s="59" t="str">
        <f t="array" ref="V629">_xlfn.IFS(S629=0,"Alta sin facturar",S629&gt;2,"Cliente",S629&gt;0,"Cliente nuevo")</f>
        <v>Cliente nuevo</v>
      </c>
      <c r="W629" s="59" t="str">
        <f t="shared" si="70"/>
        <v>Sin pago</v>
      </c>
    </row>
    <row r="630" spans="1:23" x14ac:dyDescent="0.25">
      <c r="A630" s="86">
        <v>44762</v>
      </c>
      <c r="B630" t="str">
        <f t="shared" si="64"/>
        <v>Julio</v>
      </c>
      <c r="C630" s="1" t="s">
        <v>38</v>
      </c>
      <c r="D630" s="58" t="str">
        <f>VLOOKUP(Datos!$C630,$AQ$2:$AR$41,2,0)</f>
        <v>Centro</v>
      </c>
      <c r="E630" s="1">
        <v>23711</v>
      </c>
      <c r="F630" s="1" t="str">
        <f t="array" ref="F630">_xlfn.IFS(H630=0,"Alta sin facturar",H630&gt;2,"Cliente",H630&gt;0,"Cliente nuevo")</f>
        <v>Cliente nuevo</v>
      </c>
      <c r="G630" s="1"/>
      <c r="H630" s="1">
        <f t="shared" si="68"/>
        <v>1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89">
        <v>0</v>
      </c>
      <c r="O630" s="89">
        <v>56.839999999999996</v>
      </c>
      <c r="P630" s="89">
        <v>0</v>
      </c>
      <c r="Q630" s="54">
        <f t="shared" si="65"/>
        <v>56.839999999999996</v>
      </c>
      <c r="R630" s="91"/>
      <c r="S630" s="92">
        <f t="shared" si="69"/>
        <v>1</v>
      </c>
      <c r="T630" s="59">
        <f t="shared" si="66"/>
        <v>56.839999999999996</v>
      </c>
      <c r="U630" s="60">
        <f t="shared" si="67"/>
        <v>0</v>
      </c>
      <c r="V630" s="59" t="str">
        <f t="array" ref="V630">_xlfn.IFS(S630=0,"Alta sin facturar",S630&gt;2,"Cliente",S630&gt;0,"Cliente nuevo")</f>
        <v>Cliente nuevo</v>
      </c>
      <c r="W630" s="59" t="str">
        <f t="shared" si="70"/>
        <v>Ha pagado</v>
      </c>
    </row>
    <row r="631" spans="1:23" x14ac:dyDescent="0.25">
      <c r="A631" s="86">
        <v>44763</v>
      </c>
      <c r="B631" t="str">
        <f t="shared" si="64"/>
        <v>Julio</v>
      </c>
      <c r="C631" s="1" t="s">
        <v>36</v>
      </c>
      <c r="D631" s="58" t="str">
        <f>VLOOKUP(Datos!$C631,$AQ$2:$AR$41,2,0)</f>
        <v>Magallanes</v>
      </c>
      <c r="E631" s="1">
        <v>23712</v>
      </c>
      <c r="F631" s="1" t="str">
        <f t="array" ref="F631">_xlfn.IFS(H631=0,"Alta sin facturar",H631&gt;2,"Cliente",H631&gt;0,"Cliente nuevo")</f>
        <v>Alta sin facturar</v>
      </c>
      <c r="G631" s="1"/>
      <c r="H631" s="1">
        <f t="shared" si="68"/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89">
        <v>0</v>
      </c>
      <c r="O631" s="89">
        <v>0</v>
      </c>
      <c r="P631" s="89">
        <v>0</v>
      </c>
      <c r="Q631" s="54">
        <f t="shared" si="65"/>
        <v>0</v>
      </c>
      <c r="R631" s="91"/>
      <c r="S631" s="92">
        <f t="shared" si="69"/>
        <v>0</v>
      </c>
      <c r="T631" s="59">
        <f t="shared" si="66"/>
        <v>0</v>
      </c>
      <c r="U631" s="60">
        <f t="shared" si="67"/>
        <v>0</v>
      </c>
      <c r="V631" s="59" t="str">
        <f t="array" ref="V631">_xlfn.IFS(S631=0,"Alta sin facturar",S631&gt;2,"Cliente",S631&gt;0,"Cliente nuevo")</f>
        <v>Alta sin facturar</v>
      </c>
      <c r="W631" s="59" t="str">
        <f t="shared" si="70"/>
        <v>Sin pago</v>
      </c>
    </row>
    <row r="632" spans="1:23" x14ac:dyDescent="0.25">
      <c r="A632" s="86">
        <v>44763</v>
      </c>
      <c r="B632" t="str">
        <f t="shared" si="64"/>
        <v>Julio</v>
      </c>
      <c r="C632" s="1" t="s">
        <v>89</v>
      </c>
      <c r="D632" s="58" t="str">
        <f>VLOOKUP(Datos!$C632,$AQ$2:$AR$41,2,0)</f>
        <v>Centro</v>
      </c>
      <c r="E632" s="1">
        <v>23713</v>
      </c>
      <c r="F632" s="1" t="str">
        <f t="array" ref="F632">_xlfn.IFS(H632=0,"Alta sin facturar",H632&gt;2,"Cliente",H632&gt;0,"Cliente nuevo")</f>
        <v>Cliente nuevo</v>
      </c>
      <c r="G632" s="1"/>
      <c r="H632" s="1">
        <f t="shared" si="68"/>
        <v>1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89">
        <v>0</v>
      </c>
      <c r="O632" s="89">
        <v>2417.44</v>
      </c>
      <c r="P632" s="89">
        <v>0</v>
      </c>
      <c r="Q632" s="54">
        <f t="shared" si="65"/>
        <v>2417.44</v>
      </c>
      <c r="R632" s="91">
        <v>13746</v>
      </c>
      <c r="S632" s="92">
        <f t="shared" si="69"/>
        <v>1</v>
      </c>
      <c r="T632" s="59">
        <f t="shared" si="66"/>
        <v>-11328.56</v>
      </c>
      <c r="U632" s="60">
        <f t="shared" si="67"/>
        <v>5.6861804222648749</v>
      </c>
      <c r="V632" s="59" t="str">
        <f t="array" ref="V632">_xlfn.IFS(S632=0,"Alta sin facturar",S632&gt;2,"Cliente",S632&gt;0,"Cliente nuevo")</f>
        <v>Cliente nuevo</v>
      </c>
      <c r="W632" s="59" t="str">
        <f t="shared" si="70"/>
        <v>Sin pago</v>
      </c>
    </row>
    <row r="633" spans="1:23" x14ac:dyDescent="0.25">
      <c r="A633" s="86">
        <v>44763</v>
      </c>
      <c r="B633" t="str">
        <f t="shared" si="64"/>
        <v>Julio</v>
      </c>
      <c r="C633" s="1" t="s">
        <v>102</v>
      </c>
      <c r="D633" s="58" t="str">
        <f>VLOOKUP(Datos!$C633,$AQ$2:$AR$41,2,0)</f>
        <v>Sur</v>
      </c>
      <c r="E633" s="1">
        <v>23714</v>
      </c>
      <c r="F633" s="1" t="str">
        <f t="array" ref="F633">_xlfn.IFS(H633=0,"Alta sin facturar",H633&gt;2,"Cliente",H633&gt;0,"Cliente nuevo")</f>
        <v>Cliente nuevo</v>
      </c>
      <c r="G633" s="1"/>
      <c r="H633" s="1">
        <f t="shared" si="68"/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89">
        <v>0</v>
      </c>
      <c r="O633" s="89">
        <v>0</v>
      </c>
      <c r="P633" s="89">
        <v>11612.760000000004</v>
      </c>
      <c r="Q633" s="54">
        <f t="shared" si="65"/>
        <v>11612.760000000004</v>
      </c>
      <c r="R633" s="91"/>
      <c r="S633" s="92">
        <f t="shared" si="69"/>
        <v>1</v>
      </c>
      <c r="T633" s="59">
        <f t="shared" si="66"/>
        <v>11612.760000000004</v>
      </c>
      <c r="U633" s="60">
        <f t="shared" si="67"/>
        <v>0</v>
      </c>
      <c r="V633" s="59" t="str">
        <f t="array" ref="V633">_xlfn.IFS(S633=0,"Alta sin facturar",S633&gt;2,"Cliente",S633&gt;0,"Cliente nuevo")</f>
        <v>Cliente nuevo</v>
      </c>
      <c r="W633" s="59" t="str">
        <f t="shared" si="70"/>
        <v>Ha pagado</v>
      </c>
    </row>
    <row r="634" spans="1:23" x14ac:dyDescent="0.25">
      <c r="A634" s="86">
        <v>44763</v>
      </c>
      <c r="B634" t="str">
        <f t="shared" si="64"/>
        <v>Julio</v>
      </c>
      <c r="C634" s="1" t="s">
        <v>31</v>
      </c>
      <c r="D634" s="58" t="str">
        <f>VLOOKUP(Datos!$C634,$AQ$2:$AR$41,2,0)</f>
        <v>Centro</v>
      </c>
      <c r="E634" s="1">
        <v>23715</v>
      </c>
      <c r="F634" s="1" t="str">
        <f t="array" ref="F634">_xlfn.IFS(H634=0,"Alta sin facturar",H634&gt;2,"Cliente",H634&gt;0,"Cliente nuevo")</f>
        <v>Alta sin facturar</v>
      </c>
      <c r="G634" s="1"/>
      <c r="H634" s="1">
        <f t="shared" si="68"/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89">
        <v>0</v>
      </c>
      <c r="O634" s="89">
        <v>0</v>
      </c>
      <c r="P634" s="89">
        <v>0</v>
      </c>
      <c r="Q634" s="54">
        <f t="shared" si="65"/>
        <v>0</v>
      </c>
      <c r="R634" s="91"/>
      <c r="S634" s="92">
        <f t="shared" si="69"/>
        <v>0</v>
      </c>
      <c r="T634" s="59">
        <f t="shared" si="66"/>
        <v>0</v>
      </c>
      <c r="U634" s="60">
        <f t="shared" si="67"/>
        <v>0</v>
      </c>
      <c r="V634" s="59" t="str">
        <f t="array" ref="V634">_xlfn.IFS(S634=0,"Alta sin facturar",S634&gt;2,"Cliente",S634&gt;0,"Cliente nuevo")</f>
        <v>Alta sin facturar</v>
      </c>
      <c r="W634" s="59" t="str">
        <f t="shared" si="70"/>
        <v>Sin pago</v>
      </c>
    </row>
    <row r="635" spans="1:23" x14ac:dyDescent="0.25">
      <c r="A635" s="86">
        <v>44763</v>
      </c>
      <c r="B635" t="str">
        <f t="shared" si="64"/>
        <v>Julio</v>
      </c>
      <c r="C635" s="1" t="s">
        <v>34</v>
      </c>
      <c r="D635" s="58" t="str">
        <f>VLOOKUP(Datos!$C635,$AQ$2:$AR$41,2,0)</f>
        <v>Norte</v>
      </c>
      <c r="E635" s="1">
        <v>23716</v>
      </c>
      <c r="F635" s="1" t="str">
        <f t="array" ref="F635">_xlfn.IFS(H635=0,"Alta sin facturar",H635&gt;2,"Cliente",H635&gt;0,"Cliente nuevo")</f>
        <v>Alta sin facturar</v>
      </c>
      <c r="G635" s="1"/>
      <c r="H635" s="1">
        <f t="shared" si="68"/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89">
        <v>0</v>
      </c>
      <c r="O635" s="89">
        <v>0</v>
      </c>
      <c r="P635" s="89">
        <v>0</v>
      </c>
      <c r="Q635" s="54">
        <f t="shared" si="65"/>
        <v>0</v>
      </c>
      <c r="R635" s="91">
        <v>648.44000000000005</v>
      </c>
      <c r="S635" s="92">
        <f t="shared" si="69"/>
        <v>0</v>
      </c>
      <c r="T635" s="59">
        <f t="shared" si="66"/>
        <v>-648.44000000000005</v>
      </c>
      <c r="U635" s="60">
        <f t="shared" si="67"/>
        <v>0</v>
      </c>
      <c r="V635" s="59" t="str">
        <f t="array" ref="V635">_xlfn.IFS(S635=0,"Alta sin facturar",S635&gt;2,"Cliente",S635&gt;0,"Cliente nuevo")</f>
        <v>Alta sin facturar</v>
      </c>
      <c r="W635" s="59" t="str">
        <f t="shared" si="70"/>
        <v>Sin pago</v>
      </c>
    </row>
    <row r="636" spans="1:23" x14ac:dyDescent="0.25">
      <c r="A636" s="86">
        <v>44764</v>
      </c>
      <c r="B636" t="str">
        <f t="shared" si="64"/>
        <v>Julio</v>
      </c>
      <c r="C636" s="1" t="s">
        <v>31</v>
      </c>
      <c r="D636" s="58" t="str">
        <f>VLOOKUP(Datos!$C636,$AQ$2:$AR$41,2,0)</f>
        <v>Centro</v>
      </c>
      <c r="E636" s="1">
        <v>23717</v>
      </c>
      <c r="F636" s="1" t="str">
        <f t="array" ref="F636">_xlfn.IFS(H636=0,"Alta sin facturar",H636&gt;2,"Cliente",H636&gt;0,"Cliente nuevo")</f>
        <v>Alta sin facturar</v>
      </c>
      <c r="G636" s="1"/>
      <c r="H636" s="1">
        <f t="shared" si="68"/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89">
        <v>0</v>
      </c>
      <c r="O636" s="89">
        <v>0</v>
      </c>
      <c r="P636" s="89">
        <v>0</v>
      </c>
      <c r="Q636" s="54">
        <f t="shared" si="65"/>
        <v>0</v>
      </c>
      <c r="R636" s="91"/>
      <c r="S636" s="92">
        <f t="shared" si="69"/>
        <v>0</v>
      </c>
      <c r="T636" s="59">
        <f t="shared" si="66"/>
        <v>0</v>
      </c>
      <c r="U636" s="60">
        <f t="shared" si="67"/>
        <v>0</v>
      </c>
      <c r="V636" s="59" t="str">
        <f t="array" ref="V636">_xlfn.IFS(S636=0,"Alta sin facturar",S636&gt;2,"Cliente",S636&gt;0,"Cliente nuevo")</f>
        <v>Alta sin facturar</v>
      </c>
      <c r="W636" s="59" t="str">
        <f t="shared" si="70"/>
        <v>Sin pago</v>
      </c>
    </row>
    <row r="637" spans="1:23" x14ac:dyDescent="0.25">
      <c r="A637" s="86">
        <v>44764</v>
      </c>
      <c r="B637" t="str">
        <f t="shared" si="64"/>
        <v>Julio</v>
      </c>
      <c r="C637" s="1" t="s">
        <v>36</v>
      </c>
      <c r="D637" s="58" t="str">
        <f>VLOOKUP(Datos!$C637,$AQ$2:$AR$41,2,0)</f>
        <v>Magallanes</v>
      </c>
      <c r="E637" s="1">
        <v>23718</v>
      </c>
      <c r="F637" s="1" t="str">
        <f t="array" ref="F637">_xlfn.IFS(H637=0,"Alta sin facturar",H637&gt;2,"Cliente",H637&gt;0,"Cliente nuevo")</f>
        <v>Cliente nuevo</v>
      </c>
      <c r="G637" s="1"/>
      <c r="H637" s="1">
        <f t="shared" si="68"/>
        <v>1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89">
        <v>0</v>
      </c>
      <c r="O637" s="89">
        <v>0</v>
      </c>
      <c r="P637" s="89">
        <v>56.839999999999996</v>
      </c>
      <c r="Q637" s="54">
        <f t="shared" si="65"/>
        <v>56.839999999999996</v>
      </c>
      <c r="R637" s="91"/>
      <c r="S637" s="92">
        <f t="shared" si="69"/>
        <v>1</v>
      </c>
      <c r="T637" s="59">
        <f t="shared" si="66"/>
        <v>56.839999999999996</v>
      </c>
      <c r="U637" s="60">
        <f t="shared" si="67"/>
        <v>0</v>
      </c>
      <c r="V637" s="59" t="str">
        <f t="array" ref="V637">_xlfn.IFS(S637=0,"Alta sin facturar",S637&gt;2,"Cliente",S637&gt;0,"Cliente nuevo")</f>
        <v>Cliente nuevo</v>
      </c>
      <c r="W637" s="59" t="str">
        <f t="shared" si="70"/>
        <v>Ha pagado</v>
      </c>
    </row>
    <row r="638" spans="1:23" x14ac:dyDescent="0.25">
      <c r="A638" s="86">
        <v>44764</v>
      </c>
      <c r="B638" t="str">
        <f t="shared" si="64"/>
        <v>Julio</v>
      </c>
      <c r="C638" s="1" t="s">
        <v>36</v>
      </c>
      <c r="D638" s="58" t="str">
        <f>VLOOKUP(Datos!$C638,$AQ$2:$AR$41,2,0)</f>
        <v>Magallanes</v>
      </c>
      <c r="E638" s="1">
        <v>23719</v>
      </c>
      <c r="F638" s="1" t="str">
        <f t="array" ref="F638">_xlfn.IFS(H638=0,"Alta sin facturar",H638&gt;2,"Cliente",H638&gt;0,"Cliente nuevo")</f>
        <v>Alta sin facturar</v>
      </c>
      <c r="G638" s="1"/>
      <c r="H638" s="1">
        <f t="shared" si="68"/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89">
        <v>0</v>
      </c>
      <c r="O638" s="89">
        <v>0</v>
      </c>
      <c r="P638" s="89">
        <v>0</v>
      </c>
      <c r="Q638" s="54">
        <f t="shared" si="65"/>
        <v>0</v>
      </c>
      <c r="R638" s="91"/>
      <c r="S638" s="92">
        <f t="shared" si="69"/>
        <v>0</v>
      </c>
      <c r="T638" s="59">
        <f t="shared" si="66"/>
        <v>0</v>
      </c>
      <c r="U638" s="60">
        <f t="shared" si="67"/>
        <v>0</v>
      </c>
      <c r="V638" s="59" t="str">
        <f t="array" ref="V638">_xlfn.IFS(S638=0,"Alta sin facturar",S638&gt;2,"Cliente",S638&gt;0,"Cliente nuevo")</f>
        <v>Alta sin facturar</v>
      </c>
      <c r="W638" s="59" t="str">
        <f t="shared" si="70"/>
        <v>Sin pago</v>
      </c>
    </row>
    <row r="639" spans="1:23" x14ac:dyDescent="0.25">
      <c r="A639" s="86">
        <v>44764</v>
      </c>
      <c r="B639" t="str">
        <f t="shared" si="64"/>
        <v>Julio</v>
      </c>
      <c r="C639" s="1" t="s">
        <v>59</v>
      </c>
      <c r="D639" s="58" t="str">
        <f>VLOOKUP(Datos!$C639,$AQ$2:$AR$41,2,0)</f>
        <v>Magallanes</v>
      </c>
      <c r="E639" s="1">
        <v>23720</v>
      </c>
      <c r="F639" s="1" t="str">
        <f t="array" ref="F639">_xlfn.IFS(H639=0,"Alta sin facturar",H639&gt;2,"Cliente",H639&gt;0,"Cliente nuevo")</f>
        <v>Cliente nuevo</v>
      </c>
      <c r="G639" s="1"/>
      <c r="H639" s="1">
        <f t="shared" si="68"/>
        <v>2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89">
        <v>0</v>
      </c>
      <c r="O639" s="89">
        <v>648.43999999999994</v>
      </c>
      <c r="P639" s="89">
        <v>9056.119999999999</v>
      </c>
      <c r="Q639" s="54">
        <f t="shared" si="65"/>
        <v>9704.56</v>
      </c>
      <c r="R639" s="91"/>
      <c r="S639" s="92">
        <f t="shared" si="69"/>
        <v>2</v>
      </c>
      <c r="T639" s="59">
        <f t="shared" si="66"/>
        <v>9704.56</v>
      </c>
      <c r="U639" s="60">
        <f t="shared" si="67"/>
        <v>0</v>
      </c>
      <c r="V639" s="59" t="str">
        <f t="array" ref="V639">_xlfn.IFS(S639=0,"Alta sin facturar",S639&gt;2,"Cliente",S639&gt;0,"Cliente nuevo")</f>
        <v>Cliente nuevo</v>
      </c>
      <c r="W639" s="59" t="str">
        <f t="shared" si="70"/>
        <v>Ha pagado</v>
      </c>
    </row>
    <row r="640" spans="1:23" x14ac:dyDescent="0.25">
      <c r="A640" s="86">
        <v>44765</v>
      </c>
      <c r="B640" t="str">
        <f t="shared" si="64"/>
        <v>Julio</v>
      </c>
      <c r="C640" s="1" t="s">
        <v>78</v>
      </c>
      <c r="D640" s="58" t="str">
        <f>VLOOKUP(Datos!$C640,$AQ$2:$AR$41,2,0)</f>
        <v>Centro</v>
      </c>
      <c r="E640" s="1">
        <v>23721</v>
      </c>
      <c r="F640" s="1" t="str">
        <f t="array" ref="F640">_xlfn.IFS(H640=0,"Alta sin facturar",H640&gt;2,"Cliente",H640&gt;0,"Cliente nuevo")</f>
        <v>Cliente nuevo</v>
      </c>
      <c r="G640" s="1"/>
      <c r="H640" s="1">
        <f t="shared" si="68"/>
        <v>1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89">
        <v>0</v>
      </c>
      <c r="O640" s="89">
        <v>0</v>
      </c>
      <c r="P640" s="89">
        <v>6608.5199999999995</v>
      </c>
      <c r="Q640" s="54">
        <f t="shared" si="65"/>
        <v>6608.5199999999995</v>
      </c>
      <c r="R640" s="91"/>
      <c r="S640" s="92">
        <f t="shared" si="69"/>
        <v>1</v>
      </c>
      <c r="T640" s="59">
        <f t="shared" si="66"/>
        <v>6608.5199999999995</v>
      </c>
      <c r="U640" s="60">
        <f t="shared" si="67"/>
        <v>0</v>
      </c>
      <c r="V640" s="59" t="str">
        <f t="array" ref="V640">_xlfn.IFS(S640=0,"Alta sin facturar",S640&gt;2,"Cliente",S640&gt;0,"Cliente nuevo")</f>
        <v>Cliente nuevo</v>
      </c>
      <c r="W640" s="59" t="str">
        <f t="shared" si="70"/>
        <v>Ha pagado</v>
      </c>
    </row>
    <row r="641" spans="1:23" x14ac:dyDescent="0.25">
      <c r="A641" s="86">
        <v>44767</v>
      </c>
      <c r="B641" t="str">
        <f t="shared" si="64"/>
        <v>Julio</v>
      </c>
      <c r="C641" s="1" t="s">
        <v>36</v>
      </c>
      <c r="D641" s="58" t="str">
        <f>VLOOKUP(Datos!$C641,$AQ$2:$AR$41,2,0)</f>
        <v>Magallanes</v>
      </c>
      <c r="E641" s="1">
        <v>23722</v>
      </c>
      <c r="F641" s="1" t="str">
        <f t="array" ref="F641">_xlfn.IFS(H641=0,"Alta sin facturar",H641&gt;2,"Cliente",H641&gt;0,"Cliente nuevo")</f>
        <v>Cliente nuevo</v>
      </c>
      <c r="G641" s="1"/>
      <c r="H641" s="1">
        <f t="shared" si="68"/>
        <v>1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89">
        <v>0</v>
      </c>
      <c r="O641" s="89">
        <v>0</v>
      </c>
      <c r="P641" s="89">
        <v>589.28</v>
      </c>
      <c r="Q641" s="54">
        <f t="shared" si="65"/>
        <v>589.28</v>
      </c>
      <c r="R641" s="91"/>
      <c r="S641" s="92">
        <f t="shared" si="69"/>
        <v>1</v>
      </c>
      <c r="T641" s="59">
        <f t="shared" si="66"/>
        <v>589.28</v>
      </c>
      <c r="U641" s="60">
        <f t="shared" si="67"/>
        <v>0</v>
      </c>
      <c r="V641" s="59" t="str">
        <f t="array" ref="V641">_xlfn.IFS(S641=0,"Alta sin facturar",S641&gt;2,"Cliente",S641&gt;0,"Cliente nuevo")</f>
        <v>Cliente nuevo</v>
      </c>
      <c r="W641" s="59" t="str">
        <f t="shared" si="70"/>
        <v>Ha pagado</v>
      </c>
    </row>
    <row r="642" spans="1:23" x14ac:dyDescent="0.25">
      <c r="A642" s="86">
        <v>44767</v>
      </c>
      <c r="B642" t="str">
        <f>PROPER(TEXT(A642,"mmmm"))</f>
        <v>Julio</v>
      </c>
      <c r="C642" s="1" t="s">
        <v>97</v>
      </c>
      <c r="D642" s="58" t="str">
        <f>VLOOKUP(Datos!$C642,$AQ$2:$AR$41,2,0)</f>
        <v>Centro</v>
      </c>
      <c r="E642" s="1">
        <v>23723</v>
      </c>
      <c r="F642" s="1" t="str">
        <f t="array" ref="F642">_xlfn.IFS(H642=0,"Alta sin facturar",H642&gt;2,"Cliente",H642&gt;0,"Cliente nuevo")</f>
        <v>Cliente nuevo</v>
      </c>
      <c r="G642" s="1"/>
      <c r="H642" s="1">
        <f t="shared" si="68"/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89">
        <v>0</v>
      </c>
      <c r="O642" s="89">
        <v>0</v>
      </c>
      <c r="P642" s="89">
        <v>487.19999999999993</v>
      </c>
      <c r="Q642" s="54">
        <f t="shared" ref="Q642:Q705" si="71">SUBTOTAL(109,I642:P642)</f>
        <v>487.19999999999993</v>
      </c>
      <c r="R642" s="91"/>
      <c r="S642" s="92">
        <f t="shared" si="69"/>
        <v>1</v>
      </c>
      <c r="T642" s="59">
        <f>Q642-R642</f>
        <v>487.19999999999993</v>
      </c>
      <c r="U642" s="60">
        <f>IF(Q642=0,0,R642/Q642)</f>
        <v>0</v>
      </c>
      <c r="V642" s="59" t="str">
        <f t="array" ref="V642">_xlfn.IFS(S642=0,"Alta sin facturar",S642&gt;2,"Cliente",S642&gt;0,"Cliente nuevo")</f>
        <v>Cliente nuevo</v>
      </c>
      <c r="W642" s="59" t="str">
        <f t="shared" si="70"/>
        <v>Ha pagado</v>
      </c>
    </row>
    <row r="643" spans="1:23" x14ac:dyDescent="0.25">
      <c r="A643" s="86">
        <v>44767</v>
      </c>
      <c r="B643" t="str">
        <f>PROPER(TEXT(A643,"mmmm"))</f>
        <v>Julio</v>
      </c>
      <c r="C643" s="1" t="s">
        <v>97</v>
      </c>
      <c r="D643" s="58" t="str">
        <f>VLOOKUP(Datos!$C643,$AQ$2:$AR$41,2,0)</f>
        <v>Centro</v>
      </c>
      <c r="E643" s="1">
        <v>23724</v>
      </c>
      <c r="F643" s="1" t="str">
        <f t="array" ref="F643">_xlfn.IFS(H643=0,"Alta sin facturar",H643&gt;2,"Cliente",H643&gt;0,"Cliente nuevo")</f>
        <v>Alta sin facturar</v>
      </c>
      <c r="G643" s="1"/>
      <c r="H643" s="1">
        <f t="shared" ref="H643:H706" si="72">COUNTIF(I643:P643,"&gt;0")</f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89">
        <v>0</v>
      </c>
      <c r="O643" s="89">
        <v>0</v>
      </c>
      <c r="P643" s="89">
        <v>0</v>
      </c>
      <c r="Q643" s="54">
        <f t="shared" si="71"/>
        <v>0</v>
      </c>
      <c r="R643" s="91"/>
      <c r="S643" s="92">
        <f t="shared" ref="S643:S706" si="73">COUNTIF(I643:P643,"&gt;0")</f>
        <v>0</v>
      </c>
      <c r="T643" s="59">
        <f>Q643-R643</f>
        <v>0</v>
      </c>
      <c r="U643" s="60">
        <f>IF(Q643=0,0,R643/Q643)</f>
        <v>0</v>
      </c>
      <c r="V643" s="59" t="str">
        <f t="array" ref="V643">_xlfn.IFS(S643=0,"Alta sin facturar",S643&gt;2,"Cliente",S643&gt;0,"Cliente nuevo")</f>
        <v>Alta sin facturar</v>
      </c>
      <c r="W643" s="59" t="str">
        <f>IF(T643&lt;1,"Sin pago","Ha pagado")</f>
        <v>Sin pago</v>
      </c>
    </row>
    <row r="644" spans="1:23" x14ac:dyDescent="0.25">
      <c r="A644" s="86">
        <v>44768</v>
      </c>
      <c r="B644" t="str">
        <f>PROPER(TEXT(A644,"mmmm"))</f>
        <v>Julio</v>
      </c>
      <c r="C644" s="1" t="s">
        <v>33</v>
      </c>
      <c r="D644" s="58" t="str">
        <f>VLOOKUP(Datos!$C644,$AQ$2:$AR$41,2,0)</f>
        <v>Magallanes</v>
      </c>
      <c r="E644" s="1">
        <v>23725</v>
      </c>
      <c r="F644" s="1" t="str">
        <f t="array" ref="F644">_xlfn.IFS(H644=0,"Alta sin facturar",H644&gt;2,"Cliente",H644&gt;0,"Cliente nuevo")</f>
        <v>Cliente nuevo</v>
      </c>
      <c r="G644" s="1"/>
      <c r="H644" s="1">
        <f t="shared" si="72"/>
        <v>1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89">
        <v>0</v>
      </c>
      <c r="O644" s="89">
        <v>0</v>
      </c>
      <c r="P644" s="89">
        <v>6047.079999999999</v>
      </c>
      <c r="Q644" s="54">
        <f t="shared" si="71"/>
        <v>6047.079999999999</v>
      </c>
      <c r="R644" s="91"/>
      <c r="S644" s="92">
        <f t="shared" si="73"/>
        <v>1</v>
      </c>
      <c r="T644" s="59">
        <f>Q644-R644</f>
        <v>6047.079999999999</v>
      </c>
      <c r="U644" s="60">
        <f>IF(Q644=0,0,R644/Q644)</f>
        <v>0</v>
      </c>
      <c r="V644" s="59" t="str">
        <f t="array" ref="V644">_xlfn.IFS(S644=0,"Alta sin facturar",S644&gt;2,"Cliente",S644&gt;0,"Cliente nuevo")</f>
        <v>Cliente nuevo</v>
      </c>
      <c r="W644" s="59" t="str">
        <f>IF(T644&lt;1,"Sin pago","Ha pagado")</f>
        <v>Ha pagado</v>
      </c>
    </row>
    <row r="645" spans="1:23" x14ac:dyDescent="0.25">
      <c r="A645" s="86">
        <v>44768</v>
      </c>
      <c r="B645" t="str">
        <f>PROPER(TEXT(A645,"mmmm"))</f>
        <v>Julio</v>
      </c>
      <c r="C645" s="1" t="s">
        <v>32</v>
      </c>
      <c r="D645" s="58" t="str">
        <f>VLOOKUP(Datos!$C645,$AQ$2:$AR$41,2,0)</f>
        <v>Norte</v>
      </c>
      <c r="E645" s="1">
        <v>23726</v>
      </c>
      <c r="F645" s="1" t="str">
        <f t="array" ref="F645">_xlfn.IFS(H645=0,"Alta sin facturar",H645&gt;2,"Cliente",H645&gt;0,"Cliente nuevo")</f>
        <v>Cliente nuevo</v>
      </c>
      <c r="G645" s="1"/>
      <c r="H645" s="1">
        <f t="shared" si="72"/>
        <v>1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89">
        <v>0</v>
      </c>
      <c r="O645" s="89">
        <v>0</v>
      </c>
      <c r="P645" s="89">
        <v>6129.44</v>
      </c>
      <c r="Q645" s="54">
        <f t="shared" si="71"/>
        <v>6129.44</v>
      </c>
      <c r="R645" s="91"/>
      <c r="S645" s="92">
        <f t="shared" si="73"/>
        <v>1</v>
      </c>
      <c r="T645" s="59">
        <f>Q645-R645</f>
        <v>6129.44</v>
      </c>
      <c r="U645" s="60">
        <f>IF(Q645=0,0,R645/Q645)</f>
        <v>0</v>
      </c>
      <c r="V645" s="59" t="str">
        <f t="array" ref="V645">_xlfn.IFS(S645=0,"Alta sin facturar",S645&gt;2,"Cliente",S645&gt;0,"Cliente nuevo")</f>
        <v>Cliente nuevo</v>
      </c>
      <c r="W645" s="59" t="str">
        <f>IF(T645&lt;1,"Sin pago","Ha pagado")</f>
        <v>Ha pagado</v>
      </c>
    </row>
    <row r="646" spans="1:23" x14ac:dyDescent="0.25">
      <c r="A646" s="86">
        <v>44768</v>
      </c>
      <c r="B646" t="str">
        <f>PROPER(TEXT(A646,"mmmm"))</f>
        <v>Julio</v>
      </c>
      <c r="C646" s="1" t="s">
        <v>39</v>
      </c>
      <c r="D646" s="58" t="str">
        <f>VLOOKUP(Datos!$C646,$AQ$2:$AR$41,2,0)</f>
        <v>Sur</v>
      </c>
      <c r="E646" s="1">
        <v>23727</v>
      </c>
      <c r="F646" s="1" t="str">
        <f t="array" ref="F646">_xlfn.IFS(H646=0,"Alta sin facturar",H646&gt;2,"Cliente",H646&gt;0,"Cliente nuevo")</f>
        <v>Alta sin facturar</v>
      </c>
      <c r="G646" s="1"/>
      <c r="H646" s="1">
        <f t="shared" si="72"/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89">
        <v>0</v>
      </c>
      <c r="O646" s="89">
        <v>0</v>
      </c>
      <c r="P646" s="89">
        <v>0</v>
      </c>
      <c r="Q646" s="54">
        <f t="shared" si="71"/>
        <v>0</v>
      </c>
      <c r="R646" s="91"/>
      <c r="S646" s="92">
        <f t="shared" si="73"/>
        <v>0</v>
      </c>
      <c r="T646" s="59">
        <f>Q646-R646</f>
        <v>0</v>
      </c>
      <c r="U646" s="60">
        <f>IF(Q646=0,0,R646/Q646)</f>
        <v>0</v>
      </c>
      <c r="V646" s="59" t="str">
        <f t="array" ref="V646">_xlfn.IFS(S646=0,"Alta sin facturar",S646&gt;2,"Cliente",S646&gt;0,"Cliente nuevo")</f>
        <v>Alta sin facturar</v>
      </c>
      <c r="W646" s="59" t="str">
        <f>IF(T646&lt;1,"Sin pago","Ha pagado")</f>
        <v>Sin pago</v>
      </c>
    </row>
    <row r="647" spans="1:23" x14ac:dyDescent="0.25">
      <c r="A647" s="106">
        <v>44770</v>
      </c>
      <c r="B647" s="107" t="str">
        <f t="shared" ref="B647:B678" si="74">PROPER(TEXT(A647,"mmmm"))</f>
        <v>Julio</v>
      </c>
      <c r="C647" s="1" t="s">
        <v>78</v>
      </c>
      <c r="D647" s="58" t="str">
        <f>VLOOKUP(Datos!$C647,$AQ$2:$AR$41,2,0)</f>
        <v>Centro</v>
      </c>
      <c r="E647" s="1">
        <v>23728</v>
      </c>
      <c r="F647" s="1" t="str">
        <f t="array" ref="F647">_xlfn.IFS(H647=0,"Alta sin facturar",H647&gt;2,"Cliente",H647&gt;0,"Cliente nuevo")</f>
        <v>Cliente nuevo</v>
      </c>
      <c r="G647" s="1"/>
      <c r="H647" s="1">
        <f t="shared" si="72"/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89">
        <v>0</v>
      </c>
      <c r="O647" s="89">
        <v>0</v>
      </c>
      <c r="P647" s="89">
        <v>3409.24</v>
      </c>
      <c r="Q647" s="54">
        <f t="shared" si="71"/>
        <v>3409.24</v>
      </c>
      <c r="R647" s="92"/>
      <c r="S647" s="92">
        <f t="shared" si="73"/>
        <v>1</v>
      </c>
      <c r="T647" s="60"/>
      <c r="U647" s="59"/>
      <c r="V647" s="59"/>
    </row>
    <row r="648" spans="1:23" x14ac:dyDescent="0.25">
      <c r="A648" s="106">
        <v>44771</v>
      </c>
      <c r="B648" t="str">
        <f t="shared" si="74"/>
        <v>Julio</v>
      </c>
      <c r="C648" s="1" t="s">
        <v>36</v>
      </c>
      <c r="D648" s="58" t="str">
        <f>VLOOKUP(Datos!$C648,$AQ$2:$AR$41,2,0)</f>
        <v>Magallanes</v>
      </c>
      <c r="E648" s="1">
        <v>23729</v>
      </c>
      <c r="F648" s="1" t="str">
        <f t="array" ref="F648">_xlfn.IFS(H648=0,"Alta sin facturar",H648&gt;2,"Cliente",H648&gt;0,"Cliente nuevo")</f>
        <v>Cliente nuevo</v>
      </c>
      <c r="G648" s="1"/>
      <c r="H648" s="1">
        <f t="shared" si="72"/>
        <v>1</v>
      </c>
      <c r="I648" s="108">
        <v>0</v>
      </c>
      <c r="J648" s="108">
        <v>0</v>
      </c>
      <c r="K648" s="108">
        <v>0</v>
      </c>
      <c r="L648" s="108">
        <v>0</v>
      </c>
      <c r="M648" s="108">
        <v>0</v>
      </c>
      <c r="N648" s="109">
        <v>0</v>
      </c>
      <c r="O648" s="109">
        <v>0</v>
      </c>
      <c r="P648" s="109">
        <v>990.6400000000001</v>
      </c>
      <c r="Q648" s="110">
        <f t="shared" si="71"/>
        <v>990.6400000000001</v>
      </c>
      <c r="R648" s="92"/>
      <c r="S648" s="92">
        <f t="shared" si="73"/>
        <v>1</v>
      </c>
      <c r="T648" s="60"/>
      <c r="U648" s="59"/>
      <c r="V648" s="59"/>
    </row>
    <row r="649" spans="1:23" x14ac:dyDescent="0.25">
      <c r="A649" s="106">
        <v>44771</v>
      </c>
      <c r="B649" t="str">
        <f t="shared" si="74"/>
        <v>Julio</v>
      </c>
      <c r="C649" s="1" t="s">
        <v>78</v>
      </c>
      <c r="D649" s="58" t="str">
        <f>VLOOKUP(Datos!$C649,$AQ$2:$AR$41,2,0)</f>
        <v>Centro</v>
      </c>
      <c r="E649" s="1">
        <v>23730</v>
      </c>
      <c r="F649" s="1" t="str">
        <f t="array" ref="F649">_xlfn.IFS(H649=0,"Alta sin facturar",H649&gt;2,"Cliente",H649&gt;0,"Cliente nuevo")</f>
        <v>Alta sin facturar</v>
      </c>
      <c r="G649" s="1"/>
      <c r="H649" s="1">
        <f t="shared" si="72"/>
        <v>0</v>
      </c>
      <c r="I649" s="108">
        <v>0</v>
      </c>
      <c r="J649" s="108">
        <v>0</v>
      </c>
      <c r="K649" s="108">
        <v>0</v>
      </c>
      <c r="L649" s="108">
        <v>0</v>
      </c>
      <c r="M649" s="108">
        <v>0</v>
      </c>
      <c r="N649" s="109">
        <v>0</v>
      </c>
      <c r="O649" s="109">
        <v>0</v>
      </c>
      <c r="P649" s="109">
        <v>0</v>
      </c>
      <c r="Q649" s="110">
        <f t="shared" si="71"/>
        <v>0</v>
      </c>
      <c r="R649" s="93"/>
      <c r="S649" s="92">
        <f t="shared" si="73"/>
        <v>0</v>
      </c>
      <c r="T649" s="94"/>
    </row>
    <row r="650" spans="1:23" x14ac:dyDescent="0.25">
      <c r="A650" s="106">
        <v>44771</v>
      </c>
      <c r="B650" t="str">
        <f t="shared" si="74"/>
        <v>Julio</v>
      </c>
      <c r="C650" s="1" t="s">
        <v>74</v>
      </c>
      <c r="D650" s="58" t="str">
        <f>VLOOKUP(Datos!$C650,$AQ$2:$AR$41,2,0)</f>
        <v>Sur</v>
      </c>
      <c r="E650" s="1">
        <v>23731</v>
      </c>
      <c r="F650" s="1" t="str">
        <f t="array" ref="F650">_xlfn.IFS(H650=0,"Alta sin facturar",H650&gt;2,"Cliente",H650&gt;0,"Cliente nuevo")</f>
        <v>Cliente nuevo</v>
      </c>
      <c r="G650" s="1"/>
      <c r="H650" s="1">
        <f t="shared" si="72"/>
        <v>1</v>
      </c>
      <c r="I650" s="108">
        <v>0</v>
      </c>
      <c r="J650" s="108">
        <v>0</v>
      </c>
      <c r="K650" s="108">
        <v>0</v>
      </c>
      <c r="L650" s="108">
        <v>0</v>
      </c>
      <c r="M650" s="108">
        <v>0</v>
      </c>
      <c r="N650" s="109">
        <v>0</v>
      </c>
      <c r="O650" s="109">
        <v>0</v>
      </c>
      <c r="P650" s="109">
        <v>885.07999999999993</v>
      </c>
      <c r="Q650" s="110">
        <f t="shared" si="71"/>
        <v>885.07999999999993</v>
      </c>
      <c r="S650" s="92">
        <f t="shared" si="73"/>
        <v>1</v>
      </c>
    </row>
    <row r="651" spans="1:23" x14ac:dyDescent="0.25">
      <c r="A651" s="106">
        <v>44772</v>
      </c>
      <c r="B651" t="str">
        <f t="shared" si="74"/>
        <v>Julio</v>
      </c>
      <c r="C651" s="1" t="s">
        <v>60</v>
      </c>
      <c r="D651" s="58" t="str">
        <f>VLOOKUP(Datos!$C651,$AQ$2:$AR$41,2,0)</f>
        <v>Norte</v>
      </c>
      <c r="E651" s="1">
        <v>23732</v>
      </c>
      <c r="F651" s="1" t="str">
        <f t="array" ref="F651">_xlfn.IFS(H651=0,"Alta sin facturar",H651&gt;2,"Cliente",H651&gt;0,"Cliente nuevo")</f>
        <v>Cliente nuevo</v>
      </c>
      <c r="G651" s="1"/>
      <c r="H651" s="1">
        <f t="shared" si="72"/>
        <v>1</v>
      </c>
      <c r="I651" s="108">
        <v>0</v>
      </c>
      <c r="J651" s="108">
        <v>0</v>
      </c>
      <c r="K651" s="108">
        <v>0</v>
      </c>
      <c r="L651" s="108">
        <v>0</v>
      </c>
      <c r="M651" s="108">
        <v>0</v>
      </c>
      <c r="N651" s="109">
        <v>0</v>
      </c>
      <c r="O651" s="109">
        <v>0</v>
      </c>
      <c r="P651" s="109">
        <v>28.999999999999996</v>
      </c>
      <c r="Q651" s="110">
        <f t="shared" si="71"/>
        <v>28.999999999999996</v>
      </c>
      <c r="S651" s="92">
        <f t="shared" si="73"/>
        <v>1</v>
      </c>
    </row>
    <row r="652" spans="1:23" x14ac:dyDescent="0.25">
      <c r="A652" s="106">
        <v>44772</v>
      </c>
      <c r="B652" t="str">
        <f t="shared" si="74"/>
        <v>Julio</v>
      </c>
      <c r="C652" s="1" t="s">
        <v>32</v>
      </c>
      <c r="D652" s="58" t="str">
        <f>VLOOKUP(Datos!$C652,$AQ$2:$AR$41,2,0)</f>
        <v>Norte</v>
      </c>
      <c r="E652" s="1">
        <v>23733</v>
      </c>
      <c r="F652" s="1" t="str">
        <f t="array" ref="F652">_xlfn.IFS(H652=0,"Alta sin facturar",H652&gt;2,"Cliente",H652&gt;0,"Cliente nuevo")</f>
        <v>Alta sin facturar</v>
      </c>
      <c r="G652" s="1"/>
      <c r="H652" s="1">
        <f t="shared" si="72"/>
        <v>0</v>
      </c>
      <c r="I652" s="108">
        <v>0</v>
      </c>
      <c r="J652" s="108">
        <v>0</v>
      </c>
      <c r="K652" s="108">
        <v>0</v>
      </c>
      <c r="L652" s="108">
        <v>0</v>
      </c>
      <c r="M652" s="108">
        <v>0</v>
      </c>
      <c r="N652" s="109">
        <v>0</v>
      </c>
      <c r="O652" s="109">
        <v>0</v>
      </c>
      <c r="P652" s="109">
        <v>0</v>
      </c>
      <c r="Q652" s="110">
        <f t="shared" si="71"/>
        <v>0</v>
      </c>
      <c r="S652" s="92">
        <f t="shared" si="73"/>
        <v>0</v>
      </c>
    </row>
    <row r="653" spans="1:23" x14ac:dyDescent="0.25">
      <c r="A653" s="106">
        <v>44774</v>
      </c>
      <c r="B653" t="str">
        <f t="shared" si="74"/>
        <v>Agosto</v>
      </c>
      <c r="C653" s="1" t="s">
        <v>39</v>
      </c>
      <c r="D653" s="58" t="str">
        <f>VLOOKUP(Datos!$C653,$AQ$2:$AR$41,2,0)</f>
        <v>Sur</v>
      </c>
      <c r="E653" s="1">
        <v>23734</v>
      </c>
      <c r="F653" s="1" t="str">
        <f t="array" ref="F653">_xlfn.IFS(H653=0,"Alta sin facturar",H653&gt;2,"Cliente",H653&gt;0,"Cliente nuevo")</f>
        <v>Alta sin facturar</v>
      </c>
      <c r="G653" s="1"/>
      <c r="H653" s="1">
        <f t="shared" si="72"/>
        <v>0</v>
      </c>
      <c r="I653" s="108">
        <v>0</v>
      </c>
      <c r="J653" s="108">
        <v>0</v>
      </c>
      <c r="K653" s="108">
        <v>0</v>
      </c>
      <c r="L653" s="108">
        <v>0</v>
      </c>
      <c r="M653" s="108">
        <v>0</v>
      </c>
      <c r="N653" s="109">
        <v>0</v>
      </c>
      <c r="O653" s="109">
        <v>0</v>
      </c>
      <c r="P653" s="109">
        <v>0</v>
      </c>
      <c r="Q653" s="110">
        <f t="shared" si="71"/>
        <v>0</v>
      </c>
      <c r="S653" s="92">
        <f t="shared" si="73"/>
        <v>0</v>
      </c>
    </row>
    <row r="654" spans="1:23" x14ac:dyDescent="0.25">
      <c r="A654" s="106">
        <v>44774</v>
      </c>
      <c r="B654" t="str">
        <f t="shared" si="74"/>
        <v>Agosto</v>
      </c>
      <c r="C654" s="1" t="s">
        <v>65</v>
      </c>
      <c r="D654" s="58" t="str">
        <f>VLOOKUP(Datos!$C654,$AQ$2:$AR$41,2,0)</f>
        <v>Centro</v>
      </c>
      <c r="E654" s="1">
        <v>23735</v>
      </c>
      <c r="F654" s="1" t="str">
        <f t="array" ref="F654">_xlfn.IFS(H654=0,"Alta sin facturar",H654&gt;2,"Cliente",H654&gt;0,"Cliente nuevo")</f>
        <v>Cliente nuevo</v>
      </c>
      <c r="G654" s="1"/>
      <c r="H654" s="1">
        <f t="shared" si="72"/>
        <v>1</v>
      </c>
      <c r="I654" s="108">
        <v>0</v>
      </c>
      <c r="J654" s="108">
        <v>0</v>
      </c>
      <c r="K654" s="108">
        <v>0</v>
      </c>
      <c r="L654" s="108">
        <v>0</v>
      </c>
      <c r="M654" s="108">
        <v>0</v>
      </c>
      <c r="N654" s="109">
        <v>0</v>
      </c>
      <c r="O654" s="109">
        <v>0</v>
      </c>
      <c r="P654" s="109">
        <v>231.99999999999997</v>
      </c>
      <c r="Q654" s="110">
        <f t="shared" si="71"/>
        <v>231.99999999999997</v>
      </c>
      <c r="S654" s="92">
        <f t="shared" si="73"/>
        <v>1</v>
      </c>
    </row>
    <row r="655" spans="1:23" x14ac:dyDescent="0.25">
      <c r="A655" s="106">
        <v>44775</v>
      </c>
      <c r="B655" t="str">
        <f t="shared" si="74"/>
        <v>Agosto</v>
      </c>
      <c r="C655" s="1" t="s">
        <v>105</v>
      </c>
      <c r="D655" s="58" t="str">
        <f>VLOOKUP(Datos!$C655,$AQ$2:$AR$41,2,0)</f>
        <v>Norte</v>
      </c>
      <c r="E655" s="1">
        <v>23736</v>
      </c>
      <c r="F655" s="1" t="str">
        <f t="array" ref="F655">_xlfn.IFS(H655=0,"Alta sin facturar",H655&gt;2,"Cliente",H655&gt;0,"Cliente nuevo")</f>
        <v>Alta sin facturar</v>
      </c>
      <c r="G655" s="1"/>
      <c r="H655" s="1">
        <f t="shared" si="72"/>
        <v>0</v>
      </c>
      <c r="I655" s="108">
        <v>0</v>
      </c>
      <c r="J655" s="108">
        <v>0</v>
      </c>
      <c r="K655" s="108">
        <v>0</v>
      </c>
      <c r="L655" s="108">
        <v>0</v>
      </c>
      <c r="M655" s="108">
        <v>0</v>
      </c>
      <c r="N655" s="109">
        <v>0</v>
      </c>
      <c r="O655" s="109">
        <v>0</v>
      </c>
      <c r="P655" s="109">
        <v>0</v>
      </c>
      <c r="Q655" s="110">
        <f t="shared" si="71"/>
        <v>0</v>
      </c>
      <c r="S655" s="92">
        <f t="shared" si="73"/>
        <v>0</v>
      </c>
    </row>
    <row r="656" spans="1:23" x14ac:dyDescent="0.25">
      <c r="A656" s="106">
        <v>44775</v>
      </c>
      <c r="B656" t="str">
        <f t="shared" si="74"/>
        <v>Agosto</v>
      </c>
      <c r="C656" s="1" t="s">
        <v>67</v>
      </c>
      <c r="D656" s="58" t="str">
        <f>VLOOKUP(Datos!$C656,$AQ$2:$AR$41,2,0)</f>
        <v>Norte</v>
      </c>
      <c r="E656" s="1">
        <v>23737</v>
      </c>
      <c r="F656" s="1" t="str">
        <f t="array" ref="F656">_xlfn.IFS(H656=0,"Alta sin facturar",H656&gt;2,"Cliente",H656&gt;0,"Cliente nuevo")</f>
        <v>Cliente nuevo</v>
      </c>
      <c r="G656" s="1"/>
      <c r="H656" s="1">
        <f t="shared" si="72"/>
        <v>1</v>
      </c>
      <c r="I656" s="108">
        <v>0</v>
      </c>
      <c r="J656" s="108">
        <v>0</v>
      </c>
      <c r="K656" s="108">
        <v>0</v>
      </c>
      <c r="L656" s="108">
        <v>0</v>
      </c>
      <c r="M656" s="108">
        <v>0</v>
      </c>
      <c r="N656" s="109">
        <v>0</v>
      </c>
      <c r="O656" s="109">
        <v>0</v>
      </c>
      <c r="P656" s="109">
        <v>883.92000000000007</v>
      </c>
      <c r="Q656" s="110">
        <f t="shared" si="71"/>
        <v>883.92000000000007</v>
      </c>
      <c r="S656" s="92">
        <f t="shared" si="73"/>
        <v>1</v>
      </c>
    </row>
    <row r="657" spans="1:19" x14ac:dyDescent="0.25">
      <c r="A657" s="106">
        <v>44775</v>
      </c>
      <c r="B657" t="str">
        <f t="shared" si="74"/>
        <v>Agosto</v>
      </c>
      <c r="C657" s="1" t="s">
        <v>32</v>
      </c>
      <c r="D657" s="58" t="str">
        <f>VLOOKUP(Datos!$C657,$AQ$2:$AR$41,2,0)</f>
        <v>Norte</v>
      </c>
      <c r="E657" s="1">
        <v>23738</v>
      </c>
      <c r="F657" s="1" t="str">
        <f t="array" ref="F657">_xlfn.IFS(H657=0,"Alta sin facturar",H657&gt;2,"Cliente",H657&gt;0,"Cliente nuevo")</f>
        <v>Alta sin facturar</v>
      </c>
      <c r="G657" s="1"/>
      <c r="H657" s="1">
        <f t="shared" si="72"/>
        <v>0</v>
      </c>
      <c r="I657" s="108">
        <v>0</v>
      </c>
      <c r="J657" s="108">
        <v>0</v>
      </c>
      <c r="K657" s="108">
        <v>0</v>
      </c>
      <c r="L657" s="108">
        <v>0</v>
      </c>
      <c r="M657" s="108">
        <v>0</v>
      </c>
      <c r="N657" s="109">
        <v>0</v>
      </c>
      <c r="O657" s="109">
        <v>0</v>
      </c>
      <c r="P657" s="109">
        <v>0</v>
      </c>
      <c r="Q657" s="110">
        <f t="shared" si="71"/>
        <v>0</v>
      </c>
      <c r="S657" s="92">
        <f t="shared" si="73"/>
        <v>0</v>
      </c>
    </row>
    <row r="658" spans="1:19" x14ac:dyDescent="0.25">
      <c r="A658" s="106">
        <v>44785</v>
      </c>
      <c r="B658" t="str">
        <f t="shared" si="74"/>
        <v>Agosto</v>
      </c>
      <c r="C658" s="1" t="s">
        <v>74</v>
      </c>
      <c r="D658" s="58" t="str">
        <f>VLOOKUP(Datos!$C658,$AQ$2:$AR$41,2,0)</f>
        <v>Sur</v>
      </c>
      <c r="E658" s="1">
        <v>23739</v>
      </c>
      <c r="F658" s="1" t="str">
        <f t="array" ref="F658">_xlfn.IFS(H658=0,"Alta sin facturar",H658&gt;2,"Cliente",H658&gt;0,"Cliente nuevo")</f>
        <v>Cliente nuevo</v>
      </c>
      <c r="G658" s="1"/>
      <c r="H658" s="1">
        <f t="shared" si="72"/>
        <v>1</v>
      </c>
      <c r="I658" s="108">
        <v>0</v>
      </c>
      <c r="J658" s="108">
        <v>0</v>
      </c>
      <c r="K658" s="108">
        <v>0</v>
      </c>
      <c r="L658" s="108">
        <v>0</v>
      </c>
      <c r="M658" s="108">
        <v>0</v>
      </c>
      <c r="N658" s="109">
        <v>0</v>
      </c>
      <c r="O658" s="109">
        <v>0</v>
      </c>
      <c r="P658" s="109">
        <v>4379</v>
      </c>
      <c r="Q658" s="110">
        <f t="shared" si="71"/>
        <v>4379</v>
      </c>
      <c r="S658" s="92">
        <f t="shared" si="73"/>
        <v>1</v>
      </c>
    </row>
    <row r="659" spans="1:19" x14ac:dyDescent="0.25">
      <c r="A659" s="106">
        <v>44785</v>
      </c>
      <c r="B659" t="str">
        <f t="shared" si="74"/>
        <v>Agosto</v>
      </c>
      <c r="C659" s="1" t="s">
        <v>64</v>
      </c>
      <c r="D659" s="58" t="str">
        <f>VLOOKUP(Datos!$C659,$AQ$2:$AR$41,2,0)</f>
        <v>Norte</v>
      </c>
      <c r="E659" s="1">
        <v>23740</v>
      </c>
      <c r="F659" s="1" t="str">
        <f t="array" ref="F659">_xlfn.IFS(H659=0,"Alta sin facturar",H659&gt;2,"Cliente",H659&gt;0,"Cliente nuevo")</f>
        <v>Alta sin facturar</v>
      </c>
      <c r="G659" s="1"/>
      <c r="H659" s="1">
        <f t="shared" si="72"/>
        <v>0</v>
      </c>
      <c r="I659" s="108">
        <v>0</v>
      </c>
      <c r="J659" s="108">
        <v>0</v>
      </c>
      <c r="K659" s="108">
        <v>0</v>
      </c>
      <c r="L659" s="108">
        <v>0</v>
      </c>
      <c r="M659" s="108">
        <v>0</v>
      </c>
      <c r="N659" s="109">
        <v>0</v>
      </c>
      <c r="O659" s="109">
        <v>0</v>
      </c>
      <c r="P659" s="109">
        <v>0</v>
      </c>
      <c r="Q659" s="110">
        <f t="shared" si="71"/>
        <v>0</v>
      </c>
      <c r="S659" s="92">
        <f t="shared" si="73"/>
        <v>0</v>
      </c>
    </row>
    <row r="660" spans="1:19" x14ac:dyDescent="0.25">
      <c r="A660" s="106">
        <v>44785</v>
      </c>
      <c r="B660" t="str">
        <f t="shared" si="74"/>
        <v>Agosto</v>
      </c>
      <c r="C660" s="1" t="s">
        <v>59</v>
      </c>
      <c r="D660" s="58" t="str">
        <f>VLOOKUP(Datos!$C660,$AQ$2:$AR$41,2,0)</f>
        <v>Magallanes</v>
      </c>
      <c r="E660" s="1">
        <v>23741</v>
      </c>
      <c r="F660" s="1" t="str">
        <f t="array" ref="F660">_xlfn.IFS(H660=0,"Alta sin facturar",H660&gt;2,"Cliente",H660&gt;0,"Cliente nuevo")</f>
        <v>Alta sin facturar</v>
      </c>
      <c r="G660" s="1"/>
      <c r="H660" s="1">
        <f t="shared" si="72"/>
        <v>0</v>
      </c>
      <c r="I660" s="108">
        <v>0</v>
      </c>
      <c r="J660" s="108">
        <v>0</v>
      </c>
      <c r="K660" s="108">
        <v>0</v>
      </c>
      <c r="L660" s="108">
        <v>0</v>
      </c>
      <c r="M660" s="108">
        <v>0</v>
      </c>
      <c r="N660" s="109">
        <v>0</v>
      </c>
      <c r="O660" s="109">
        <v>0</v>
      </c>
      <c r="P660" s="109">
        <v>0</v>
      </c>
      <c r="Q660" s="110">
        <f t="shared" si="71"/>
        <v>0</v>
      </c>
      <c r="S660" s="92">
        <f t="shared" si="73"/>
        <v>0</v>
      </c>
    </row>
    <row r="661" spans="1:19" x14ac:dyDescent="0.25">
      <c r="A661" s="106">
        <v>44785</v>
      </c>
      <c r="B661" t="str">
        <f t="shared" si="74"/>
        <v>Agosto</v>
      </c>
      <c r="C661" s="1" t="s">
        <v>89</v>
      </c>
      <c r="D661" s="58" t="str">
        <f>VLOOKUP(Datos!$C661,$AQ$2:$AR$41,2,0)</f>
        <v>Centro</v>
      </c>
      <c r="E661" s="1">
        <v>23742</v>
      </c>
      <c r="F661" s="1" t="str">
        <f t="array" ref="F661">_xlfn.IFS(H661=0,"Alta sin facturar",H661&gt;2,"Cliente",H661&gt;0,"Cliente nuevo")</f>
        <v>Alta sin facturar</v>
      </c>
      <c r="G661" s="1"/>
      <c r="H661" s="1">
        <f t="shared" si="72"/>
        <v>0</v>
      </c>
      <c r="I661" s="108">
        <v>0</v>
      </c>
      <c r="J661" s="108">
        <v>0</v>
      </c>
      <c r="K661" s="108">
        <v>0</v>
      </c>
      <c r="L661" s="108">
        <v>0</v>
      </c>
      <c r="M661" s="108">
        <v>0</v>
      </c>
      <c r="N661" s="109">
        <v>0</v>
      </c>
      <c r="O661" s="109">
        <v>0</v>
      </c>
      <c r="P661" s="109">
        <v>0</v>
      </c>
      <c r="Q661" s="110">
        <f t="shared" si="71"/>
        <v>0</v>
      </c>
      <c r="S661" s="92">
        <f t="shared" si="73"/>
        <v>0</v>
      </c>
    </row>
    <row r="662" spans="1:19" x14ac:dyDescent="0.25">
      <c r="A662" s="106">
        <v>44785</v>
      </c>
      <c r="B662" t="str">
        <f t="shared" si="74"/>
        <v>Agosto</v>
      </c>
      <c r="C662" s="1" t="s">
        <v>102</v>
      </c>
      <c r="D662" s="58" t="str">
        <f>VLOOKUP(Datos!$C662,$AQ$2:$AR$41,2,0)</f>
        <v>Sur</v>
      </c>
      <c r="E662" s="1">
        <v>23743</v>
      </c>
      <c r="F662" s="1" t="str">
        <f t="array" ref="F662">_xlfn.IFS(H662=0,"Alta sin facturar",H662&gt;2,"Cliente",H662&gt;0,"Cliente nuevo")</f>
        <v>Alta sin facturar</v>
      </c>
      <c r="G662" s="1"/>
      <c r="H662" s="1">
        <f t="shared" si="72"/>
        <v>0</v>
      </c>
      <c r="I662" s="108">
        <v>0</v>
      </c>
      <c r="J662" s="108">
        <v>0</v>
      </c>
      <c r="K662" s="108">
        <v>0</v>
      </c>
      <c r="L662" s="108">
        <v>0</v>
      </c>
      <c r="M662" s="108">
        <v>0</v>
      </c>
      <c r="N662" s="109">
        <v>0</v>
      </c>
      <c r="O662" s="109">
        <v>0</v>
      </c>
      <c r="P662" s="109">
        <v>0</v>
      </c>
      <c r="Q662" s="110">
        <f t="shared" si="71"/>
        <v>0</v>
      </c>
      <c r="S662" s="92">
        <f t="shared" si="73"/>
        <v>0</v>
      </c>
    </row>
    <row r="663" spans="1:19" x14ac:dyDescent="0.25">
      <c r="A663" s="106">
        <v>44785</v>
      </c>
      <c r="B663" t="str">
        <f t="shared" si="74"/>
        <v>Agosto</v>
      </c>
      <c r="C663" s="1" t="s">
        <v>64</v>
      </c>
      <c r="D663" s="58" t="str">
        <f>VLOOKUP(Datos!$C663,$AQ$2:$AR$41,2,0)</f>
        <v>Norte</v>
      </c>
      <c r="E663" s="1">
        <v>23744</v>
      </c>
      <c r="F663" s="1" t="str">
        <f t="array" ref="F663">_xlfn.IFS(H663=0,"Alta sin facturar",H663&gt;2,"Cliente",H663&gt;0,"Cliente nuevo")</f>
        <v>Alta sin facturar</v>
      </c>
      <c r="G663" s="1"/>
      <c r="H663" s="1">
        <f t="shared" si="72"/>
        <v>0</v>
      </c>
      <c r="I663" s="108">
        <v>0</v>
      </c>
      <c r="J663" s="108">
        <v>0</v>
      </c>
      <c r="K663" s="108">
        <v>0</v>
      </c>
      <c r="L663" s="108">
        <v>0</v>
      </c>
      <c r="M663" s="108">
        <v>0</v>
      </c>
      <c r="N663" s="109">
        <v>0</v>
      </c>
      <c r="O663" s="109">
        <v>0</v>
      </c>
      <c r="P663" s="109">
        <v>0</v>
      </c>
      <c r="Q663" s="110">
        <f t="shared" si="71"/>
        <v>0</v>
      </c>
      <c r="S663" s="92">
        <f t="shared" si="73"/>
        <v>0</v>
      </c>
    </row>
    <row r="664" spans="1:19" x14ac:dyDescent="0.25">
      <c r="A664" s="106">
        <v>44785</v>
      </c>
      <c r="B664" t="str">
        <f t="shared" si="74"/>
        <v>Agosto</v>
      </c>
      <c r="C664" s="1" t="s">
        <v>39</v>
      </c>
      <c r="D664" s="58" t="str">
        <f>VLOOKUP(Datos!$C664,$AQ$2:$AR$41,2,0)</f>
        <v>Sur</v>
      </c>
      <c r="E664" s="1">
        <v>23745</v>
      </c>
      <c r="F664" s="1" t="str">
        <f t="array" ref="F664">_xlfn.IFS(H664=0,"Alta sin facturar",H664&gt;2,"Cliente",H664&gt;0,"Cliente nuevo")</f>
        <v>Cliente nuevo</v>
      </c>
      <c r="G664" s="1"/>
      <c r="H664" s="1">
        <f t="shared" si="72"/>
        <v>1</v>
      </c>
      <c r="I664" s="108">
        <v>0</v>
      </c>
      <c r="J664" s="108">
        <v>0</v>
      </c>
      <c r="K664" s="108">
        <v>0</v>
      </c>
      <c r="L664" s="108">
        <v>0</v>
      </c>
      <c r="M664" s="108">
        <v>0</v>
      </c>
      <c r="N664" s="109">
        <v>0</v>
      </c>
      <c r="O664" s="109">
        <v>0</v>
      </c>
      <c r="P664" s="109">
        <v>2263.16</v>
      </c>
      <c r="Q664" s="110">
        <f t="shared" si="71"/>
        <v>2263.16</v>
      </c>
      <c r="S664" s="92">
        <f t="shared" si="73"/>
        <v>1</v>
      </c>
    </row>
    <row r="665" spans="1:19" x14ac:dyDescent="0.25">
      <c r="A665" s="106">
        <v>44785</v>
      </c>
      <c r="B665" t="str">
        <f t="shared" si="74"/>
        <v>Agosto</v>
      </c>
      <c r="C665" s="1" t="s">
        <v>36</v>
      </c>
      <c r="D665" s="58" t="str">
        <f>VLOOKUP(Datos!$C665,$AQ$2:$AR$41,2,0)</f>
        <v>Magallanes</v>
      </c>
      <c r="E665" s="1">
        <v>23746</v>
      </c>
      <c r="F665" s="1" t="str">
        <f t="array" ref="F665">_xlfn.IFS(H665=0,"Alta sin facturar",H665&gt;2,"Cliente",H665&gt;0,"Cliente nuevo")</f>
        <v>Alta sin facturar</v>
      </c>
      <c r="G665" s="1"/>
      <c r="H665" s="1">
        <f t="shared" si="72"/>
        <v>0</v>
      </c>
      <c r="I665" s="108">
        <v>0</v>
      </c>
      <c r="J665" s="108">
        <v>0</v>
      </c>
      <c r="K665" s="108">
        <v>0</v>
      </c>
      <c r="L665" s="108">
        <v>0</v>
      </c>
      <c r="M665" s="108">
        <v>0</v>
      </c>
      <c r="N665" s="109">
        <v>0</v>
      </c>
      <c r="O665" s="109">
        <v>0</v>
      </c>
      <c r="P665" s="109">
        <v>0</v>
      </c>
      <c r="Q665" s="110">
        <f t="shared" si="71"/>
        <v>0</v>
      </c>
      <c r="S665" s="92">
        <f t="shared" si="73"/>
        <v>0</v>
      </c>
    </row>
    <row r="666" spans="1:19" x14ac:dyDescent="0.25">
      <c r="A666" s="106">
        <v>44785</v>
      </c>
      <c r="B666" t="str">
        <f t="shared" si="74"/>
        <v>Agosto</v>
      </c>
      <c r="C666" s="1" t="s">
        <v>59</v>
      </c>
      <c r="D666" s="58" t="str">
        <f>VLOOKUP(Datos!$C666,$AQ$2:$AR$41,2,0)</f>
        <v>Magallanes</v>
      </c>
      <c r="E666" s="1">
        <v>23747</v>
      </c>
      <c r="F666" s="1" t="str">
        <f t="array" ref="F666">_xlfn.IFS(H666=0,"Alta sin facturar",H666&gt;2,"Cliente",H666&gt;0,"Cliente nuevo")</f>
        <v>Alta sin facturar</v>
      </c>
      <c r="G666" s="1"/>
      <c r="H666" s="1">
        <f t="shared" si="72"/>
        <v>0</v>
      </c>
      <c r="I666" s="108">
        <v>0</v>
      </c>
      <c r="J666" s="108">
        <v>0</v>
      </c>
      <c r="K666" s="108">
        <v>0</v>
      </c>
      <c r="L666" s="108">
        <v>0</v>
      </c>
      <c r="M666" s="108">
        <v>0</v>
      </c>
      <c r="N666" s="109">
        <v>0</v>
      </c>
      <c r="O666" s="109">
        <v>0</v>
      </c>
      <c r="P666" s="109">
        <v>0</v>
      </c>
      <c r="Q666" s="110">
        <f t="shared" si="71"/>
        <v>0</v>
      </c>
      <c r="S666" s="92">
        <f t="shared" si="73"/>
        <v>0</v>
      </c>
    </row>
    <row r="667" spans="1:19" x14ac:dyDescent="0.25">
      <c r="A667" s="106">
        <v>44788</v>
      </c>
      <c r="B667" t="str">
        <f t="shared" si="74"/>
        <v>Agosto</v>
      </c>
      <c r="C667" s="1" t="s">
        <v>59</v>
      </c>
      <c r="D667" s="58" t="str">
        <f>VLOOKUP(Datos!$C667,$AQ$2:$AR$41,2,0)</f>
        <v>Magallanes</v>
      </c>
      <c r="E667" s="1">
        <v>23748</v>
      </c>
      <c r="F667" s="1" t="str">
        <f t="array" ref="F667">_xlfn.IFS(H667=0,"Alta sin facturar",H667&gt;2,"Cliente",H667&gt;0,"Cliente nuevo")</f>
        <v>Alta sin facturar</v>
      </c>
      <c r="G667" s="1"/>
      <c r="H667" s="1">
        <f t="shared" si="72"/>
        <v>0</v>
      </c>
      <c r="I667" s="108">
        <v>0</v>
      </c>
      <c r="J667" s="108">
        <v>0</v>
      </c>
      <c r="K667" s="108">
        <v>0</v>
      </c>
      <c r="L667" s="108">
        <v>0</v>
      </c>
      <c r="M667" s="108">
        <v>0</v>
      </c>
      <c r="N667" s="109">
        <v>0</v>
      </c>
      <c r="O667" s="109">
        <v>0</v>
      </c>
      <c r="P667" s="109">
        <v>0</v>
      </c>
      <c r="Q667" s="110">
        <f t="shared" si="71"/>
        <v>0</v>
      </c>
      <c r="S667" s="92">
        <f t="shared" si="73"/>
        <v>0</v>
      </c>
    </row>
    <row r="668" spans="1:19" x14ac:dyDescent="0.25">
      <c r="A668" s="106">
        <v>44788</v>
      </c>
      <c r="B668" t="str">
        <f t="shared" si="74"/>
        <v>Agosto</v>
      </c>
      <c r="C668" s="1" t="s">
        <v>103</v>
      </c>
      <c r="D668" s="58" t="str">
        <f>VLOOKUP(Datos!$C668,$AQ$2:$AR$41,2,0)</f>
        <v>Norte</v>
      </c>
      <c r="E668" s="1">
        <v>23749</v>
      </c>
      <c r="F668" s="1" t="str">
        <f t="array" ref="F668">_xlfn.IFS(H668=0,"Alta sin facturar",H668&gt;2,"Cliente",H668&gt;0,"Cliente nuevo")</f>
        <v>Alta sin facturar</v>
      </c>
      <c r="G668" s="1"/>
      <c r="H668" s="1">
        <f t="shared" si="72"/>
        <v>0</v>
      </c>
      <c r="I668" s="108">
        <v>0</v>
      </c>
      <c r="J668" s="108">
        <v>0</v>
      </c>
      <c r="K668" s="108">
        <v>0</v>
      </c>
      <c r="L668" s="108">
        <v>0</v>
      </c>
      <c r="M668" s="108">
        <v>0</v>
      </c>
      <c r="N668" s="109">
        <v>0</v>
      </c>
      <c r="O668" s="109">
        <v>0</v>
      </c>
      <c r="P668" s="109">
        <v>0</v>
      </c>
      <c r="Q668" s="110">
        <f t="shared" si="71"/>
        <v>0</v>
      </c>
      <c r="S668" s="92">
        <f t="shared" si="73"/>
        <v>0</v>
      </c>
    </row>
    <row r="669" spans="1:19" x14ac:dyDescent="0.25">
      <c r="A669" s="106">
        <v>44788</v>
      </c>
      <c r="B669" t="str">
        <f t="shared" si="74"/>
        <v>Agosto</v>
      </c>
      <c r="C669" s="1" t="s">
        <v>103</v>
      </c>
      <c r="D669" s="58" t="str">
        <f>VLOOKUP(Datos!$C669,$AQ$2:$AR$41,2,0)</f>
        <v>Norte</v>
      </c>
      <c r="E669" s="1">
        <v>23750</v>
      </c>
      <c r="F669" s="1" t="str">
        <f t="array" ref="F669">_xlfn.IFS(H669=0,"Alta sin facturar",H669&gt;2,"Cliente",H669&gt;0,"Cliente nuevo")</f>
        <v>Alta sin facturar</v>
      </c>
      <c r="G669" s="1"/>
      <c r="H669" s="1">
        <f t="shared" si="72"/>
        <v>0</v>
      </c>
      <c r="I669" s="108">
        <v>0</v>
      </c>
      <c r="J669" s="108">
        <v>0</v>
      </c>
      <c r="K669" s="108">
        <v>0</v>
      </c>
      <c r="L669" s="108">
        <v>0</v>
      </c>
      <c r="M669" s="108">
        <v>0</v>
      </c>
      <c r="N669" s="109">
        <v>0</v>
      </c>
      <c r="O669" s="109">
        <v>0</v>
      </c>
      <c r="P669" s="109">
        <v>0</v>
      </c>
      <c r="Q669" s="110">
        <f t="shared" si="71"/>
        <v>0</v>
      </c>
      <c r="S669" s="92">
        <f t="shared" si="73"/>
        <v>0</v>
      </c>
    </row>
    <row r="670" spans="1:19" x14ac:dyDescent="0.25">
      <c r="A670" s="106">
        <v>44788</v>
      </c>
      <c r="B670" t="str">
        <f t="shared" si="74"/>
        <v>Agosto</v>
      </c>
      <c r="C670" s="1" t="s">
        <v>39</v>
      </c>
      <c r="D670" s="58" t="str">
        <f>VLOOKUP(Datos!$C670,$AQ$2:$AR$41,2,0)</f>
        <v>Sur</v>
      </c>
      <c r="E670" s="1">
        <v>23751</v>
      </c>
      <c r="F670" s="1" t="str">
        <f t="array" ref="F670">_xlfn.IFS(H670=0,"Alta sin facturar",H670&gt;2,"Cliente",H670&gt;0,"Cliente nuevo")</f>
        <v>Cliente nuevo</v>
      </c>
      <c r="G670" s="1"/>
      <c r="H670" s="1">
        <f t="shared" si="72"/>
        <v>1</v>
      </c>
      <c r="I670" s="108">
        <v>0</v>
      </c>
      <c r="J670" s="108">
        <v>0</v>
      </c>
      <c r="K670" s="108">
        <v>0</v>
      </c>
      <c r="L670" s="108">
        <v>0</v>
      </c>
      <c r="M670" s="108">
        <v>0</v>
      </c>
      <c r="N670" s="109">
        <v>0</v>
      </c>
      <c r="O670" s="109">
        <v>0</v>
      </c>
      <c r="P670" s="109">
        <v>425.71999999999997</v>
      </c>
      <c r="Q670" s="110">
        <f t="shared" si="71"/>
        <v>425.71999999999997</v>
      </c>
      <c r="S670" s="92">
        <f t="shared" si="73"/>
        <v>1</v>
      </c>
    </row>
    <row r="671" spans="1:19" x14ac:dyDescent="0.25">
      <c r="A671" s="106">
        <v>44788</v>
      </c>
      <c r="B671" t="str">
        <f t="shared" si="74"/>
        <v>Agosto</v>
      </c>
      <c r="C671" s="1" t="s">
        <v>39</v>
      </c>
      <c r="D671" s="58" t="str">
        <f>VLOOKUP(Datos!$C671,$AQ$2:$AR$41,2,0)</f>
        <v>Sur</v>
      </c>
      <c r="E671" s="1">
        <v>23752</v>
      </c>
      <c r="F671" s="1" t="str">
        <f t="array" ref="F671">_xlfn.IFS(H671=0,"Alta sin facturar",H671&gt;2,"Cliente",H671&gt;0,"Cliente nuevo")</f>
        <v>Alta sin facturar</v>
      </c>
      <c r="G671" s="1"/>
      <c r="H671" s="1">
        <f t="shared" si="72"/>
        <v>0</v>
      </c>
      <c r="I671" s="108">
        <v>0</v>
      </c>
      <c r="J671" s="108">
        <v>0</v>
      </c>
      <c r="K671" s="108">
        <v>0</v>
      </c>
      <c r="L671" s="108">
        <v>0</v>
      </c>
      <c r="M671" s="108">
        <v>0</v>
      </c>
      <c r="N671" s="109">
        <v>0</v>
      </c>
      <c r="O671" s="109">
        <v>0</v>
      </c>
      <c r="P671" s="109">
        <v>0</v>
      </c>
      <c r="Q671" s="110">
        <f t="shared" si="71"/>
        <v>0</v>
      </c>
      <c r="S671" s="92">
        <f t="shared" si="73"/>
        <v>0</v>
      </c>
    </row>
    <row r="672" spans="1:19" x14ac:dyDescent="0.25">
      <c r="A672" s="106">
        <v>44789</v>
      </c>
      <c r="B672" t="str">
        <f t="shared" si="74"/>
        <v>Agosto</v>
      </c>
      <c r="C672" s="1" t="s">
        <v>104</v>
      </c>
      <c r="D672" s="58" t="str">
        <f>VLOOKUP(Datos!$C672,$AQ$2:$AR$41,2,0)</f>
        <v>Norte</v>
      </c>
      <c r="E672" s="1">
        <v>23753</v>
      </c>
      <c r="F672" s="1" t="str">
        <f t="array" ref="F672">_xlfn.IFS(H672=0,"Alta sin facturar",H672&gt;2,"Cliente",H672&gt;0,"Cliente nuevo")</f>
        <v>Alta sin facturar</v>
      </c>
      <c r="G672" s="1"/>
      <c r="H672" s="1">
        <f t="shared" si="72"/>
        <v>0</v>
      </c>
      <c r="I672" s="108">
        <v>0</v>
      </c>
      <c r="J672" s="108">
        <v>0</v>
      </c>
      <c r="K672" s="108">
        <v>0</v>
      </c>
      <c r="L672" s="108">
        <v>0</v>
      </c>
      <c r="M672" s="108">
        <v>0</v>
      </c>
      <c r="N672" s="109">
        <v>0</v>
      </c>
      <c r="O672" s="109">
        <v>0</v>
      </c>
      <c r="P672" s="109">
        <v>0</v>
      </c>
      <c r="Q672" s="110">
        <f t="shared" si="71"/>
        <v>0</v>
      </c>
      <c r="S672" s="92">
        <f t="shared" si="73"/>
        <v>0</v>
      </c>
    </row>
    <row r="673" spans="1:19" x14ac:dyDescent="0.25">
      <c r="A673" s="106">
        <v>44789</v>
      </c>
      <c r="B673" t="str">
        <f t="shared" si="74"/>
        <v>Agosto</v>
      </c>
      <c r="C673" s="1" t="s">
        <v>33</v>
      </c>
      <c r="D673" s="58" t="str">
        <f>VLOOKUP(Datos!$C673,$AQ$2:$AR$41,2,0)</f>
        <v>Magallanes</v>
      </c>
      <c r="E673" s="1">
        <v>23754</v>
      </c>
      <c r="F673" s="1" t="str">
        <f t="array" ref="F673">_xlfn.IFS(H673=0,"Alta sin facturar",H673&gt;2,"Cliente",H673&gt;0,"Cliente nuevo")</f>
        <v>Alta sin facturar</v>
      </c>
      <c r="G673" s="1"/>
      <c r="H673" s="1">
        <f t="shared" si="72"/>
        <v>0</v>
      </c>
      <c r="I673" s="108">
        <v>0</v>
      </c>
      <c r="J673" s="108">
        <v>0</v>
      </c>
      <c r="K673" s="108">
        <v>0</v>
      </c>
      <c r="L673" s="108">
        <v>0</v>
      </c>
      <c r="M673" s="108">
        <v>0</v>
      </c>
      <c r="N673" s="109">
        <v>0</v>
      </c>
      <c r="O673" s="109">
        <v>0</v>
      </c>
      <c r="P673" s="109">
        <v>0</v>
      </c>
      <c r="Q673" s="110">
        <f t="shared" si="71"/>
        <v>0</v>
      </c>
      <c r="S673" s="92">
        <f t="shared" si="73"/>
        <v>0</v>
      </c>
    </row>
    <row r="674" spans="1:19" x14ac:dyDescent="0.25">
      <c r="A674" s="106">
        <v>44789</v>
      </c>
      <c r="B674" t="str">
        <f t="shared" si="74"/>
        <v>Agosto</v>
      </c>
      <c r="C674" s="1" t="s">
        <v>33</v>
      </c>
      <c r="D674" s="58" t="str">
        <f>VLOOKUP(Datos!$C674,$AQ$2:$AR$41,2,0)</f>
        <v>Magallanes</v>
      </c>
      <c r="E674" s="1">
        <v>23755</v>
      </c>
      <c r="F674" s="1" t="str">
        <f t="array" ref="F674">_xlfn.IFS(H674=0,"Alta sin facturar",H674&gt;2,"Cliente",H674&gt;0,"Cliente nuevo")</f>
        <v>Cliente nuevo</v>
      </c>
      <c r="G674" s="1"/>
      <c r="H674" s="1">
        <f t="shared" si="72"/>
        <v>1</v>
      </c>
      <c r="I674" s="108">
        <v>0</v>
      </c>
      <c r="J674" s="108">
        <v>0</v>
      </c>
      <c r="K674" s="108">
        <v>0</v>
      </c>
      <c r="L674" s="108">
        <v>0</v>
      </c>
      <c r="M674" s="108">
        <v>0</v>
      </c>
      <c r="N674" s="109">
        <v>0</v>
      </c>
      <c r="O674" s="109">
        <v>0</v>
      </c>
      <c r="P674" s="109">
        <v>2988.16</v>
      </c>
      <c r="Q674" s="110">
        <f t="shared" si="71"/>
        <v>2988.16</v>
      </c>
      <c r="S674" s="92">
        <f t="shared" si="73"/>
        <v>1</v>
      </c>
    </row>
    <row r="675" spans="1:19" x14ac:dyDescent="0.25">
      <c r="A675" s="106">
        <v>44789</v>
      </c>
      <c r="B675" t="str">
        <f t="shared" si="74"/>
        <v>Agosto</v>
      </c>
      <c r="C675" s="1" t="s">
        <v>102</v>
      </c>
      <c r="D675" s="58" t="str">
        <f>VLOOKUP(Datos!$C675,$AQ$2:$AR$41,2,0)</f>
        <v>Sur</v>
      </c>
      <c r="E675" s="1">
        <v>23756</v>
      </c>
      <c r="F675" s="1" t="str">
        <f t="array" ref="F675">_xlfn.IFS(H675=0,"Alta sin facturar",H675&gt;2,"Cliente",H675&gt;0,"Cliente nuevo")</f>
        <v>Cliente nuevo</v>
      </c>
      <c r="G675" s="1"/>
      <c r="H675" s="1">
        <f t="shared" si="72"/>
        <v>1</v>
      </c>
      <c r="I675" s="108">
        <v>0</v>
      </c>
      <c r="J675" s="108">
        <v>0</v>
      </c>
      <c r="K675" s="108">
        <v>0</v>
      </c>
      <c r="L675" s="108">
        <v>0</v>
      </c>
      <c r="M675" s="108">
        <v>0</v>
      </c>
      <c r="N675" s="109">
        <v>0</v>
      </c>
      <c r="O675" s="109">
        <v>0</v>
      </c>
      <c r="P675" s="109">
        <v>936.11999999999989</v>
      </c>
      <c r="Q675" s="110">
        <f t="shared" si="71"/>
        <v>936.11999999999989</v>
      </c>
      <c r="S675" s="92">
        <f t="shared" si="73"/>
        <v>1</v>
      </c>
    </row>
    <row r="676" spans="1:19" x14ac:dyDescent="0.25">
      <c r="A676" s="106">
        <v>44789</v>
      </c>
      <c r="B676" t="str">
        <f t="shared" si="74"/>
        <v>Agosto</v>
      </c>
      <c r="C676" s="1" t="s">
        <v>66</v>
      </c>
      <c r="D676" s="58" t="str">
        <f>VLOOKUP(Datos!$C676,$AQ$2:$AR$41,2,0)</f>
        <v>Sur</v>
      </c>
      <c r="E676" s="1">
        <v>23757</v>
      </c>
      <c r="F676" s="1" t="str">
        <f t="array" ref="F676">_xlfn.IFS(H676=0,"Alta sin facturar",H676&gt;2,"Cliente",H676&gt;0,"Cliente nuevo")</f>
        <v>Cliente nuevo</v>
      </c>
      <c r="G676" s="1"/>
      <c r="H676" s="1">
        <f t="shared" si="72"/>
        <v>1</v>
      </c>
      <c r="I676" s="108">
        <v>0</v>
      </c>
      <c r="J676" s="108">
        <v>0</v>
      </c>
      <c r="K676" s="108">
        <v>0</v>
      </c>
      <c r="L676" s="108">
        <v>0</v>
      </c>
      <c r="M676" s="108">
        <v>0</v>
      </c>
      <c r="N676" s="109">
        <v>0</v>
      </c>
      <c r="O676" s="109">
        <v>0</v>
      </c>
      <c r="P676" s="109">
        <v>1872.2399999999998</v>
      </c>
      <c r="Q676" s="110">
        <f t="shared" si="71"/>
        <v>1872.2399999999998</v>
      </c>
      <c r="S676" s="92">
        <f t="shared" si="73"/>
        <v>1</v>
      </c>
    </row>
    <row r="677" spans="1:19" x14ac:dyDescent="0.25">
      <c r="A677" s="106">
        <v>44790</v>
      </c>
      <c r="B677" t="str">
        <f t="shared" si="74"/>
        <v>Agosto</v>
      </c>
      <c r="C677" s="1" t="s">
        <v>67</v>
      </c>
      <c r="D677" s="58" t="str">
        <f>VLOOKUP(Datos!$C677,$AQ$2:$AR$41,2,0)</f>
        <v>Norte</v>
      </c>
      <c r="E677" s="1">
        <v>23758</v>
      </c>
      <c r="F677" s="1" t="str">
        <f t="array" ref="F677">_xlfn.IFS(H677=0,"Alta sin facturar",H677&gt;2,"Cliente",H677&gt;0,"Cliente nuevo")</f>
        <v>Cliente nuevo</v>
      </c>
      <c r="G677" s="1"/>
      <c r="H677" s="1">
        <f t="shared" si="72"/>
        <v>1</v>
      </c>
      <c r="I677" s="108">
        <v>0</v>
      </c>
      <c r="J677" s="108">
        <v>0</v>
      </c>
      <c r="K677" s="108">
        <v>0</v>
      </c>
      <c r="L677" s="108">
        <v>0</v>
      </c>
      <c r="M677" s="108">
        <v>0</v>
      </c>
      <c r="N677" s="109">
        <v>0</v>
      </c>
      <c r="O677" s="109">
        <v>0</v>
      </c>
      <c r="P677" s="109">
        <v>585.79999999999995</v>
      </c>
      <c r="Q677" s="110">
        <f t="shared" si="71"/>
        <v>585.79999999999995</v>
      </c>
      <c r="S677" s="92">
        <f t="shared" si="73"/>
        <v>1</v>
      </c>
    </row>
    <row r="678" spans="1:19" x14ac:dyDescent="0.25">
      <c r="A678" s="106">
        <v>44790</v>
      </c>
      <c r="B678" t="str">
        <f t="shared" si="74"/>
        <v>Agosto</v>
      </c>
      <c r="C678" s="1" t="s">
        <v>89</v>
      </c>
      <c r="D678" s="58" t="str">
        <f>VLOOKUP(Datos!$C678,$AQ$2:$AR$41,2,0)</f>
        <v>Centro</v>
      </c>
      <c r="E678" s="1">
        <v>23759</v>
      </c>
      <c r="F678" s="1" t="str">
        <f t="array" ref="F678">_xlfn.IFS(H678=0,"Alta sin facturar",H678&gt;2,"Cliente",H678&gt;0,"Cliente nuevo")</f>
        <v>Alta sin facturar</v>
      </c>
      <c r="G678" s="1"/>
      <c r="H678" s="1">
        <f t="shared" si="72"/>
        <v>0</v>
      </c>
      <c r="I678" s="108">
        <v>0</v>
      </c>
      <c r="J678" s="108">
        <v>0</v>
      </c>
      <c r="K678" s="108">
        <v>0</v>
      </c>
      <c r="L678" s="108">
        <v>0</v>
      </c>
      <c r="M678" s="108">
        <v>0</v>
      </c>
      <c r="N678" s="109">
        <v>0</v>
      </c>
      <c r="O678" s="109">
        <v>0</v>
      </c>
      <c r="P678" s="109">
        <v>0</v>
      </c>
      <c r="Q678" s="110">
        <f t="shared" si="71"/>
        <v>0</v>
      </c>
      <c r="S678" s="92">
        <f t="shared" si="73"/>
        <v>0</v>
      </c>
    </row>
    <row r="679" spans="1:19" x14ac:dyDescent="0.25">
      <c r="A679" s="106">
        <v>44790</v>
      </c>
      <c r="B679" t="str">
        <f t="shared" ref="B679:B710" si="75">PROPER(TEXT(A679,"mmmm"))</f>
        <v>Agosto</v>
      </c>
      <c r="C679" s="1" t="s">
        <v>66</v>
      </c>
      <c r="D679" s="58" t="str">
        <f>VLOOKUP(Datos!$C679,$AQ$2:$AR$41,2,0)</f>
        <v>Sur</v>
      </c>
      <c r="E679" s="1">
        <v>23760</v>
      </c>
      <c r="F679" s="1" t="str">
        <f t="array" ref="F679">_xlfn.IFS(H679=0,"Alta sin facturar",H679&gt;2,"Cliente",H679&gt;0,"Cliente nuevo")</f>
        <v>Alta sin facturar</v>
      </c>
      <c r="G679" s="1"/>
      <c r="H679" s="1">
        <f t="shared" si="72"/>
        <v>0</v>
      </c>
      <c r="I679" s="108">
        <v>0</v>
      </c>
      <c r="J679" s="108">
        <v>0</v>
      </c>
      <c r="K679" s="108">
        <v>0</v>
      </c>
      <c r="L679" s="108">
        <v>0</v>
      </c>
      <c r="M679" s="108">
        <v>0</v>
      </c>
      <c r="N679" s="109">
        <v>0</v>
      </c>
      <c r="O679" s="109">
        <v>0</v>
      </c>
      <c r="P679" s="109">
        <v>0</v>
      </c>
      <c r="Q679" s="110">
        <f t="shared" si="71"/>
        <v>0</v>
      </c>
      <c r="S679" s="92">
        <f t="shared" si="73"/>
        <v>0</v>
      </c>
    </row>
    <row r="680" spans="1:19" x14ac:dyDescent="0.25">
      <c r="A680" s="106">
        <v>44790</v>
      </c>
      <c r="B680" t="str">
        <f t="shared" si="75"/>
        <v>Agosto</v>
      </c>
      <c r="C680" s="1" t="s">
        <v>99</v>
      </c>
      <c r="D680" s="58" t="str">
        <f>VLOOKUP(Datos!$C680,$AQ$2:$AR$41,2,0)</f>
        <v>Centro</v>
      </c>
      <c r="E680" s="1">
        <v>23761</v>
      </c>
      <c r="F680" s="1" t="str">
        <f t="array" ref="F680">_xlfn.IFS(H680=0,"Alta sin facturar",H680&gt;2,"Cliente",H680&gt;0,"Cliente nuevo")</f>
        <v>Alta sin facturar</v>
      </c>
      <c r="G680" s="1"/>
      <c r="H680" s="1">
        <f t="shared" si="72"/>
        <v>0</v>
      </c>
      <c r="I680" s="108">
        <v>0</v>
      </c>
      <c r="J680" s="108">
        <v>0</v>
      </c>
      <c r="K680" s="108">
        <v>0</v>
      </c>
      <c r="L680" s="108">
        <v>0</v>
      </c>
      <c r="M680" s="108">
        <v>0</v>
      </c>
      <c r="N680" s="109">
        <v>0</v>
      </c>
      <c r="O680" s="109">
        <v>0</v>
      </c>
      <c r="P680" s="109">
        <v>0</v>
      </c>
      <c r="Q680" s="110">
        <f t="shared" si="71"/>
        <v>0</v>
      </c>
      <c r="S680" s="92">
        <f t="shared" si="73"/>
        <v>0</v>
      </c>
    </row>
    <row r="681" spans="1:19" x14ac:dyDescent="0.25">
      <c r="A681" s="106">
        <v>44791</v>
      </c>
      <c r="B681" t="str">
        <f t="shared" si="75"/>
        <v>Agosto</v>
      </c>
      <c r="C681" s="1" t="s">
        <v>40</v>
      </c>
      <c r="D681" s="58" t="str">
        <f>VLOOKUP(Datos!$C681,$AQ$2:$AR$41,2,0)</f>
        <v>Centro</v>
      </c>
      <c r="E681" s="1">
        <v>23762</v>
      </c>
      <c r="F681" s="1" t="str">
        <f t="array" ref="F681">_xlfn.IFS(H681=0,"Alta sin facturar",H681&gt;2,"Cliente",H681&gt;0,"Cliente nuevo")</f>
        <v>Alta sin facturar</v>
      </c>
      <c r="G681" s="1"/>
      <c r="H681" s="1">
        <f t="shared" si="72"/>
        <v>0</v>
      </c>
      <c r="I681" s="108">
        <v>0</v>
      </c>
      <c r="J681" s="108">
        <v>0</v>
      </c>
      <c r="K681" s="108">
        <v>0</v>
      </c>
      <c r="L681" s="108">
        <v>0</v>
      </c>
      <c r="M681" s="108">
        <v>0</v>
      </c>
      <c r="N681" s="109">
        <v>0</v>
      </c>
      <c r="O681" s="109">
        <v>0</v>
      </c>
      <c r="P681" s="109">
        <v>0</v>
      </c>
      <c r="Q681" s="110">
        <f t="shared" si="71"/>
        <v>0</v>
      </c>
      <c r="S681" s="92">
        <f t="shared" si="73"/>
        <v>0</v>
      </c>
    </row>
    <row r="682" spans="1:19" x14ac:dyDescent="0.25">
      <c r="A682" s="106">
        <v>44791</v>
      </c>
      <c r="B682" t="str">
        <f t="shared" si="75"/>
        <v>Agosto</v>
      </c>
      <c r="C682" s="1" t="s">
        <v>40</v>
      </c>
      <c r="D682" s="58" t="str">
        <f>VLOOKUP(Datos!$C682,$AQ$2:$AR$41,2,0)</f>
        <v>Centro</v>
      </c>
      <c r="E682" s="1">
        <v>23763</v>
      </c>
      <c r="F682" s="1" t="str">
        <f t="array" ref="F682">_xlfn.IFS(H682=0,"Alta sin facturar",H682&gt;2,"Cliente",H682&gt;0,"Cliente nuevo")</f>
        <v>Alta sin facturar</v>
      </c>
      <c r="G682" s="1"/>
      <c r="H682" s="1">
        <f t="shared" si="72"/>
        <v>0</v>
      </c>
      <c r="I682" s="108">
        <v>0</v>
      </c>
      <c r="J682" s="108">
        <v>0</v>
      </c>
      <c r="K682" s="108">
        <v>0</v>
      </c>
      <c r="L682" s="108">
        <v>0</v>
      </c>
      <c r="M682" s="108">
        <v>0</v>
      </c>
      <c r="N682" s="109">
        <v>0</v>
      </c>
      <c r="O682" s="109">
        <v>0</v>
      </c>
      <c r="P682" s="109">
        <v>0</v>
      </c>
      <c r="Q682" s="110">
        <f t="shared" si="71"/>
        <v>0</v>
      </c>
      <c r="S682" s="92">
        <f t="shared" si="73"/>
        <v>0</v>
      </c>
    </row>
    <row r="683" spans="1:19" x14ac:dyDescent="0.25">
      <c r="A683" s="106">
        <v>44791</v>
      </c>
      <c r="B683" t="str">
        <f t="shared" si="75"/>
        <v>Agosto</v>
      </c>
      <c r="C683" s="1" t="s">
        <v>40</v>
      </c>
      <c r="D683" s="58" t="str">
        <f>VLOOKUP(Datos!$C683,$AQ$2:$AR$41,2,0)</f>
        <v>Centro</v>
      </c>
      <c r="E683" s="1">
        <v>23764</v>
      </c>
      <c r="F683" s="1" t="str">
        <f t="array" ref="F683">_xlfn.IFS(H683=0,"Alta sin facturar",H683&gt;2,"Cliente",H683&gt;0,"Cliente nuevo")</f>
        <v>Alta sin facturar</v>
      </c>
      <c r="G683" s="1"/>
      <c r="H683" s="1">
        <f t="shared" si="72"/>
        <v>0</v>
      </c>
      <c r="I683" s="108">
        <v>0</v>
      </c>
      <c r="J683" s="108">
        <v>0</v>
      </c>
      <c r="K683" s="108">
        <v>0</v>
      </c>
      <c r="L683" s="108">
        <v>0</v>
      </c>
      <c r="M683" s="108">
        <v>0</v>
      </c>
      <c r="N683" s="109">
        <v>0</v>
      </c>
      <c r="O683" s="109">
        <v>0</v>
      </c>
      <c r="P683" s="109">
        <v>0</v>
      </c>
      <c r="Q683" s="110">
        <f t="shared" si="71"/>
        <v>0</v>
      </c>
      <c r="S683" s="92">
        <f t="shared" si="73"/>
        <v>0</v>
      </c>
    </row>
    <row r="684" spans="1:19" x14ac:dyDescent="0.25">
      <c r="A684" s="106">
        <v>44791</v>
      </c>
      <c r="B684" t="str">
        <f t="shared" si="75"/>
        <v>Agosto</v>
      </c>
      <c r="C684" s="1" t="s">
        <v>40</v>
      </c>
      <c r="D684" s="58" t="str">
        <f>VLOOKUP(Datos!$C684,$AQ$2:$AR$41,2,0)</f>
        <v>Centro</v>
      </c>
      <c r="E684" s="1">
        <v>23765</v>
      </c>
      <c r="F684" s="1" t="str">
        <f t="array" ref="F684">_xlfn.IFS(H684=0,"Alta sin facturar",H684&gt;2,"Cliente",H684&gt;0,"Cliente nuevo")</f>
        <v>Alta sin facturar</v>
      </c>
      <c r="G684" s="1"/>
      <c r="H684" s="1">
        <f t="shared" si="72"/>
        <v>0</v>
      </c>
      <c r="I684" s="108">
        <v>0</v>
      </c>
      <c r="J684" s="108">
        <v>0</v>
      </c>
      <c r="K684" s="108">
        <v>0</v>
      </c>
      <c r="L684" s="108">
        <v>0</v>
      </c>
      <c r="M684" s="108">
        <v>0</v>
      </c>
      <c r="N684" s="109">
        <v>0</v>
      </c>
      <c r="O684" s="109">
        <v>0</v>
      </c>
      <c r="P684" s="109">
        <v>0</v>
      </c>
      <c r="Q684" s="110">
        <f t="shared" si="71"/>
        <v>0</v>
      </c>
      <c r="S684" s="92">
        <f t="shared" si="73"/>
        <v>0</v>
      </c>
    </row>
    <row r="685" spans="1:19" x14ac:dyDescent="0.25">
      <c r="A685" s="106">
        <v>44791</v>
      </c>
      <c r="B685" t="str">
        <f t="shared" si="75"/>
        <v>Agosto</v>
      </c>
      <c r="C685" s="1" t="s">
        <v>40</v>
      </c>
      <c r="D685" s="58" t="str">
        <f>VLOOKUP(Datos!$C685,$AQ$2:$AR$41,2,0)</f>
        <v>Centro</v>
      </c>
      <c r="E685" s="1">
        <v>23766</v>
      </c>
      <c r="F685" s="1" t="str">
        <f t="array" ref="F685">_xlfn.IFS(H685=0,"Alta sin facturar",H685&gt;2,"Cliente",H685&gt;0,"Cliente nuevo")</f>
        <v>Alta sin facturar</v>
      </c>
      <c r="G685" s="1"/>
      <c r="H685" s="1">
        <f t="shared" si="72"/>
        <v>0</v>
      </c>
      <c r="I685" s="108">
        <v>0</v>
      </c>
      <c r="J685" s="108">
        <v>0</v>
      </c>
      <c r="K685" s="108">
        <v>0</v>
      </c>
      <c r="L685" s="108">
        <v>0</v>
      </c>
      <c r="M685" s="108">
        <v>0</v>
      </c>
      <c r="N685" s="109">
        <v>0</v>
      </c>
      <c r="O685" s="109">
        <v>0</v>
      </c>
      <c r="P685" s="109">
        <v>0</v>
      </c>
      <c r="Q685" s="110">
        <f t="shared" si="71"/>
        <v>0</v>
      </c>
      <c r="S685" s="92">
        <f t="shared" si="73"/>
        <v>0</v>
      </c>
    </row>
    <row r="686" spans="1:19" x14ac:dyDescent="0.25">
      <c r="A686" s="106">
        <v>44791</v>
      </c>
      <c r="B686" t="str">
        <f t="shared" si="75"/>
        <v>Agosto</v>
      </c>
      <c r="C686" s="1" t="s">
        <v>40</v>
      </c>
      <c r="D686" s="58" t="str">
        <f>VLOOKUP(Datos!$C686,$AQ$2:$AR$41,2,0)</f>
        <v>Centro</v>
      </c>
      <c r="E686" s="1">
        <v>23767</v>
      </c>
      <c r="F686" s="1" t="str">
        <f t="array" ref="F686">_xlfn.IFS(H686=0,"Alta sin facturar",H686&gt;2,"Cliente",H686&gt;0,"Cliente nuevo")</f>
        <v>Alta sin facturar</v>
      </c>
      <c r="G686" s="1"/>
      <c r="H686" s="1">
        <f t="shared" si="72"/>
        <v>0</v>
      </c>
      <c r="I686" s="108">
        <v>0</v>
      </c>
      <c r="J686" s="108">
        <v>0</v>
      </c>
      <c r="K686" s="108">
        <v>0</v>
      </c>
      <c r="L686" s="108">
        <v>0</v>
      </c>
      <c r="M686" s="108">
        <v>0</v>
      </c>
      <c r="N686" s="109">
        <v>0</v>
      </c>
      <c r="O686" s="109">
        <v>0</v>
      </c>
      <c r="P686" s="109">
        <v>0</v>
      </c>
      <c r="Q686" s="110">
        <f t="shared" si="71"/>
        <v>0</v>
      </c>
      <c r="S686" s="92">
        <f t="shared" si="73"/>
        <v>0</v>
      </c>
    </row>
    <row r="687" spans="1:19" x14ac:dyDescent="0.25">
      <c r="A687" s="106">
        <v>44791</v>
      </c>
      <c r="B687" t="str">
        <f t="shared" si="75"/>
        <v>Agosto</v>
      </c>
      <c r="C687" s="1" t="s">
        <v>40</v>
      </c>
      <c r="D687" s="58" t="str">
        <f>VLOOKUP(Datos!$C687,$AQ$2:$AR$41,2,0)</f>
        <v>Centro</v>
      </c>
      <c r="E687" s="1">
        <v>23768</v>
      </c>
      <c r="F687" s="1" t="str">
        <f t="array" ref="F687">_xlfn.IFS(H687=0,"Alta sin facturar",H687&gt;2,"Cliente",H687&gt;0,"Cliente nuevo")</f>
        <v>Alta sin facturar</v>
      </c>
      <c r="G687" s="1"/>
      <c r="H687" s="1">
        <f t="shared" si="72"/>
        <v>0</v>
      </c>
      <c r="I687" s="108">
        <v>0</v>
      </c>
      <c r="J687" s="108">
        <v>0</v>
      </c>
      <c r="K687" s="108">
        <v>0</v>
      </c>
      <c r="L687" s="108">
        <v>0</v>
      </c>
      <c r="M687" s="108">
        <v>0</v>
      </c>
      <c r="N687" s="109">
        <v>0</v>
      </c>
      <c r="O687" s="109">
        <v>0</v>
      </c>
      <c r="P687" s="109">
        <v>0</v>
      </c>
      <c r="Q687" s="110">
        <f t="shared" si="71"/>
        <v>0</v>
      </c>
      <c r="S687" s="92">
        <f t="shared" si="73"/>
        <v>0</v>
      </c>
    </row>
    <row r="688" spans="1:19" x14ac:dyDescent="0.25">
      <c r="A688" s="106">
        <v>44791</v>
      </c>
      <c r="B688" t="str">
        <f t="shared" si="75"/>
        <v>Agosto</v>
      </c>
      <c r="C688" s="1" t="s">
        <v>40</v>
      </c>
      <c r="D688" s="58" t="str">
        <f>VLOOKUP(Datos!$C688,$AQ$2:$AR$41,2,0)</f>
        <v>Centro</v>
      </c>
      <c r="E688" s="1">
        <v>23769</v>
      </c>
      <c r="F688" s="1" t="str">
        <f t="array" ref="F688">_xlfn.IFS(H688=0,"Alta sin facturar",H688&gt;2,"Cliente",H688&gt;0,"Cliente nuevo")</f>
        <v>Alta sin facturar</v>
      </c>
      <c r="G688" s="1"/>
      <c r="H688" s="1">
        <f t="shared" si="72"/>
        <v>0</v>
      </c>
      <c r="I688" s="108">
        <v>0</v>
      </c>
      <c r="J688" s="108">
        <v>0</v>
      </c>
      <c r="K688" s="108">
        <v>0</v>
      </c>
      <c r="L688" s="108">
        <v>0</v>
      </c>
      <c r="M688" s="108">
        <v>0</v>
      </c>
      <c r="N688" s="109">
        <v>0</v>
      </c>
      <c r="O688" s="109">
        <v>0</v>
      </c>
      <c r="P688" s="109">
        <v>0</v>
      </c>
      <c r="Q688" s="110">
        <f t="shared" si="71"/>
        <v>0</v>
      </c>
      <c r="S688" s="92">
        <f t="shared" si="73"/>
        <v>0</v>
      </c>
    </row>
    <row r="689" spans="1:19" x14ac:dyDescent="0.25">
      <c r="A689" s="106">
        <v>44791</v>
      </c>
      <c r="B689" t="str">
        <f t="shared" si="75"/>
        <v>Agosto</v>
      </c>
      <c r="C689" s="1" t="s">
        <v>40</v>
      </c>
      <c r="D689" s="58" t="str">
        <f>VLOOKUP(Datos!$C689,$AQ$2:$AR$41,2,0)</f>
        <v>Centro</v>
      </c>
      <c r="E689" s="1">
        <v>23770</v>
      </c>
      <c r="F689" s="1" t="str">
        <f t="array" ref="F689">_xlfn.IFS(H689=0,"Alta sin facturar",H689&gt;2,"Cliente",H689&gt;0,"Cliente nuevo")</f>
        <v>Alta sin facturar</v>
      </c>
      <c r="G689" s="1"/>
      <c r="H689" s="1">
        <f t="shared" si="72"/>
        <v>0</v>
      </c>
      <c r="I689" s="108">
        <v>0</v>
      </c>
      <c r="J689" s="108">
        <v>0</v>
      </c>
      <c r="K689" s="108">
        <v>0</v>
      </c>
      <c r="L689" s="108">
        <v>0</v>
      </c>
      <c r="M689" s="108">
        <v>0</v>
      </c>
      <c r="N689" s="109">
        <v>0</v>
      </c>
      <c r="O689" s="109">
        <v>0</v>
      </c>
      <c r="P689" s="109">
        <v>0</v>
      </c>
      <c r="Q689" s="110">
        <f t="shared" si="71"/>
        <v>0</v>
      </c>
      <c r="S689" s="92">
        <f t="shared" si="73"/>
        <v>0</v>
      </c>
    </row>
    <row r="690" spans="1:19" x14ac:dyDescent="0.25">
      <c r="A690" s="106">
        <v>44791</v>
      </c>
      <c r="B690" t="str">
        <f t="shared" si="75"/>
        <v>Agosto</v>
      </c>
      <c r="C690" s="1" t="s">
        <v>40</v>
      </c>
      <c r="D690" s="58" t="str">
        <f>VLOOKUP(Datos!$C690,$AQ$2:$AR$41,2,0)</f>
        <v>Centro</v>
      </c>
      <c r="E690" s="1">
        <v>23771</v>
      </c>
      <c r="F690" s="1" t="str">
        <f t="array" ref="F690">_xlfn.IFS(H690=0,"Alta sin facturar",H690&gt;2,"Cliente",H690&gt;0,"Cliente nuevo")</f>
        <v>Alta sin facturar</v>
      </c>
      <c r="G690" s="1"/>
      <c r="H690" s="1">
        <f t="shared" si="72"/>
        <v>0</v>
      </c>
      <c r="I690" s="108">
        <v>0</v>
      </c>
      <c r="J690" s="108">
        <v>0</v>
      </c>
      <c r="K690" s="108">
        <v>0</v>
      </c>
      <c r="L690" s="108">
        <v>0</v>
      </c>
      <c r="M690" s="108">
        <v>0</v>
      </c>
      <c r="N690" s="109">
        <v>0</v>
      </c>
      <c r="O690" s="109">
        <v>0</v>
      </c>
      <c r="P690" s="109">
        <v>0</v>
      </c>
      <c r="Q690" s="110">
        <f t="shared" si="71"/>
        <v>0</v>
      </c>
      <c r="S690" s="92">
        <f t="shared" si="73"/>
        <v>0</v>
      </c>
    </row>
    <row r="691" spans="1:19" x14ac:dyDescent="0.25">
      <c r="A691" s="106">
        <v>44791</v>
      </c>
      <c r="B691" t="str">
        <f t="shared" si="75"/>
        <v>Agosto</v>
      </c>
      <c r="C691" s="1" t="s">
        <v>40</v>
      </c>
      <c r="D691" s="58" t="str">
        <f>VLOOKUP(Datos!$C691,$AQ$2:$AR$41,2,0)</f>
        <v>Centro</v>
      </c>
      <c r="E691" s="1">
        <v>23772</v>
      </c>
      <c r="F691" s="1" t="str">
        <f t="array" ref="F691">_xlfn.IFS(H691=0,"Alta sin facturar",H691&gt;2,"Cliente",H691&gt;0,"Cliente nuevo")</f>
        <v>Alta sin facturar</v>
      </c>
      <c r="G691" s="1"/>
      <c r="H691" s="1">
        <f t="shared" si="72"/>
        <v>0</v>
      </c>
      <c r="I691" s="108">
        <v>0</v>
      </c>
      <c r="J691" s="108">
        <v>0</v>
      </c>
      <c r="K691" s="108">
        <v>0</v>
      </c>
      <c r="L691" s="108">
        <v>0</v>
      </c>
      <c r="M691" s="108">
        <v>0</v>
      </c>
      <c r="N691" s="109">
        <v>0</v>
      </c>
      <c r="O691" s="109">
        <v>0</v>
      </c>
      <c r="P691" s="109">
        <v>0</v>
      </c>
      <c r="Q691" s="110">
        <f t="shared" si="71"/>
        <v>0</v>
      </c>
      <c r="S691" s="92">
        <f t="shared" si="73"/>
        <v>0</v>
      </c>
    </row>
    <row r="692" spans="1:19" x14ac:dyDescent="0.25">
      <c r="A692" s="106">
        <v>44791</v>
      </c>
      <c r="B692" t="str">
        <f t="shared" si="75"/>
        <v>Agosto</v>
      </c>
      <c r="C692" s="1" t="s">
        <v>40</v>
      </c>
      <c r="D692" s="58" t="str">
        <f>VLOOKUP(Datos!$C692,$AQ$2:$AR$41,2,0)</f>
        <v>Centro</v>
      </c>
      <c r="E692" s="1">
        <v>23773</v>
      </c>
      <c r="F692" s="1" t="str">
        <f t="array" ref="F692">_xlfn.IFS(H692=0,"Alta sin facturar",H692&gt;2,"Cliente",H692&gt;0,"Cliente nuevo")</f>
        <v>Alta sin facturar</v>
      </c>
      <c r="G692" s="1"/>
      <c r="H692" s="1">
        <f t="shared" si="72"/>
        <v>0</v>
      </c>
      <c r="I692" s="108">
        <v>0</v>
      </c>
      <c r="J692" s="108">
        <v>0</v>
      </c>
      <c r="K692" s="108">
        <v>0</v>
      </c>
      <c r="L692" s="108">
        <v>0</v>
      </c>
      <c r="M692" s="108">
        <v>0</v>
      </c>
      <c r="N692" s="109">
        <v>0</v>
      </c>
      <c r="O692" s="109">
        <v>0</v>
      </c>
      <c r="P692" s="109">
        <v>0</v>
      </c>
      <c r="Q692" s="110">
        <f t="shared" si="71"/>
        <v>0</v>
      </c>
      <c r="S692" s="92">
        <f t="shared" si="73"/>
        <v>0</v>
      </c>
    </row>
    <row r="693" spans="1:19" x14ac:dyDescent="0.25">
      <c r="A693" s="106">
        <v>44791</v>
      </c>
      <c r="B693" t="str">
        <f t="shared" si="75"/>
        <v>Agosto</v>
      </c>
      <c r="C693" s="1" t="s">
        <v>40</v>
      </c>
      <c r="D693" s="58" t="str">
        <f>VLOOKUP(Datos!$C693,$AQ$2:$AR$41,2,0)</f>
        <v>Centro</v>
      </c>
      <c r="E693" s="1">
        <v>23774</v>
      </c>
      <c r="F693" s="1" t="str">
        <f t="array" ref="F693">_xlfn.IFS(H693=0,"Alta sin facturar",H693&gt;2,"Cliente",H693&gt;0,"Cliente nuevo")</f>
        <v>Alta sin facturar</v>
      </c>
      <c r="G693" s="1"/>
      <c r="H693" s="1">
        <f t="shared" si="72"/>
        <v>0</v>
      </c>
      <c r="I693" s="108">
        <v>0</v>
      </c>
      <c r="J693" s="108">
        <v>0</v>
      </c>
      <c r="K693" s="108">
        <v>0</v>
      </c>
      <c r="L693" s="108">
        <v>0</v>
      </c>
      <c r="M693" s="108">
        <v>0</v>
      </c>
      <c r="N693" s="109">
        <v>0</v>
      </c>
      <c r="O693" s="109">
        <v>0</v>
      </c>
      <c r="P693" s="109">
        <v>0</v>
      </c>
      <c r="Q693" s="110">
        <f t="shared" si="71"/>
        <v>0</v>
      </c>
      <c r="S693" s="92">
        <f t="shared" si="73"/>
        <v>0</v>
      </c>
    </row>
    <row r="694" spans="1:19" x14ac:dyDescent="0.25">
      <c r="A694" s="106">
        <v>44792</v>
      </c>
      <c r="B694" t="str">
        <f t="shared" si="75"/>
        <v>Agosto</v>
      </c>
      <c r="C694" s="1" t="s">
        <v>31</v>
      </c>
      <c r="D694" s="58" t="str">
        <f>VLOOKUP(Datos!$C694,$AQ$2:$AR$41,2,0)</f>
        <v>Centro</v>
      </c>
      <c r="E694" s="1">
        <v>23775</v>
      </c>
      <c r="F694" s="1" t="str">
        <f t="array" ref="F694">_xlfn.IFS(H694=0,"Alta sin facturar",H694&gt;2,"Cliente",H694&gt;0,"Cliente nuevo")</f>
        <v>Alta sin facturar</v>
      </c>
      <c r="G694" s="1"/>
      <c r="H694" s="1">
        <f t="shared" si="72"/>
        <v>0</v>
      </c>
      <c r="I694" s="108">
        <v>0</v>
      </c>
      <c r="J694" s="108">
        <v>0</v>
      </c>
      <c r="K694" s="108">
        <v>0</v>
      </c>
      <c r="L694" s="108">
        <v>0</v>
      </c>
      <c r="M694" s="108">
        <v>0</v>
      </c>
      <c r="N694" s="109">
        <v>0</v>
      </c>
      <c r="O694" s="109">
        <v>0</v>
      </c>
      <c r="P694" s="109">
        <v>0</v>
      </c>
      <c r="Q694" s="110">
        <f t="shared" si="71"/>
        <v>0</v>
      </c>
      <c r="S694" s="92">
        <f t="shared" si="73"/>
        <v>0</v>
      </c>
    </row>
    <row r="695" spans="1:19" x14ac:dyDescent="0.25">
      <c r="A695" s="106">
        <v>44792</v>
      </c>
      <c r="B695" t="str">
        <f t="shared" si="75"/>
        <v>Agosto</v>
      </c>
      <c r="C695" s="1" t="s">
        <v>31</v>
      </c>
      <c r="D695" s="58" t="str">
        <f>VLOOKUP(Datos!$C695,$AQ$2:$AR$41,2,0)</f>
        <v>Centro</v>
      </c>
      <c r="E695" s="1">
        <v>23776</v>
      </c>
      <c r="F695" s="1" t="str">
        <f t="array" ref="F695">_xlfn.IFS(H695=0,"Alta sin facturar",H695&gt;2,"Cliente",H695&gt;0,"Cliente nuevo")</f>
        <v>Alta sin facturar</v>
      </c>
      <c r="G695" s="1"/>
      <c r="H695" s="1">
        <f t="shared" si="72"/>
        <v>0</v>
      </c>
      <c r="I695" s="108">
        <v>0</v>
      </c>
      <c r="J695" s="108">
        <v>0</v>
      </c>
      <c r="K695" s="108">
        <v>0</v>
      </c>
      <c r="L695" s="108">
        <v>0</v>
      </c>
      <c r="M695" s="108">
        <v>0</v>
      </c>
      <c r="N695" s="109">
        <v>0</v>
      </c>
      <c r="O695" s="109">
        <v>0</v>
      </c>
      <c r="P695" s="109">
        <v>0</v>
      </c>
      <c r="Q695" s="110">
        <f t="shared" si="71"/>
        <v>0</v>
      </c>
      <c r="S695" s="92">
        <f t="shared" si="73"/>
        <v>0</v>
      </c>
    </row>
    <row r="696" spans="1:19" x14ac:dyDescent="0.25">
      <c r="A696" s="106">
        <v>44792</v>
      </c>
      <c r="B696" t="str">
        <f t="shared" si="75"/>
        <v>Agosto</v>
      </c>
      <c r="C696" s="1" t="s">
        <v>31</v>
      </c>
      <c r="D696" s="58" t="str">
        <f>VLOOKUP(Datos!$C696,$AQ$2:$AR$41,2,0)</f>
        <v>Centro</v>
      </c>
      <c r="E696" s="1">
        <v>23777</v>
      </c>
      <c r="F696" s="1" t="str">
        <f t="array" ref="F696">_xlfn.IFS(H696=0,"Alta sin facturar",H696&gt;2,"Cliente",H696&gt;0,"Cliente nuevo")</f>
        <v>Alta sin facturar</v>
      </c>
      <c r="G696" s="1"/>
      <c r="H696" s="1">
        <f t="shared" si="72"/>
        <v>0</v>
      </c>
      <c r="I696" s="108">
        <v>0</v>
      </c>
      <c r="J696" s="108">
        <v>0</v>
      </c>
      <c r="K696" s="108">
        <v>0</v>
      </c>
      <c r="L696" s="108">
        <v>0</v>
      </c>
      <c r="M696" s="108">
        <v>0</v>
      </c>
      <c r="N696" s="109">
        <v>0</v>
      </c>
      <c r="O696" s="109">
        <v>0</v>
      </c>
      <c r="P696" s="109">
        <v>0</v>
      </c>
      <c r="Q696" s="110">
        <f t="shared" si="71"/>
        <v>0</v>
      </c>
      <c r="S696" s="92">
        <f t="shared" si="73"/>
        <v>0</v>
      </c>
    </row>
    <row r="697" spans="1:19" x14ac:dyDescent="0.25">
      <c r="A697" s="106">
        <v>44792</v>
      </c>
      <c r="B697" t="str">
        <f t="shared" si="75"/>
        <v>Agosto</v>
      </c>
      <c r="C697" s="1" t="s">
        <v>31</v>
      </c>
      <c r="D697" s="58" t="str">
        <f>VLOOKUP(Datos!$C697,$AQ$2:$AR$41,2,0)</f>
        <v>Centro</v>
      </c>
      <c r="E697" s="1">
        <v>23778</v>
      </c>
      <c r="F697" s="1" t="str">
        <f t="array" ref="F697">_xlfn.IFS(H697=0,"Alta sin facturar",H697&gt;2,"Cliente",H697&gt;0,"Cliente nuevo")</f>
        <v>Alta sin facturar</v>
      </c>
      <c r="G697" s="1"/>
      <c r="H697" s="1">
        <f t="shared" si="72"/>
        <v>0</v>
      </c>
      <c r="I697" s="108">
        <v>0</v>
      </c>
      <c r="J697" s="108">
        <v>0</v>
      </c>
      <c r="K697" s="108">
        <v>0</v>
      </c>
      <c r="L697" s="108">
        <v>0</v>
      </c>
      <c r="M697" s="108">
        <v>0</v>
      </c>
      <c r="N697" s="109">
        <v>0</v>
      </c>
      <c r="O697" s="109">
        <v>0</v>
      </c>
      <c r="P697" s="109">
        <v>0</v>
      </c>
      <c r="Q697" s="110">
        <f t="shared" si="71"/>
        <v>0</v>
      </c>
      <c r="S697" s="92">
        <f t="shared" si="73"/>
        <v>0</v>
      </c>
    </row>
    <row r="698" spans="1:19" x14ac:dyDescent="0.25">
      <c r="A698" s="106">
        <v>44792</v>
      </c>
      <c r="B698" t="str">
        <f t="shared" si="75"/>
        <v>Agosto</v>
      </c>
      <c r="C698" s="1" t="s">
        <v>31</v>
      </c>
      <c r="D698" s="58" t="str">
        <f>VLOOKUP(Datos!$C698,$AQ$2:$AR$41,2,0)</f>
        <v>Centro</v>
      </c>
      <c r="E698" s="1">
        <v>23779</v>
      </c>
      <c r="F698" s="1" t="str">
        <f t="array" ref="F698">_xlfn.IFS(H698=0,"Alta sin facturar",H698&gt;2,"Cliente",H698&gt;0,"Cliente nuevo")</f>
        <v>Alta sin facturar</v>
      </c>
      <c r="G698" s="1"/>
      <c r="H698" s="1">
        <f t="shared" si="72"/>
        <v>0</v>
      </c>
      <c r="I698" s="108">
        <v>0</v>
      </c>
      <c r="J698" s="108">
        <v>0</v>
      </c>
      <c r="K698" s="108">
        <v>0</v>
      </c>
      <c r="L698" s="108">
        <v>0</v>
      </c>
      <c r="M698" s="108">
        <v>0</v>
      </c>
      <c r="N698" s="109">
        <v>0</v>
      </c>
      <c r="O698" s="109">
        <v>0</v>
      </c>
      <c r="P698" s="109">
        <v>0</v>
      </c>
      <c r="Q698" s="110">
        <f t="shared" si="71"/>
        <v>0</v>
      </c>
      <c r="S698" s="92">
        <f t="shared" si="73"/>
        <v>0</v>
      </c>
    </row>
    <row r="699" spans="1:19" x14ac:dyDescent="0.25">
      <c r="A699" s="106">
        <v>44792</v>
      </c>
      <c r="B699" t="str">
        <f t="shared" si="75"/>
        <v>Agosto</v>
      </c>
      <c r="C699" s="1" t="s">
        <v>31</v>
      </c>
      <c r="D699" s="58" t="str">
        <f>VLOOKUP(Datos!$C699,$AQ$2:$AR$41,2,0)</f>
        <v>Centro</v>
      </c>
      <c r="E699" s="1">
        <v>23780</v>
      </c>
      <c r="F699" s="1" t="str">
        <f t="array" ref="F699">_xlfn.IFS(H699=0,"Alta sin facturar",H699&gt;2,"Cliente",H699&gt;0,"Cliente nuevo")</f>
        <v>Alta sin facturar</v>
      </c>
      <c r="G699" s="1"/>
      <c r="H699" s="1">
        <f t="shared" si="72"/>
        <v>0</v>
      </c>
      <c r="I699" s="108">
        <v>0</v>
      </c>
      <c r="J699" s="108">
        <v>0</v>
      </c>
      <c r="K699" s="108">
        <v>0</v>
      </c>
      <c r="L699" s="108">
        <v>0</v>
      </c>
      <c r="M699" s="108">
        <v>0</v>
      </c>
      <c r="N699" s="109">
        <v>0</v>
      </c>
      <c r="O699" s="109">
        <v>0</v>
      </c>
      <c r="P699" s="109">
        <v>0</v>
      </c>
      <c r="Q699" s="110">
        <f t="shared" si="71"/>
        <v>0</v>
      </c>
      <c r="S699" s="92">
        <f t="shared" si="73"/>
        <v>0</v>
      </c>
    </row>
    <row r="700" spans="1:19" x14ac:dyDescent="0.25">
      <c r="A700" s="106">
        <v>44792</v>
      </c>
      <c r="B700" t="str">
        <f t="shared" si="75"/>
        <v>Agosto</v>
      </c>
      <c r="C700" s="1" t="s">
        <v>31</v>
      </c>
      <c r="D700" s="58" t="str">
        <f>VLOOKUP(Datos!$C700,$AQ$2:$AR$41,2,0)</f>
        <v>Centro</v>
      </c>
      <c r="E700" s="1">
        <v>23781</v>
      </c>
      <c r="F700" s="1" t="str">
        <f t="array" ref="F700">_xlfn.IFS(H700=0,"Alta sin facturar",H700&gt;2,"Cliente",H700&gt;0,"Cliente nuevo")</f>
        <v>Alta sin facturar</v>
      </c>
      <c r="G700" s="1"/>
      <c r="H700" s="1">
        <f t="shared" si="72"/>
        <v>0</v>
      </c>
      <c r="I700" s="108">
        <v>0</v>
      </c>
      <c r="J700" s="108">
        <v>0</v>
      </c>
      <c r="K700" s="108">
        <v>0</v>
      </c>
      <c r="L700" s="108">
        <v>0</v>
      </c>
      <c r="M700" s="108">
        <v>0</v>
      </c>
      <c r="N700" s="109">
        <v>0</v>
      </c>
      <c r="O700" s="109">
        <v>0</v>
      </c>
      <c r="P700" s="109">
        <v>0</v>
      </c>
      <c r="Q700" s="110">
        <f t="shared" si="71"/>
        <v>0</v>
      </c>
      <c r="S700" s="92">
        <f t="shared" si="73"/>
        <v>0</v>
      </c>
    </row>
    <row r="701" spans="1:19" x14ac:dyDescent="0.25">
      <c r="A701" s="106">
        <v>44792</v>
      </c>
      <c r="B701" t="str">
        <f t="shared" si="75"/>
        <v>Agosto</v>
      </c>
      <c r="C701" s="1" t="s">
        <v>31</v>
      </c>
      <c r="D701" s="58" t="str">
        <f>VLOOKUP(Datos!$C701,$AQ$2:$AR$41,2,0)</f>
        <v>Centro</v>
      </c>
      <c r="E701" s="1">
        <v>23782</v>
      </c>
      <c r="F701" s="1" t="str">
        <f t="array" ref="F701">_xlfn.IFS(H701=0,"Alta sin facturar",H701&gt;2,"Cliente",H701&gt;0,"Cliente nuevo")</f>
        <v>Alta sin facturar</v>
      </c>
      <c r="G701" s="1"/>
      <c r="H701" s="1">
        <f t="shared" si="72"/>
        <v>0</v>
      </c>
      <c r="I701" s="108">
        <v>0</v>
      </c>
      <c r="J701" s="108">
        <v>0</v>
      </c>
      <c r="K701" s="108">
        <v>0</v>
      </c>
      <c r="L701" s="108">
        <v>0</v>
      </c>
      <c r="M701" s="108">
        <v>0</v>
      </c>
      <c r="N701" s="109">
        <v>0</v>
      </c>
      <c r="O701" s="109">
        <v>0</v>
      </c>
      <c r="P701" s="109">
        <v>0</v>
      </c>
      <c r="Q701" s="110">
        <f t="shared" si="71"/>
        <v>0</v>
      </c>
      <c r="S701" s="92">
        <f t="shared" si="73"/>
        <v>0</v>
      </c>
    </row>
    <row r="702" spans="1:19" x14ac:dyDescent="0.25">
      <c r="A702" s="106">
        <v>44792</v>
      </c>
      <c r="B702" t="str">
        <f t="shared" si="75"/>
        <v>Agosto</v>
      </c>
      <c r="C702" s="1" t="s">
        <v>31</v>
      </c>
      <c r="D702" s="58" t="str">
        <f>VLOOKUP(Datos!$C702,$AQ$2:$AR$41,2,0)</f>
        <v>Centro</v>
      </c>
      <c r="E702" s="1">
        <v>23881</v>
      </c>
      <c r="F702" s="1" t="str">
        <f t="array" ref="F702">_xlfn.IFS(H702=0,"Alta sin facturar",H702&gt;2,"Cliente",H702&gt;0,"Cliente nuevo")</f>
        <v>Alta sin facturar</v>
      </c>
      <c r="G702" s="1"/>
      <c r="H702" s="1">
        <f t="shared" si="72"/>
        <v>0</v>
      </c>
      <c r="I702" s="108">
        <v>0</v>
      </c>
      <c r="J702" s="108">
        <v>0</v>
      </c>
      <c r="K702" s="108">
        <v>0</v>
      </c>
      <c r="L702" s="108">
        <v>0</v>
      </c>
      <c r="M702" s="108">
        <v>0</v>
      </c>
      <c r="N702" s="109">
        <v>0</v>
      </c>
      <c r="O702" s="109">
        <v>0</v>
      </c>
      <c r="P702" s="109">
        <v>0</v>
      </c>
      <c r="Q702" s="110">
        <f t="shared" si="71"/>
        <v>0</v>
      </c>
      <c r="S702" s="92">
        <f t="shared" si="73"/>
        <v>0</v>
      </c>
    </row>
    <row r="703" spans="1:19" x14ac:dyDescent="0.25">
      <c r="A703" s="106">
        <v>44792</v>
      </c>
      <c r="B703" t="str">
        <f t="shared" si="75"/>
        <v>Agosto</v>
      </c>
      <c r="C703" s="1" t="s">
        <v>31</v>
      </c>
      <c r="D703" s="58" t="str">
        <f>VLOOKUP(Datos!$C703,$AQ$2:$AR$41,2,0)</f>
        <v>Centro</v>
      </c>
      <c r="E703" s="1">
        <v>23783</v>
      </c>
      <c r="F703" s="1" t="str">
        <f t="array" ref="F703">_xlfn.IFS(H703=0,"Alta sin facturar",H703&gt;2,"Cliente",H703&gt;0,"Cliente nuevo")</f>
        <v>Alta sin facturar</v>
      </c>
      <c r="G703" s="1"/>
      <c r="H703" s="1">
        <f t="shared" si="72"/>
        <v>0</v>
      </c>
      <c r="I703" s="108">
        <v>0</v>
      </c>
      <c r="J703" s="108">
        <v>0</v>
      </c>
      <c r="K703" s="108">
        <v>0</v>
      </c>
      <c r="L703" s="108">
        <v>0</v>
      </c>
      <c r="M703" s="108">
        <v>0</v>
      </c>
      <c r="N703" s="109">
        <v>0</v>
      </c>
      <c r="O703" s="109">
        <v>0</v>
      </c>
      <c r="P703" s="109">
        <v>0</v>
      </c>
      <c r="Q703" s="110">
        <f t="shared" si="71"/>
        <v>0</v>
      </c>
      <c r="S703" s="92">
        <f t="shared" si="73"/>
        <v>0</v>
      </c>
    </row>
    <row r="704" spans="1:19" x14ac:dyDescent="0.25">
      <c r="A704" s="106">
        <v>44792</v>
      </c>
      <c r="B704" t="str">
        <f t="shared" si="75"/>
        <v>Agosto</v>
      </c>
      <c r="C704" s="1" t="s">
        <v>31</v>
      </c>
      <c r="D704" s="58" t="str">
        <f>VLOOKUP(Datos!$C704,$AQ$2:$AR$41,2,0)</f>
        <v>Centro</v>
      </c>
      <c r="E704" s="1">
        <v>23784</v>
      </c>
      <c r="F704" s="1" t="str">
        <f t="array" ref="F704">_xlfn.IFS(H704=0,"Alta sin facturar",H704&gt;2,"Cliente",H704&gt;0,"Cliente nuevo")</f>
        <v>Alta sin facturar</v>
      </c>
      <c r="G704" s="1"/>
      <c r="H704" s="1">
        <f t="shared" si="72"/>
        <v>0</v>
      </c>
      <c r="I704" s="108">
        <v>0</v>
      </c>
      <c r="J704" s="108">
        <v>0</v>
      </c>
      <c r="K704" s="108">
        <v>0</v>
      </c>
      <c r="L704" s="108">
        <v>0</v>
      </c>
      <c r="M704" s="108">
        <v>0</v>
      </c>
      <c r="N704" s="109">
        <v>0</v>
      </c>
      <c r="O704" s="109">
        <v>0</v>
      </c>
      <c r="P704" s="109">
        <v>0</v>
      </c>
      <c r="Q704" s="110">
        <f t="shared" si="71"/>
        <v>0</v>
      </c>
      <c r="S704" s="92">
        <f t="shared" si="73"/>
        <v>0</v>
      </c>
    </row>
    <row r="705" spans="1:19" x14ac:dyDescent="0.25">
      <c r="A705" s="106">
        <v>44793</v>
      </c>
      <c r="B705" t="str">
        <f t="shared" si="75"/>
        <v>Agosto</v>
      </c>
      <c r="C705" s="1" t="s">
        <v>39</v>
      </c>
      <c r="D705" s="58" t="str">
        <f>VLOOKUP(Datos!$C705,$AQ$2:$AR$41,2,0)</f>
        <v>Sur</v>
      </c>
      <c r="E705" s="1">
        <v>23785</v>
      </c>
      <c r="F705" s="1" t="str">
        <f t="array" ref="F705">_xlfn.IFS(H705=0,"Alta sin facturar",H705&gt;2,"Cliente",H705&gt;0,"Cliente nuevo")</f>
        <v>Cliente nuevo</v>
      </c>
      <c r="G705" s="1"/>
      <c r="H705" s="1">
        <f t="shared" si="72"/>
        <v>1</v>
      </c>
      <c r="I705" s="108">
        <v>0</v>
      </c>
      <c r="J705" s="108">
        <v>0</v>
      </c>
      <c r="K705" s="108">
        <v>0</v>
      </c>
      <c r="L705" s="108">
        <v>0</v>
      </c>
      <c r="M705" s="108">
        <v>0</v>
      </c>
      <c r="N705" s="109">
        <v>0</v>
      </c>
      <c r="O705" s="109">
        <v>0</v>
      </c>
      <c r="P705" s="109">
        <v>7365.9999999999991</v>
      </c>
      <c r="Q705" s="110">
        <f t="shared" si="71"/>
        <v>7365.9999999999991</v>
      </c>
      <c r="S705" s="92">
        <f t="shared" si="73"/>
        <v>1</v>
      </c>
    </row>
    <row r="706" spans="1:19" x14ac:dyDescent="0.25">
      <c r="A706" s="106">
        <v>44795</v>
      </c>
      <c r="B706" t="str">
        <f t="shared" si="75"/>
        <v>Agosto</v>
      </c>
      <c r="C706" s="1" t="s">
        <v>31</v>
      </c>
      <c r="D706" s="58" t="str">
        <f>VLOOKUP(Datos!$C706,$AQ$2:$AR$41,2,0)</f>
        <v>Centro</v>
      </c>
      <c r="E706" s="1">
        <v>23786</v>
      </c>
      <c r="F706" s="1" t="str">
        <f t="array" ref="F706">_xlfn.IFS(H706=0,"Alta sin facturar",H706&gt;2,"Cliente",H706&gt;0,"Cliente nuevo")</f>
        <v>Alta sin facturar</v>
      </c>
      <c r="G706" s="1"/>
      <c r="H706" s="1">
        <f t="shared" si="72"/>
        <v>0</v>
      </c>
      <c r="I706" s="108">
        <v>0</v>
      </c>
      <c r="J706" s="108">
        <v>0</v>
      </c>
      <c r="K706" s="108">
        <v>0</v>
      </c>
      <c r="L706" s="108">
        <v>0</v>
      </c>
      <c r="M706" s="108">
        <v>0</v>
      </c>
      <c r="N706" s="109">
        <v>0</v>
      </c>
      <c r="O706" s="109">
        <v>0</v>
      </c>
      <c r="P706" s="109">
        <v>0</v>
      </c>
      <c r="Q706" s="110">
        <f t="shared" ref="Q706:Q726" si="76">SUBTOTAL(109,I706:P706)</f>
        <v>0</v>
      </c>
      <c r="S706" s="92">
        <f t="shared" si="73"/>
        <v>0</v>
      </c>
    </row>
    <row r="707" spans="1:19" x14ac:dyDescent="0.25">
      <c r="A707" s="106">
        <v>44795</v>
      </c>
      <c r="B707" t="str">
        <f t="shared" si="75"/>
        <v>Agosto</v>
      </c>
      <c r="C707" s="1" t="s">
        <v>31</v>
      </c>
      <c r="D707" s="58" t="str">
        <f>VLOOKUP(Datos!$C707,$AQ$2:$AR$41,2,0)</f>
        <v>Centro</v>
      </c>
      <c r="E707" s="1">
        <v>23787</v>
      </c>
      <c r="F707" s="1" t="str">
        <f t="array" ref="F707">_xlfn.IFS(H707=0,"Alta sin facturar",H707&gt;2,"Cliente",H707&gt;0,"Cliente nuevo")</f>
        <v>Alta sin facturar</v>
      </c>
      <c r="G707" s="1"/>
      <c r="H707" s="1">
        <f t="shared" ref="H707:H727" si="77">COUNTIF(I707:P707,"&gt;0")</f>
        <v>0</v>
      </c>
      <c r="I707" s="108">
        <v>0</v>
      </c>
      <c r="J707" s="108">
        <v>0</v>
      </c>
      <c r="K707" s="108">
        <v>0</v>
      </c>
      <c r="L707" s="108">
        <v>0</v>
      </c>
      <c r="M707" s="108">
        <v>0</v>
      </c>
      <c r="N707" s="109">
        <v>0</v>
      </c>
      <c r="O707" s="109">
        <v>0</v>
      </c>
      <c r="P707" s="109">
        <v>0</v>
      </c>
      <c r="Q707" s="110">
        <f t="shared" si="76"/>
        <v>0</v>
      </c>
      <c r="S707" s="92">
        <f t="shared" ref="S707:S727" si="78">COUNTIF(I707:P707,"&gt;0")</f>
        <v>0</v>
      </c>
    </row>
    <row r="708" spans="1:19" x14ac:dyDescent="0.25">
      <c r="A708" s="106">
        <v>44795</v>
      </c>
      <c r="B708" t="str">
        <f t="shared" si="75"/>
        <v>Agosto</v>
      </c>
      <c r="C708" s="1" t="s">
        <v>103</v>
      </c>
      <c r="D708" s="58" t="str">
        <f>VLOOKUP(Datos!$C708,$AQ$2:$AR$41,2,0)</f>
        <v>Norte</v>
      </c>
      <c r="E708" s="1">
        <v>23788</v>
      </c>
      <c r="F708" s="1" t="str">
        <f t="array" ref="F708">_xlfn.IFS(H708=0,"Alta sin facturar",H708&gt;2,"Cliente",H708&gt;0,"Cliente nuevo")</f>
        <v>Alta sin facturar</v>
      </c>
      <c r="G708" s="1"/>
      <c r="H708" s="1">
        <f t="shared" si="77"/>
        <v>0</v>
      </c>
      <c r="I708" s="108">
        <v>0</v>
      </c>
      <c r="J708" s="108">
        <v>0</v>
      </c>
      <c r="K708" s="108">
        <v>0</v>
      </c>
      <c r="L708" s="108">
        <v>0</v>
      </c>
      <c r="M708" s="108">
        <v>0</v>
      </c>
      <c r="N708" s="109">
        <v>0</v>
      </c>
      <c r="O708" s="109">
        <v>0</v>
      </c>
      <c r="P708" s="109">
        <v>0</v>
      </c>
      <c r="Q708" s="110">
        <f t="shared" si="76"/>
        <v>0</v>
      </c>
      <c r="S708" s="92">
        <f t="shared" si="78"/>
        <v>0</v>
      </c>
    </row>
    <row r="709" spans="1:19" x14ac:dyDescent="0.25">
      <c r="A709" s="106">
        <v>44795</v>
      </c>
      <c r="B709" t="str">
        <f t="shared" si="75"/>
        <v>Agosto</v>
      </c>
      <c r="C709" s="1" t="s">
        <v>89</v>
      </c>
      <c r="D709" s="58" t="str">
        <f>VLOOKUP(Datos!$C709,$AQ$2:$AR$41,2,0)</f>
        <v>Centro</v>
      </c>
      <c r="E709" s="1">
        <v>23789</v>
      </c>
      <c r="F709" s="1" t="str">
        <f t="array" ref="F709">_xlfn.IFS(H709=0,"Alta sin facturar",H709&gt;2,"Cliente",H709&gt;0,"Cliente nuevo")</f>
        <v>Alta sin facturar</v>
      </c>
      <c r="G709" s="1"/>
      <c r="H709" s="1">
        <f t="shared" si="77"/>
        <v>0</v>
      </c>
      <c r="I709" s="108">
        <v>0</v>
      </c>
      <c r="J709" s="108">
        <v>0</v>
      </c>
      <c r="K709" s="108">
        <v>0</v>
      </c>
      <c r="L709" s="108">
        <v>0</v>
      </c>
      <c r="M709" s="108">
        <v>0</v>
      </c>
      <c r="N709" s="109">
        <v>0</v>
      </c>
      <c r="O709" s="109">
        <v>0</v>
      </c>
      <c r="P709" s="109">
        <v>0</v>
      </c>
      <c r="Q709" s="110">
        <f t="shared" si="76"/>
        <v>0</v>
      </c>
      <c r="S709" s="92">
        <f t="shared" si="78"/>
        <v>0</v>
      </c>
    </row>
    <row r="710" spans="1:19" x14ac:dyDescent="0.25">
      <c r="A710" s="106">
        <v>44795</v>
      </c>
      <c r="B710" t="str">
        <f t="shared" si="75"/>
        <v>Agosto</v>
      </c>
      <c r="C710" s="1" t="s">
        <v>59</v>
      </c>
      <c r="D710" s="58" t="str">
        <f>VLOOKUP(Datos!$C710,$AQ$2:$AR$41,2,0)</f>
        <v>Magallanes</v>
      </c>
      <c r="E710" s="1">
        <v>23790</v>
      </c>
      <c r="F710" s="1" t="str">
        <f t="array" ref="F710">_xlfn.IFS(H710=0,"Alta sin facturar",H710&gt;2,"Cliente",H710&gt;0,"Cliente nuevo")</f>
        <v>Cliente nuevo</v>
      </c>
      <c r="G710" s="1"/>
      <c r="H710" s="1">
        <f t="shared" si="77"/>
        <v>1</v>
      </c>
      <c r="I710" s="108">
        <v>0</v>
      </c>
      <c r="J710" s="108">
        <v>0</v>
      </c>
      <c r="K710" s="108">
        <v>0</v>
      </c>
      <c r="L710" s="108">
        <v>0</v>
      </c>
      <c r="M710" s="108">
        <v>0</v>
      </c>
      <c r="N710" s="109">
        <v>0</v>
      </c>
      <c r="O710" s="109">
        <v>0</v>
      </c>
      <c r="P710" s="109">
        <v>807.36</v>
      </c>
      <c r="Q710" s="110">
        <f t="shared" si="76"/>
        <v>807.36</v>
      </c>
      <c r="S710" s="92">
        <f t="shared" si="78"/>
        <v>1</v>
      </c>
    </row>
    <row r="711" spans="1:19" x14ac:dyDescent="0.25">
      <c r="A711" s="106">
        <v>44795</v>
      </c>
      <c r="B711" t="str">
        <f t="shared" ref="B711:B727" si="79">PROPER(TEXT(A711,"mmmm"))</f>
        <v>Agosto</v>
      </c>
      <c r="C711" s="1" t="s">
        <v>74</v>
      </c>
      <c r="D711" s="58" t="str">
        <f>VLOOKUP(Datos!$C711,$AQ$2:$AR$41,2,0)</f>
        <v>Sur</v>
      </c>
      <c r="E711" s="1">
        <v>23791</v>
      </c>
      <c r="F711" s="1" t="str">
        <f t="array" ref="F711">_xlfn.IFS(H711=0,"Alta sin facturar",H711&gt;2,"Cliente",H711&gt;0,"Cliente nuevo")</f>
        <v>Cliente nuevo</v>
      </c>
      <c r="G711" s="1"/>
      <c r="H711" s="1">
        <f t="shared" si="77"/>
        <v>1</v>
      </c>
      <c r="I711" s="108">
        <v>0</v>
      </c>
      <c r="J711" s="108">
        <v>0</v>
      </c>
      <c r="K711" s="108">
        <v>0</v>
      </c>
      <c r="L711" s="108">
        <v>0</v>
      </c>
      <c r="M711" s="108">
        <v>0</v>
      </c>
      <c r="N711" s="109">
        <v>0</v>
      </c>
      <c r="O711" s="109">
        <v>0</v>
      </c>
      <c r="P711" s="109">
        <v>307.39999999999998</v>
      </c>
      <c r="Q711" s="110">
        <f t="shared" si="76"/>
        <v>307.39999999999998</v>
      </c>
      <c r="S711" s="92">
        <f t="shared" si="78"/>
        <v>1</v>
      </c>
    </row>
    <row r="712" spans="1:19" x14ac:dyDescent="0.25">
      <c r="A712" s="106">
        <v>44795</v>
      </c>
      <c r="B712" t="str">
        <f t="shared" si="79"/>
        <v>Agosto</v>
      </c>
      <c r="C712" s="1" t="s">
        <v>60</v>
      </c>
      <c r="D712" s="58" t="str">
        <f>VLOOKUP(Datos!$C712,$AQ$2:$AR$41,2,0)</f>
        <v>Norte</v>
      </c>
      <c r="E712" s="1">
        <v>23792</v>
      </c>
      <c r="F712" s="1" t="str">
        <f t="array" ref="F712">_xlfn.IFS(H712=0,"Alta sin facturar",H712&gt;2,"Cliente",H712&gt;0,"Cliente nuevo")</f>
        <v>Alta sin facturar</v>
      </c>
      <c r="G712" s="1"/>
      <c r="H712" s="1">
        <f t="shared" si="77"/>
        <v>0</v>
      </c>
      <c r="I712" s="108">
        <v>0</v>
      </c>
      <c r="J712" s="108">
        <v>0</v>
      </c>
      <c r="K712" s="108">
        <v>0</v>
      </c>
      <c r="L712" s="108">
        <v>0</v>
      </c>
      <c r="M712" s="108">
        <v>0</v>
      </c>
      <c r="N712" s="109">
        <v>0</v>
      </c>
      <c r="O712" s="109">
        <v>0</v>
      </c>
      <c r="P712" s="109">
        <v>0</v>
      </c>
      <c r="Q712" s="110">
        <f t="shared" si="76"/>
        <v>0</v>
      </c>
      <c r="S712" s="92">
        <f t="shared" si="78"/>
        <v>0</v>
      </c>
    </row>
    <row r="713" spans="1:19" x14ac:dyDescent="0.25">
      <c r="A713" s="106">
        <v>44796</v>
      </c>
      <c r="B713" t="str">
        <f t="shared" si="79"/>
        <v>Agosto</v>
      </c>
      <c r="C713" s="1" t="s">
        <v>36</v>
      </c>
      <c r="D713" s="58" t="str">
        <f>VLOOKUP(Datos!$C713,$AQ$2:$AR$41,2,0)</f>
        <v>Magallanes</v>
      </c>
      <c r="E713" s="1">
        <v>23794</v>
      </c>
      <c r="F713" s="1" t="str">
        <f t="array" ref="F713">_xlfn.IFS(H713=0,"Alta sin facturar",H713&gt;2,"Cliente",H713&gt;0,"Cliente nuevo")</f>
        <v>Alta sin facturar</v>
      </c>
      <c r="G713" s="1"/>
      <c r="H713" s="1">
        <f t="shared" si="77"/>
        <v>0</v>
      </c>
      <c r="I713" s="108">
        <v>0</v>
      </c>
      <c r="J713" s="108">
        <v>0</v>
      </c>
      <c r="K713" s="108">
        <v>0</v>
      </c>
      <c r="L713" s="108">
        <v>0</v>
      </c>
      <c r="M713" s="108">
        <v>0</v>
      </c>
      <c r="N713" s="109">
        <v>0</v>
      </c>
      <c r="O713" s="109">
        <v>0</v>
      </c>
      <c r="P713" s="109">
        <v>0</v>
      </c>
      <c r="Q713" s="110">
        <f t="shared" si="76"/>
        <v>0</v>
      </c>
      <c r="S713" s="92">
        <f t="shared" si="78"/>
        <v>0</v>
      </c>
    </row>
    <row r="714" spans="1:19" x14ac:dyDescent="0.25">
      <c r="A714" s="106">
        <v>44796</v>
      </c>
      <c r="B714" t="str">
        <f t="shared" si="79"/>
        <v>Agosto</v>
      </c>
      <c r="C714" s="1" t="s">
        <v>36</v>
      </c>
      <c r="D714" s="58" t="str">
        <f>VLOOKUP(Datos!$C714,$AQ$2:$AR$41,2,0)</f>
        <v>Magallanes</v>
      </c>
      <c r="E714" s="1">
        <v>23795</v>
      </c>
      <c r="F714" s="1" t="str">
        <f t="array" ref="F714">_xlfn.IFS(H714=0,"Alta sin facturar",H714&gt;2,"Cliente",H714&gt;0,"Cliente nuevo")</f>
        <v>Cliente nuevo</v>
      </c>
      <c r="G714" s="1"/>
      <c r="H714" s="1">
        <f t="shared" si="77"/>
        <v>1</v>
      </c>
      <c r="I714" s="108">
        <v>0</v>
      </c>
      <c r="J714" s="108">
        <v>0</v>
      </c>
      <c r="K714" s="108">
        <v>0</v>
      </c>
      <c r="L714" s="108">
        <v>0</v>
      </c>
      <c r="M714" s="108">
        <v>0</v>
      </c>
      <c r="N714" s="109">
        <v>0</v>
      </c>
      <c r="O714" s="109">
        <v>0</v>
      </c>
      <c r="P714" s="109">
        <v>1875.72</v>
      </c>
      <c r="Q714" s="110">
        <f t="shared" si="76"/>
        <v>1875.72</v>
      </c>
      <c r="S714" s="92">
        <f t="shared" si="78"/>
        <v>1</v>
      </c>
    </row>
    <row r="715" spans="1:19" x14ac:dyDescent="0.25">
      <c r="A715" s="106">
        <v>44797</v>
      </c>
      <c r="B715" t="str">
        <f t="shared" si="79"/>
        <v>Agosto</v>
      </c>
      <c r="C715" s="1" t="s">
        <v>78</v>
      </c>
      <c r="D715" s="58" t="str">
        <f>VLOOKUP(Datos!$C715,$AQ$2:$AR$41,2,0)</f>
        <v>Centro</v>
      </c>
      <c r="E715" s="1">
        <v>23796</v>
      </c>
      <c r="F715" s="1" t="str">
        <f t="array" ref="F715">_xlfn.IFS(H715=0,"Alta sin facturar",H715&gt;2,"Cliente",H715&gt;0,"Cliente nuevo")</f>
        <v>Alta sin facturar</v>
      </c>
      <c r="G715" s="1"/>
      <c r="H715" s="1">
        <f t="shared" si="77"/>
        <v>0</v>
      </c>
      <c r="I715" s="108">
        <v>0</v>
      </c>
      <c r="J715" s="108">
        <v>0</v>
      </c>
      <c r="K715" s="108">
        <v>0</v>
      </c>
      <c r="L715" s="108">
        <v>0</v>
      </c>
      <c r="M715" s="108">
        <v>0</v>
      </c>
      <c r="N715" s="109">
        <v>0</v>
      </c>
      <c r="O715" s="109">
        <v>0</v>
      </c>
      <c r="P715" s="109">
        <v>0</v>
      </c>
      <c r="Q715" s="110">
        <f t="shared" si="76"/>
        <v>0</v>
      </c>
      <c r="S715" s="92">
        <f t="shared" si="78"/>
        <v>0</v>
      </c>
    </row>
    <row r="716" spans="1:19" x14ac:dyDescent="0.25">
      <c r="A716" s="106">
        <v>44798</v>
      </c>
      <c r="B716" t="str">
        <f t="shared" si="79"/>
        <v>Agosto</v>
      </c>
      <c r="C716" s="1" t="s">
        <v>36</v>
      </c>
      <c r="D716" s="58" t="str">
        <f>VLOOKUP(Datos!$C716,$AQ$2:$AR$41,2,0)</f>
        <v>Magallanes</v>
      </c>
      <c r="E716" s="1">
        <v>23797</v>
      </c>
      <c r="F716" s="1" t="str">
        <f t="array" ref="F716">_xlfn.IFS(H716=0,"Alta sin facturar",H716&gt;2,"Cliente",H716&gt;0,"Cliente nuevo")</f>
        <v>Alta sin facturar</v>
      </c>
      <c r="G716" s="1"/>
      <c r="H716" s="1">
        <f t="shared" si="77"/>
        <v>0</v>
      </c>
      <c r="I716" s="108">
        <v>0</v>
      </c>
      <c r="J716" s="108">
        <v>0</v>
      </c>
      <c r="K716" s="108">
        <v>0</v>
      </c>
      <c r="L716" s="108">
        <v>0</v>
      </c>
      <c r="M716" s="108">
        <v>0</v>
      </c>
      <c r="N716" s="109">
        <v>0</v>
      </c>
      <c r="O716" s="109">
        <v>0</v>
      </c>
      <c r="P716" s="109">
        <v>0</v>
      </c>
      <c r="Q716" s="110">
        <f t="shared" si="76"/>
        <v>0</v>
      </c>
      <c r="S716" s="92">
        <f t="shared" si="78"/>
        <v>0</v>
      </c>
    </row>
    <row r="717" spans="1:19" x14ac:dyDescent="0.25">
      <c r="A717" s="106">
        <v>44798</v>
      </c>
      <c r="B717" t="str">
        <f t="shared" si="79"/>
        <v>Agosto</v>
      </c>
      <c r="C717" s="1" t="s">
        <v>103</v>
      </c>
      <c r="D717" s="58" t="str">
        <f>VLOOKUP(Datos!$C717,$AQ$2:$AR$41,2,0)</f>
        <v>Norte</v>
      </c>
      <c r="E717" s="1">
        <v>23798</v>
      </c>
      <c r="F717" s="1" t="str">
        <f t="array" ref="F717">_xlfn.IFS(H717=0,"Alta sin facturar",H717&gt;2,"Cliente",H717&gt;0,"Cliente nuevo")</f>
        <v>Alta sin facturar</v>
      </c>
      <c r="G717" s="1"/>
      <c r="H717" s="1">
        <f t="shared" si="77"/>
        <v>0</v>
      </c>
      <c r="I717" s="108">
        <v>0</v>
      </c>
      <c r="J717" s="108">
        <v>0</v>
      </c>
      <c r="K717" s="108">
        <v>0</v>
      </c>
      <c r="L717" s="108">
        <v>0</v>
      </c>
      <c r="M717" s="108">
        <v>0</v>
      </c>
      <c r="N717" s="109">
        <v>0</v>
      </c>
      <c r="O717" s="109">
        <v>0</v>
      </c>
      <c r="P717" s="109">
        <v>0</v>
      </c>
      <c r="Q717" s="110">
        <f t="shared" si="76"/>
        <v>0</v>
      </c>
      <c r="S717" s="92">
        <f t="shared" si="78"/>
        <v>0</v>
      </c>
    </row>
    <row r="718" spans="1:19" x14ac:dyDescent="0.25">
      <c r="A718" s="106">
        <v>44799</v>
      </c>
      <c r="B718" t="str">
        <f t="shared" si="79"/>
        <v>Agosto</v>
      </c>
      <c r="C718" s="1" t="s">
        <v>59</v>
      </c>
      <c r="D718" s="58" t="str">
        <f>VLOOKUP(Datos!$C718,$AQ$2:$AR$41,2,0)</f>
        <v>Magallanes</v>
      </c>
      <c r="E718" s="1">
        <v>23799</v>
      </c>
      <c r="F718" s="1" t="str">
        <f t="array" ref="F718">_xlfn.IFS(H718=0,"Alta sin facturar",H718&gt;2,"Cliente",H718&gt;0,"Cliente nuevo")</f>
        <v>Alta sin facturar</v>
      </c>
      <c r="G718" s="1"/>
      <c r="H718" s="1">
        <f t="shared" si="77"/>
        <v>0</v>
      </c>
      <c r="I718" s="108">
        <v>0</v>
      </c>
      <c r="J718" s="108">
        <v>0</v>
      </c>
      <c r="K718" s="108">
        <v>0</v>
      </c>
      <c r="L718" s="108">
        <v>0</v>
      </c>
      <c r="M718" s="108">
        <v>0</v>
      </c>
      <c r="N718" s="109">
        <v>0</v>
      </c>
      <c r="O718" s="109">
        <v>0</v>
      </c>
      <c r="P718" s="109">
        <v>0</v>
      </c>
      <c r="Q718" s="110">
        <f t="shared" si="76"/>
        <v>0</v>
      </c>
      <c r="S718" s="92">
        <f t="shared" si="78"/>
        <v>0</v>
      </c>
    </row>
    <row r="719" spans="1:19" x14ac:dyDescent="0.25">
      <c r="A719" s="106">
        <v>44799</v>
      </c>
      <c r="B719" t="str">
        <f t="shared" si="79"/>
        <v>Agosto</v>
      </c>
      <c r="C719" s="1" t="s">
        <v>33</v>
      </c>
      <c r="D719" s="58" t="str">
        <f>VLOOKUP(Datos!$C719,$AQ$2:$AR$41,2,0)</f>
        <v>Magallanes</v>
      </c>
      <c r="E719" s="1">
        <v>23800</v>
      </c>
      <c r="F719" s="1" t="str">
        <f t="array" ref="F719">_xlfn.IFS(H719=0,"Alta sin facturar",H719&gt;2,"Cliente",H719&gt;0,"Cliente nuevo")</f>
        <v>Alta sin facturar</v>
      </c>
      <c r="G719" s="1"/>
      <c r="H719" s="1">
        <f t="shared" si="77"/>
        <v>0</v>
      </c>
      <c r="I719" s="108">
        <v>0</v>
      </c>
      <c r="J719" s="108">
        <v>0</v>
      </c>
      <c r="K719" s="108">
        <v>0</v>
      </c>
      <c r="L719" s="108">
        <v>0</v>
      </c>
      <c r="M719" s="108">
        <v>0</v>
      </c>
      <c r="N719" s="109">
        <v>0</v>
      </c>
      <c r="O719" s="109">
        <v>0</v>
      </c>
      <c r="P719" s="109">
        <v>0</v>
      </c>
      <c r="Q719" s="110">
        <f t="shared" si="76"/>
        <v>0</v>
      </c>
      <c r="S719" s="92">
        <f t="shared" si="78"/>
        <v>0</v>
      </c>
    </row>
    <row r="720" spans="1:19" x14ac:dyDescent="0.25">
      <c r="A720" s="106">
        <v>44799</v>
      </c>
      <c r="B720" t="str">
        <f t="shared" si="79"/>
        <v>Agosto</v>
      </c>
      <c r="C720" s="1" t="s">
        <v>39</v>
      </c>
      <c r="D720" s="58" t="str">
        <f>VLOOKUP(Datos!$C720,$AQ$2:$AR$41,2,0)</f>
        <v>Sur</v>
      </c>
      <c r="E720" s="1">
        <v>23801</v>
      </c>
      <c r="F720" s="1" t="str">
        <f t="array" ref="F720">_xlfn.IFS(H720=0,"Alta sin facturar",H720&gt;2,"Cliente",H720&gt;0,"Cliente nuevo")</f>
        <v>Alta sin facturar</v>
      </c>
      <c r="G720" s="1"/>
      <c r="H720" s="1">
        <f t="shared" si="77"/>
        <v>0</v>
      </c>
      <c r="I720" s="108">
        <v>0</v>
      </c>
      <c r="J720" s="108">
        <v>0</v>
      </c>
      <c r="K720" s="108">
        <v>0</v>
      </c>
      <c r="L720" s="108">
        <v>0</v>
      </c>
      <c r="M720" s="108">
        <v>0</v>
      </c>
      <c r="N720" s="109">
        <v>0</v>
      </c>
      <c r="O720" s="109">
        <v>0</v>
      </c>
      <c r="P720" s="109">
        <v>0</v>
      </c>
      <c r="Q720" s="110">
        <f t="shared" si="76"/>
        <v>0</v>
      </c>
      <c r="S720" s="92">
        <f t="shared" si="78"/>
        <v>0</v>
      </c>
    </row>
    <row r="721" spans="1:19" x14ac:dyDescent="0.25">
      <c r="A721" s="106">
        <v>44799</v>
      </c>
      <c r="B721" t="str">
        <f t="shared" si="79"/>
        <v>Agosto</v>
      </c>
      <c r="C721" s="1" t="s">
        <v>39</v>
      </c>
      <c r="D721" s="58" t="str">
        <f>VLOOKUP(Datos!$C721,$AQ$2:$AR$41,2,0)</f>
        <v>Sur</v>
      </c>
      <c r="E721" s="1">
        <v>23802</v>
      </c>
      <c r="F721" s="1" t="str">
        <f t="array" ref="F721">_xlfn.IFS(H721=0,"Alta sin facturar",H721&gt;2,"Cliente",H721&gt;0,"Cliente nuevo")</f>
        <v>Alta sin facturar</v>
      </c>
      <c r="G721" s="1"/>
      <c r="H721" s="1">
        <f t="shared" si="77"/>
        <v>0</v>
      </c>
      <c r="I721" s="108">
        <v>0</v>
      </c>
      <c r="J721" s="108">
        <v>0</v>
      </c>
      <c r="K721" s="108">
        <v>0</v>
      </c>
      <c r="L721" s="108">
        <v>0</v>
      </c>
      <c r="M721" s="108">
        <v>0</v>
      </c>
      <c r="N721" s="109">
        <v>0</v>
      </c>
      <c r="O721" s="109">
        <v>0</v>
      </c>
      <c r="P721" s="109">
        <v>0</v>
      </c>
      <c r="Q721" s="110">
        <f t="shared" si="76"/>
        <v>0</v>
      </c>
      <c r="S721" s="92">
        <f t="shared" si="78"/>
        <v>0</v>
      </c>
    </row>
    <row r="722" spans="1:19" x14ac:dyDescent="0.25">
      <c r="A722" s="106">
        <v>44799</v>
      </c>
      <c r="B722" t="str">
        <f t="shared" si="79"/>
        <v>Agosto</v>
      </c>
      <c r="C722" s="1" t="s">
        <v>102</v>
      </c>
      <c r="D722" s="58" t="str">
        <f>VLOOKUP(Datos!$C722,$AQ$2:$AR$41,2,0)</f>
        <v>Sur</v>
      </c>
      <c r="E722" s="1">
        <v>23803</v>
      </c>
      <c r="F722" s="1" t="str">
        <f t="array" ref="F722">_xlfn.IFS(H722=0,"Alta sin facturar",H722&gt;2,"Cliente",H722&gt;0,"Cliente nuevo")</f>
        <v>Alta sin facturar</v>
      </c>
      <c r="G722" s="1"/>
      <c r="H722" s="1">
        <f t="shared" si="77"/>
        <v>0</v>
      </c>
      <c r="I722" s="108">
        <v>0</v>
      </c>
      <c r="J722" s="108">
        <v>0</v>
      </c>
      <c r="K722" s="108">
        <v>0</v>
      </c>
      <c r="L722" s="108">
        <v>0</v>
      </c>
      <c r="M722" s="108">
        <v>0</v>
      </c>
      <c r="N722" s="109">
        <v>0</v>
      </c>
      <c r="O722" s="109">
        <v>0</v>
      </c>
      <c r="P722" s="109">
        <v>0</v>
      </c>
      <c r="Q722" s="110">
        <f t="shared" si="76"/>
        <v>0</v>
      </c>
      <c r="S722" s="92">
        <f t="shared" si="78"/>
        <v>0</v>
      </c>
    </row>
    <row r="723" spans="1:19" x14ac:dyDescent="0.25">
      <c r="A723" s="106">
        <v>44799</v>
      </c>
      <c r="B723" t="str">
        <f t="shared" si="79"/>
        <v>Agosto</v>
      </c>
      <c r="C723" s="1" t="s">
        <v>67</v>
      </c>
      <c r="D723" s="58" t="str">
        <f>VLOOKUP(Datos!$C723,$AQ$2:$AR$41,2,0)</f>
        <v>Norte</v>
      </c>
      <c r="E723" s="1">
        <v>23804</v>
      </c>
      <c r="F723" s="1" t="str">
        <f t="array" ref="F723">_xlfn.IFS(H723=0,"Alta sin facturar",H723&gt;2,"Cliente",H723&gt;0,"Cliente nuevo")</f>
        <v>Alta sin facturar</v>
      </c>
      <c r="G723" s="1"/>
      <c r="H723" s="1">
        <f t="shared" si="77"/>
        <v>0</v>
      </c>
      <c r="I723" s="108">
        <v>0</v>
      </c>
      <c r="J723" s="108">
        <v>0</v>
      </c>
      <c r="K723" s="108">
        <v>0</v>
      </c>
      <c r="L723" s="108">
        <v>0</v>
      </c>
      <c r="M723" s="108">
        <v>0</v>
      </c>
      <c r="N723" s="109">
        <v>0</v>
      </c>
      <c r="O723" s="109">
        <v>0</v>
      </c>
      <c r="P723" s="109">
        <v>0</v>
      </c>
      <c r="Q723" s="110">
        <f t="shared" si="76"/>
        <v>0</v>
      </c>
      <c r="S723" s="92">
        <f t="shared" si="78"/>
        <v>0</v>
      </c>
    </row>
    <row r="724" spans="1:19" x14ac:dyDescent="0.25">
      <c r="A724" s="106">
        <v>44799</v>
      </c>
      <c r="B724" t="str">
        <f t="shared" si="79"/>
        <v>Agosto</v>
      </c>
      <c r="C724" s="1" t="s">
        <v>31</v>
      </c>
      <c r="D724" s="58" t="str">
        <f>VLOOKUP(Datos!$C724,$AQ$2:$AR$41,2,0)</f>
        <v>Centro</v>
      </c>
      <c r="E724" s="1">
        <v>23805</v>
      </c>
      <c r="F724" s="1" t="str">
        <f t="array" ref="F724">_xlfn.IFS(H724=0,"Alta sin facturar",H724&gt;2,"Cliente",H724&gt;0,"Cliente nuevo")</f>
        <v>Alta sin facturar</v>
      </c>
      <c r="G724" s="1"/>
      <c r="H724" s="1">
        <f t="shared" si="77"/>
        <v>0</v>
      </c>
      <c r="I724" s="108">
        <v>0</v>
      </c>
      <c r="J724" s="108">
        <v>0</v>
      </c>
      <c r="K724" s="108">
        <v>0</v>
      </c>
      <c r="L724" s="108">
        <v>0</v>
      </c>
      <c r="M724" s="108">
        <v>0</v>
      </c>
      <c r="N724" s="109">
        <v>0</v>
      </c>
      <c r="O724" s="109">
        <v>0</v>
      </c>
      <c r="P724" s="109">
        <v>0</v>
      </c>
      <c r="Q724" s="110">
        <f t="shared" si="76"/>
        <v>0</v>
      </c>
      <c r="S724" s="92">
        <f t="shared" si="78"/>
        <v>0</v>
      </c>
    </row>
    <row r="725" spans="1:19" x14ac:dyDescent="0.25">
      <c r="A725" s="106">
        <v>44799</v>
      </c>
      <c r="B725" t="str">
        <f t="shared" si="79"/>
        <v>Agosto</v>
      </c>
      <c r="C725" s="1" t="s">
        <v>38</v>
      </c>
      <c r="D725" s="58" t="str">
        <f>VLOOKUP(Datos!$C725,$AQ$2:$AR$41,2,0)</f>
        <v>Centro</v>
      </c>
      <c r="E725" s="1">
        <v>23806</v>
      </c>
      <c r="F725" s="1" t="str">
        <f t="array" ref="F725">_xlfn.IFS(H725=0,"Alta sin facturar",H725&gt;2,"Cliente",H725&gt;0,"Cliente nuevo")</f>
        <v>Alta sin facturar</v>
      </c>
      <c r="G725" s="1"/>
      <c r="H725" s="1">
        <f t="shared" si="77"/>
        <v>0</v>
      </c>
      <c r="I725" s="108">
        <v>0</v>
      </c>
      <c r="J725" s="108">
        <v>0</v>
      </c>
      <c r="K725" s="108">
        <v>0</v>
      </c>
      <c r="L725" s="108">
        <v>0</v>
      </c>
      <c r="M725" s="108">
        <v>0</v>
      </c>
      <c r="N725" s="109">
        <v>0</v>
      </c>
      <c r="O725" s="109">
        <v>0</v>
      </c>
      <c r="P725" s="109">
        <v>0</v>
      </c>
      <c r="Q725" s="110">
        <f t="shared" si="76"/>
        <v>0</v>
      </c>
      <c r="S725" s="92">
        <f t="shared" si="78"/>
        <v>0</v>
      </c>
    </row>
    <row r="726" spans="1:19" x14ac:dyDescent="0.25">
      <c r="A726" s="106">
        <v>44802</v>
      </c>
      <c r="B726" t="str">
        <f t="shared" si="79"/>
        <v>Agosto</v>
      </c>
      <c r="C726" s="1" t="s">
        <v>33</v>
      </c>
      <c r="D726" s="58" t="str">
        <f>VLOOKUP(Datos!$C726,$AQ$2:$AR$41,2,0)</f>
        <v>Magallanes</v>
      </c>
      <c r="E726" s="1">
        <v>23807</v>
      </c>
      <c r="F726" s="1" t="str">
        <f t="array" ref="F726">_xlfn.IFS(H726=0,"Alta sin facturar",H726&gt;2,"Cliente",H726&gt;0,"Cliente nuevo")</f>
        <v>Alta sin facturar</v>
      </c>
      <c r="G726" s="1"/>
      <c r="H726" s="1">
        <f t="shared" si="77"/>
        <v>0</v>
      </c>
      <c r="I726" s="108">
        <v>0</v>
      </c>
      <c r="J726" s="108">
        <v>0</v>
      </c>
      <c r="K726" s="108">
        <v>0</v>
      </c>
      <c r="L726" s="108">
        <v>0</v>
      </c>
      <c r="M726" s="108">
        <v>0</v>
      </c>
      <c r="N726" s="109">
        <v>0</v>
      </c>
      <c r="O726" s="109">
        <v>0</v>
      </c>
      <c r="P726" s="109">
        <v>0</v>
      </c>
      <c r="Q726" s="110">
        <f t="shared" si="76"/>
        <v>0</v>
      </c>
      <c r="S726" s="92">
        <f t="shared" si="78"/>
        <v>0</v>
      </c>
    </row>
    <row r="727" spans="1:19" x14ac:dyDescent="0.25">
      <c r="A727" s="106">
        <v>44803</v>
      </c>
      <c r="B727" t="str">
        <f t="shared" si="79"/>
        <v>Agosto</v>
      </c>
      <c r="C727" s="1" t="s">
        <v>104</v>
      </c>
      <c r="D727" s="58" t="str">
        <f>VLOOKUP(Datos!$C727,$AQ$2:$AR$41,2,0)</f>
        <v>Norte</v>
      </c>
      <c r="E727" s="1">
        <v>23808</v>
      </c>
      <c r="F727" s="1" t="str">
        <f t="array" ref="F727">_xlfn.IFS(H727=0,"Alta sin facturar",H727&gt;2,"Cliente",H727&gt;0,"Cliente nuevo")</f>
        <v>Alta sin facturar</v>
      </c>
      <c r="G727" s="1"/>
      <c r="H727" s="1">
        <f t="shared" si="77"/>
        <v>0</v>
      </c>
      <c r="I727" s="108">
        <v>0</v>
      </c>
      <c r="J727" s="108">
        <v>0</v>
      </c>
      <c r="K727" s="108">
        <v>0</v>
      </c>
      <c r="L727" s="108">
        <v>0</v>
      </c>
      <c r="M727" s="108">
        <v>0</v>
      </c>
      <c r="N727" s="109">
        <v>0</v>
      </c>
      <c r="O727" s="109">
        <v>0</v>
      </c>
      <c r="P727" s="109">
        <v>0</v>
      </c>
      <c r="Q727" s="110">
        <f>SUBTOTAL(109,I727:P727)</f>
        <v>0</v>
      </c>
      <c r="S727" s="92">
        <f t="shared" si="78"/>
        <v>0</v>
      </c>
    </row>
    <row r="728" spans="1:19" x14ac:dyDescent="0.25">
      <c r="A728" s="104"/>
      <c r="B728"/>
      <c r="C728" s="105"/>
      <c r="D728" s="95"/>
      <c r="E728" s="105"/>
      <c r="F728" s="105"/>
      <c r="G728" s="105"/>
      <c r="H728" s="105"/>
      <c r="I728" s="51"/>
      <c r="J728" s="51"/>
      <c r="K728" s="51"/>
      <c r="L728" s="51"/>
      <c r="M728" s="51"/>
      <c r="N728" s="96"/>
      <c r="O728" s="96"/>
      <c r="P728" s="96">
        <f>SUBTOTAL(109,P2:P727)</f>
        <v>2127859.9200000018</v>
      </c>
      <c r="Q728" s="96">
        <f>SUM(Q1:Q727)</f>
        <v>9367174.4292000011</v>
      </c>
    </row>
    <row r="729" spans="1:19" x14ac:dyDescent="0.25">
      <c r="A729" s="103"/>
      <c r="Q729" s="91"/>
    </row>
    <row r="730" spans="1:19" x14ac:dyDescent="0.25">
      <c r="Q730" s="91"/>
    </row>
    <row r="731" spans="1:19" x14ac:dyDescent="0.25">
      <c r="Q731" s="88"/>
    </row>
  </sheetData>
  <sheetProtection algorithmName="SHA-512" hashValue="Dy0L15p1dbRW5KLEWYdc/e8Nh8OyitKS+NXCyhGYU5d2OrS5Wgr+UI7VJAidNXMNpb1CP4AmJpwfYbd6ZfDoZg==" saltValue="4Id1n+SjaVCYBgAByE3QYQ==" spinCount="100000" sheet="1" objects="1" scenarios="1" selectLockedCells="1" selectUnlockedCells="1"/>
  <autoFilter ref="AQ1:AR93" xr:uid="{4B7D769C-3C8D-41C1-95FF-C4ECDEB9F177}"/>
  <phoneticPr fontId="4" type="noConversion"/>
  <conditionalFormatting sqref="T2:T646">
    <cfRule type="cellIs" dxfId="0" priority="2" operator="lessThan">
      <formula>1</formula>
    </cfRule>
  </conditionalFormatting>
  <pageMargins left="0.7" right="0.7" top="0.75" bottom="0.75" header="0.3" footer="0.3"/>
  <pageSetup paperSize="9" orientation="portrait" r:id="rId11"/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895A0946657641BC993031EC896AAB" ma:contentTypeVersion="11" ma:contentTypeDescription="Create a new document." ma:contentTypeScope="" ma:versionID="8275f2d36f88a81e7ca3814febba2eb0">
  <xsd:schema xmlns:xsd="http://www.w3.org/2001/XMLSchema" xmlns:xs="http://www.w3.org/2001/XMLSchema" xmlns:p="http://schemas.microsoft.com/office/2006/metadata/properties" xmlns:ns3="ed3204c7-b0f1-4823-8b05-f1e2df175f10" xmlns:ns4="4c8219be-2ed7-4ab6-ac65-ead1da2bf370" targetNamespace="http://schemas.microsoft.com/office/2006/metadata/properties" ma:root="true" ma:fieldsID="fef22de42f50ac8a7646e5a69c815a89" ns3:_="" ns4:_="">
    <xsd:import namespace="ed3204c7-b0f1-4823-8b05-f1e2df175f10"/>
    <xsd:import namespace="4c8219be-2ed7-4ab6-ac65-ead1da2bf3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204c7-b0f1-4823-8b05-f1e2df175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219be-2ed7-4ab6-ac65-ead1da2bf37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F39F98-2825-42F1-94CD-6F3A447A8C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A77BC5-5326-41FA-9F7B-A8DD7B531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3204c7-b0f1-4823-8b05-f1e2df175f10"/>
    <ds:schemaRef ds:uri="4c8219be-2ed7-4ab6-ac65-ead1da2bf3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C583E0-5303-4B95-8C21-2C2771B3FFD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Atlas y nueva venta</vt:lpstr>
      <vt:lpstr>Altas x ejecutivo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Nueva venta a junio 2022</dc:title>
  <dc:creator>Pedro Campos</dc:creator>
  <cp:lastModifiedBy>Pedro Ángel Campos González</cp:lastModifiedBy>
  <dcterms:created xsi:type="dcterms:W3CDTF">2022-06-24T16:39:16Z</dcterms:created>
  <dcterms:modified xsi:type="dcterms:W3CDTF">2025-12-02T21:14:52Z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0x010100C4895A0946657641BC993031EC896AAB</vt:lpwstr>
  </property>
</Properties>
</file>